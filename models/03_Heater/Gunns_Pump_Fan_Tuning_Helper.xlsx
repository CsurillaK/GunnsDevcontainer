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comments2.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uning" sheetId="1" state="visible" r:id="rId2"/>
    <sheet name="Example Tuning Sets" sheetId="2" state="visible" r:id="rId3"/>
    <sheet name="Impeller Curve" sheetId="3" state="visible" r:id="rId4"/>
  </sheets>
  <definedNames>
    <definedName function="false" hidden="false" localSheetId="0" name="solver_adj" vbProcedure="false">Tuning!$F$8</definedName>
    <definedName function="false" hidden="false" localSheetId="0" name="solver_cvg" vbProcedure="false">0.0001</definedName>
    <definedName function="false" hidden="false" localSheetId="0" name="solver_drv" vbProcedure="false">1</definedName>
    <definedName function="false" hidden="false" localSheetId="0" name="solver_eng" vbProcedure="false">1</definedName>
    <definedName function="false" hidden="false" localSheetId="0" name="solver_itr" vbProcedure="false">2147483647</definedName>
    <definedName function="false" hidden="false" localSheetId="0" name="solver_lin" vbProcedure="false">2</definedName>
    <definedName function="false" hidden="false" localSheetId="0" name="solver_mip" vbProcedure="false">2147483647</definedName>
    <definedName function="false" hidden="false" localSheetId="0" name="solver_mni" vbProcedure="false">30</definedName>
    <definedName function="false" hidden="false" localSheetId="0" name="solver_mrt" vbProcedure="false">0.075</definedName>
    <definedName function="false" hidden="false" localSheetId="0" name="solver_msl" vbProcedure="false">2</definedName>
    <definedName function="false" hidden="false" localSheetId="0" name="solver_neg" vbProcedure="false">1</definedName>
    <definedName function="false" hidden="false" localSheetId="0" name="solver_nod" vbProcedure="false">2147483647</definedName>
    <definedName function="false" hidden="false" localSheetId="0" name="solver_num" vbProcedure="false">0</definedName>
    <definedName function="false" hidden="false" localSheetId="0" name="solver_opt" vbProcedure="false">Tuning!$F$9</definedName>
    <definedName function="false" hidden="false" localSheetId="0" name="solver_pre" vbProcedure="false">0.000001</definedName>
    <definedName function="false" hidden="false" localSheetId="0" name="solver_rbv" vbProcedure="false">1</definedName>
    <definedName function="false" hidden="false" localSheetId="0" name="solver_rlx" vbProcedure="false">2</definedName>
    <definedName function="false" hidden="false" localSheetId="0" name="solver_rsd" vbProcedure="false">0</definedName>
    <definedName function="false" hidden="false" localSheetId="0" name="solver_scl" vbProcedure="false">1</definedName>
    <definedName function="false" hidden="false" localSheetId="0" name="solver_sho" vbProcedure="false">2</definedName>
    <definedName function="false" hidden="false" localSheetId="0" name="solver_ssz" vbProcedure="false">100</definedName>
    <definedName function="false" hidden="false" localSheetId="0" name="solver_tim" vbProcedure="false">2147483647</definedName>
    <definedName function="false" hidden="false" localSheetId="0" name="solver_tol" vbProcedure="false">0.01</definedName>
    <definedName function="false" hidden="false" localSheetId="0" name="solver_typ" vbProcedure="false">3</definedName>
    <definedName function="false" hidden="false" localSheetId="0" name="solver_val" vbProcedure="false">0</definedName>
    <definedName function="false" hidden="false" localSheetId="0" name="solver_ver" vbProcedure="false">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33" authorId="0">
      <text>
        <r>
          <rPr>
            <sz val="10"/>
            <rFont val="Verdana"/>
            <family val="0"/>
            <charset val="1"/>
          </rPr>
          <t xml:space="preserve">This is the Best Efficiency Point flow rate, where the impeller has maximum efficiency at its reference speed. Use this value in your impeller's config data.  The BEP flow rate varies with motor speed, and the Delta-Pressure chart shows it adjusted to the tune point 1 motor speed.</t>
        </r>
      </text>
    </comment>
    <comment ref="C39" authorId="0">
      <text>
        <r>
          <rPr>
            <sz val="10"/>
            <rFont val="Verdana"/>
            <family val="0"/>
            <charset val="1"/>
          </rPr>
          <t xml:space="preserve">Must be &gt; 0.  If the spreadsheet is giving a negative number here, then adjust the above tuning parameters.</t>
        </r>
      </text>
    </comment>
    <comment ref="C40" authorId="0">
      <text>
        <r>
          <rPr>
            <sz val="10"/>
            <rFont val="Verdana"/>
            <family val="0"/>
            <charset val="1"/>
          </rPr>
          <t xml:space="preserve">Must be &gt; 0.  If the spreadsheet is giving a negative number here, then adjust the above tuning parameters.</t>
        </r>
      </text>
    </comment>
    <comment ref="C41" authorId="0">
      <text>
        <r>
          <rPr>
            <sz val="10"/>
            <rFont val="Verdana"/>
            <family val="0"/>
            <charset val="1"/>
          </rPr>
          <t xml:space="preserve">Must be &gt; 0.  If the spreadsheet is giving a negative number here, then adjust the above tuning parameters.</t>
        </r>
      </text>
    </comment>
    <comment ref="C42" authorId="0">
      <text>
        <r>
          <rPr>
            <sz val="10"/>
            <rFont val="Verdana"/>
            <family val="0"/>
            <charset val="1"/>
          </rPr>
          <t xml:space="preserve">The dynamic friction is held constant below this speed to aid the motor in stopping in a reasonable time.  Recommend 25% of the motor's normal operating speed, or the minimum operating speed, whichever is less.</t>
        </r>
      </text>
    </comment>
    <comment ref="C43" authorId="0">
      <text>
        <r>
          <rPr>
            <sz val="10"/>
            <rFont val="Verdana"/>
            <family val="0"/>
            <charset val="1"/>
          </rPr>
          <t xml:space="preserve">This assumes the controller isn't limiting the start-up current.  If it is, your start-up time may take longer, so you can recover that time by using a lower inertia.</t>
        </r>
      </text>
    </comment>
    <comment ref="C45" authorId="0">
      <text>
        <r>
          <rPr>
            <sz val="10"/>
            <rFont val="Verdana"/>
            <family val="0"/>
            <charset val="1"/>
          </rPr>
          <t xml:space="preserve">The model uses this to determine the impeller power curve.  Radial-flow pumps generally are &lt; 0.7, axial-flow pumps &gt; 3, and mixed-flow pumps in between.  The model limits this to between 0.2 and 5 for determining the power curve.</t>
        </r>
      </text>
    </comment>
    <comment ref="C46" authorId="0">
      <text>
        <r>
          <rPr>
            <sz val="10"/>
            <rFont val="Verdana"/>
            <family val="0"/>
            <charset val="1"/>
          </rPr>
          <t xml:space="preserve">This is just a sanity check.  The transition between mixed-flow and radial or axial-flow is vague, so don't worry if it says mixed-flow when your impeller is really an axial or radial flow type, or vice-versa.  However, if it says radial when your impeller is really axial or vice-versa, then there is probably something wrong with your impeller reference curve data.</t>
        </r>
      </text>
    </comment>
    <comment ref="G22" authorId="0">
      <text>
        <r>
          <rPr>
            <sz val="10"/>
            <rFont val="Verdana"/>
            <family val="0"/>
            <charset val="1"/>
          </rPr>
          <t xml:space="preserve">If this field is red, then your reference curve from Step 1 is bad: it has more than 1 root for flow rates  beween 0 - 1000 m3/s.  This is usually caused by a positive value for the last non-zero coefficient.  For best results in this sheet and in the runtime model, the last non-zero coefficient should be negative.</t>
        </r>
      </text>
    </comment>
    <comment ref="N17" authorId="0">
      <text>
        <r>
          <rPr>
            <sz val="10"/>
            <rFont val="Verdana"/>
            <family val="0"/>
            <charset val="1"/>
          </rPr>
          <t xml:space="preserve">This shows the impeller's reference performance curve scaled to the tune point 1 motor speed, and the performance curve of the system the impeller is flowing thru at the tune point.  Their intersection is the resulting impeller pressure rise and flow rate.</t>
        </r>
      </text>
    </comment>
    <comment ref="N35" authorId="0">
      <text>
        <r>
          <rPr>
            <sz val="10"/>
            <rFont val="Verdana"/>
            <family val="0"/>
            <charset val="1"/>
          </rPr>
          <t xml:space="preserve">Used in Step 5, this shows the range of possible controller power loads that can allow the model to achieve the tune points 1 and 2 data. If this chart is blank, then something is wrong with the inputs for the previous steps.</t>
        </r>
      </text>
    </comment>
    <comment ref="N53" authorId="0">
      <text>
        <r>
          <rPr>
            <sz val="10"/>
            <rFont val="Verdana"/>
            <family val="0"/>
            <charset val="1"/>
          </rPr>
          <t xml:space="preserve">This shows the maximum speed this motor can reach in a system that flows Q at the tune point motor speed.  In other words, if the max line is above tune point line at a Q, then if the system were tuned to flow Q at the tune point motor speed, then the max line value is how fast the motor would get to in that system at full power (which results in a proportional increase in flow rate).  At Q values where the max line is less than the tune point line, the motor speed will drop below the tune point speed.</t>
        </r>
      </text>
    </comment>
    <comment ref="P17" authorId="0">
      <text>
        <r>
          <rPr>
            <sz val="10"/>
            <rFont val="Verdana"/>
            <family val="0"/>
            <charset val="1"/>
          </rPr>
          <t xml:space="preserve">All 3 efficiencies should stay below 1 across the Q range.  Impeller efficiency should peak at the BEP line and should usually peak at &lt; 0.9.</t>
        </r>
      </text>
    </comment>
    <comment ref="P35" authorId="0">
      <text>
        <r>
          <rPr>
            <sz val="10"/>
            <rFont val="Verdana"/>
            <family val="0"/>
            <charset val="1"/>
          </rPr>
          <t xml:space="preserve">This shows the power at various stages vs. impeller flow rate when the motor is speed-controlled at the tune point 1 speed.  Hydraulic is the useful power imparted to the fluid, propelling it downstream.  Impeller is Hydraulic + aerodynamic losses.  Shaft is Impeller + friction losses.  Motor is shaft + internal motor losses.  Total is Motor + the controller's power load.</t>
        </r>
      </text>
    </comment>
    <comment ref="P53" authorId="0">
      <text>
        <r>
          <rPr>
            <sz val="10"/>
            <rFont val="Verdana"/>
            <family val="0"/>
            <charset val="1"/>
          </rPr>
          <t xml:space="preserve">This shows the power at various stages vs. controlled motor speed through the tune point system, up to its maximum speed.</t>
        </r>
      </text>
    </comment>
  </commentList>
</comments>
</file>

<file path=xl/comments2.xml><?xml version="1.0" encoding="utf-8"?>
<comments xmlns="http://schemas.openxmlformats.org/spreadsheetml/2006/main" xmlns:xdr="http://schemas.openxmlformats.org/drawingml/2006/spreadsheetDrawing">
  <authors>
    <author> </author>
  </authors>
  <commentList>
    <comment ref="I39" authorId="0">
      <text>
        <r>
          <rPr>
            <sz val="10"/>
            <rFont val="Verdana"/>
            <family val="0"/>
            <charset val="1"/>
          </rPr>
          <t xml:space="preserve">jharvey:
</t>
        </r>
        <r>
          <rPr>
            <sz val="8"/>
            <color rgb="FF000000"/>
            <rFont val="Tahoma"/>
            <family val="2"/>
            <charset val="1"/>
          </rPr>
          <t xml:space="preserve">Metox uses the same fan motor as AAA, so we want these 3 motor constants to be similar to AAA.</t>
        </r>
      </text>
    </comment>
    <comment ref="L2" authorId="0">
      <text>
        <r>
          <rPr>
            <sz val="10"/>
            <rFont val="Verdana"/>
            <family val="0"/>
            <charset val="1"/>
          </rPr>
          <t xml:space="preserve">jharvey:
</t>
        </r>
        <r>
          <rPr>
            <sz val="8"/>
            <color rgb="FF000000"/>
            <rFont val="Tahoma"/>
            <family val="2"/>
            <charset val="1"/>
          </rPr>
          <t xml:space="preserve">Note this configuration requires the use of the controller's mStartupCurrentLimit = 0.42 amp to get the peak fan transient power quoted in the TCCS Console Handbook.</t>
        </r>
      </text>
    </comment>
    <comment ref="L16" authorId="0">
      <text>
        <r>
          <rPr>
            <sz val="10"/>
            <rFont val="Verdana"/>
            <family val="0"/>
            <charset val="1"/>
          </rPr>
          <t xml:space="preserve">jharvey:
</t>
        </r>
        <r>
          <rPr>
            <sz val="8"/>
            <color rgb="FF000000"/>
            <rFont val="Tahoma"/>
            <family val="0"/>
            <charset val="1"/>
          </rPr>
          <t xml:space="preserve">From TCCS Console Handbook, start-up current is only ~0.42 amps, but desired power &amp; speed cannot be achieved with this model using that as the motor stall current - so recommend using 0.42 as the start-up current limit in the controller.</t>
        </r>
      </text>
    </comment>
  </commentList>
</comments>
</file>

<file path=xl/sharedStrings.xml><?xml version="1.0" encoding="utf-8"?>
<sst xmlns="http://schemas.openxmlformats.org/spreadsheetml/2006/main" count="617" uniqueCount="336">
  <si>
    <t xml:space="preserve">Fan/Centrifugal Pump/Motor Tuner</t>
  </si>
  <si>
    <t xml:space="preserve">(Scroll down to see instructions)</t>
  </si>
  <si>
    <t xml:space="preserve">Performance vs. Flow Rate Table</t>
  </si>
  <si>
    <t xml:space="preserve">Power (W)</t>
  </si>
  <si>
    <t xml:space="preserve">dp (kPa)</t>
  </si>
  <si>
    <t xml:space="preserve">efficiency</t>
  </si>
  <si>
    <t xml:space="preserve">Delta-Pressure (kPa)</t>
  </si>
  <si>
    <t xml:space="preserve">Efficiency</t>
  </si>
  <si>
    <t xml:space="preserve">Speed (rev/min)</t>
  </si>
  <si>
    <t xml:space="preserve">Performance vs. Speed Table</t>
  </si>
  <si>
    <t xml:space="preserve">Current (amp)</t>
  </si>
  <si>
    <t xml:space="preserve">Step A:</t>
  </si>
  <si>
    <t xml:space="preserve">Find the max flow rate of the reference curve (first root of the polynomial)</t>
  </si>
  <si>
    <t xml:space="preserve">Step B:</t>
  </si>
  <si>
    <t xml:space="preserve">Find the flow rate of the Best Efficiency Point (BEP)</t>
  </si>
  <si>
    <t xml:space="preserve">Copyright 2022 United States Government as represented by the Administrator of the National Aeronautics and Space Administration.  All Rights Reserved.</t>
  </si>
  <si>
    <t xml:space="preserve">Q/Qmax</t>
  </si>
  <si>
    <t xml:space="preserve">Q/Qbep</t>
  </si>
  <si>
    <t xml:space="preserve">Q (m3/s)</t>
  </si>
  <si>
    <t xml:space="preserve">point 1</t>
  </si>
  <si>
    <t xml:space="preserve">BEP</t>
  </si>
  <si>
    <t xml:space="preserve">impeller</t>
  </si>
  <si>
    <t xml:space="preserve">system</t>
  </si>
  <si>
    <t xml:space="preserve">impeller torque (N*m)</t>
  </si>
  <si>
    <t xml:space="preserve">motor</t>
  </si>
  <si>
    <t xml:space="preserve">total</t>
  </si>
  <si>
    <t xml:space="preserve">shaft torque (N*m)</t>
  </si>
  <si>
    <t xml:space="preserve">motor current</t>
  </si>
  <si>
    <t xml:space="preserve">Vpw</t>
  </si>
  <si>
    <t xml:space="preserve">system Ki</t>
  </si>
  <si>
    <t xml:space="preserve">max</t>
  </si>
  <si>
    <t xml:space="preserve">shaft</t>
  </si>
  <si>
    <t xml:space="preserve">hydraulic</t>
  </si>
  <si>
    <t xml:space="preserve">N/Nmax</t>
  </si>
  <si>
    <t xml:space="preserve">N (rev/min)</t>
  </si>
  <si>
    <t xml:space="preserve">N (r/s)</t>
  </si>
  <si>
    <t xml:space="preserve">dp sys (kPa)</t>
  </si>
  <si>
    <t xml:space="preserve">drive torque (N*m)</t>
  </si>
  <si>
    <t xml:space="preserve">controller</t>
  </si>
  <si>
    <t xml:space="preserve">Bisection method:</t>
  </si>
  <si>
    <t xml:space="preserve">Qmax_est</t>
  </si>
  <si>
    <t xml:space="preserve">m3/s</t>
  </si>
  <si>
    <t xml:space="preserve">Step 1:</t>
  </si>
  <si>
    <t xml:space="preserve">Enter fluid impeller reference performance data (GunnsGasFanConfigData):</t>
  </si>
  <si>
    <t xml:space="preserve">point 1:</t>
  </si>
  <si>
    <t xml:space="preserve">point 2:</t>
  </si>
  <si>
    <t xml:space="preserve">ITER</t>
  </si>
  <si>
    <t xml:space="preserve">a</t>
  </si>
  <si>
    <t xml:space="preserve">b</t>
  </si>
  <si>
    <t xml:space="preserve">f(a)</t>
  </si>
  <si>
    <t xml:space="preserve">f(b)</t>
  </si>
  <si>
    <t xml:space="preserve">c</t>
  </si>
  <si>
    <t xml:space="preserve">f(c )</t>
  </si>
  <si>
    <t xml:space="preserve">mReferenceDensity</t>
  </si>
  <si>
    <t xml:space="preserve">kg/m3</t>
  </si>
  <si>
    <t xml:space="preserve">affinity density factor</t>
  </si>
  <si>
    <t xml:space="preserve">mReferenceSpeed</t>
  </si>
  <si>
    <t xml:space="preserve">rev/min</t>
  </si>
  <si>
    <t xml:space="preserve">r/s</t>
  </si>
  <si>
    <t xml:space="preserve">affinity speed factor</t>
  </si>
  <si>
    <t xml:space="preserve">mReferenceCoeff0</t>
  </si>
  <si>
    <t xml:space="preserve">kPa = poly(Q m3/s)</t>
  </si>
  <si>
    <t xml:space="preserve">affinity power factor</t>
  </si>
  <si>
    <t xml:space="preserve">Qincrement</t>
  </si>
  <si>
    <t xml:space="preserve">mReferenceCoeff1</t>
  </si>
  <si>
    <t xml:space="preserve">affinity coeffs</t>
  </si>
  <si>
    <t xml:space="preserve">order</t>
  </si>
  <si>
    <t xml:space="preserve">row</t>
  </si>
  <si>
    <t xml:space="preserve">mReferenceCoeff2</t>
  </si>
  <si>
    <t xml:space="preserve">Qbep</t>
  </si>
  <si>
    <t xml:space="preserve">mReferenceCoeff3</t>
  </si>
  <si>
    <t xml:space="preserve">mReferenceCoeff4</t>
  </si>
  <si>
    <t xml:space="preserve">Q</t>
  </si>
  <si>
    <t xml:space="preserve">dp</t>
  </si>
  <si>
    <t xml:space="preserve">P hyd</t>
  </si>
  <si>
    <t xml:space="preserve">Ns</t>
  </si>
  <si>
    <t xml:space="preserve">P imp c0</t>
  </si>
  <si>
    <t xml:space="preserve">P imp c1</t>
  </si>
  <si>
    <t xml:space="preserve">P imp c2</t>
  </si>
  <si>
    <t xml:space="preserve">P imp c3</t>
  </si>
  <si>
    <t xml:space="preserve">P imp -</t>
  </si>
  <si>
    <t xml:space="preserve">P imp</t>
  </si>
  <si>
    <t xml:space="preserve">P imp +</t>
  </si>
  <si>
    <t xml:space="preserve">eff -</t>
  </si>
  <si>
    <t xml:space="preserve">eff</t>
  </si>
  <si>
    <t xml:space="preserve">eff +</t>
  </si>
  <si>
    <t xml:space="preserve">delta eff</t>
  </si>
  <si>
    <t xml:space="preserve">bracket</t>
  </si>
  <si>
    <t xml:space="preserve">fract dist</t>
  </si>
  <si>
    <t xml:space="preserve">Q interp</t>
  </si>
  <si>
    <t xml:space="preserve">mReferenceCoeff5</t>
  </si>
  <si>
    <t xml:space="preserve">mReferenceBestEfficiency</t>
  </si>
  <si>
    <t xml:space="preserve">Step 2:</t>
  </si>
  <si>
    <t xml:space="preserve">Enter data common to both tune points in Steps 3 &amp; 4:</t>
  </si>
  <si>
    <t xml:space="preserve">Supply voltage to controller</t>
  </si>
  <si>
    <t xml:space="preserve">v</t>
  </si>
  <si>
    <t xml:space="preserve">Qmax</t>
  </si>
  <si>
    <t xml:space="preserve">Total stall current</t>
  </si>
  <si>
    <t xml:space="preserve">amp</t>
  </si>
  <si>
    <t xml:space="preserve">Fluid impeller inlet density</t>
  </si>
  <si>
    <t xml:space="preserve">Delta-Pressure Chart</t>
  </si>
  <si>
    <t xml:space="preserve">Efficiency Chart</t>
  </si>
  <si>
    <t xml:space="preserve">Gsys</t>
  </si>
  <si>
    <t xml:space="preserve">kPa*s3/m6</t>
  </si>
  <si>
    <t xml:space="preserve">Tfriction</t>
  </si>
  <si>
    <t xml:space="preserve">N*m</t>
  </si>
  <si>
    <t xml:space="preserve">Step 3:</t>
  </si>
  <si>
    <t xml:space="preserve">Enter 1st tune point data:</t>
  </si>
  <si>
    <t xml:space="preserve">Motor &amp; impeller speed</t>
  </si>
  <si>
    <t xml:space="preserve">Total electrical power load</t>
  </si>
  <si>
    <t xml:space="preserve">W</t>
  </si>
  <si>
    <t xml:space="preserve">Impeller volumetric flow rate</t>
  </si>
  <si>
    <t xml:space="preserve">m3/s between min: 0</t>
  </si>
  <si>
    <t xml:space="preserve">and max:</t>
  </si>
  <si>
    <t xml:space="preserve">Start ramp-up time</t>
  </si>
  <si>
    <t xml:space="preserve">s</t>
  </si>
  <si>
    <t xml:space="preserve">Step 4:</t>
  </si>
  <si>
    <t xml:space="preserve">Enter 2nd tune point data:</t>
  </si>
  <si>
    <t xml:space="preserve">N1 bep:</t>
  </si>
  <si>
    <t xml:space="preserve">Step 5:</t>
  </si>
  <si>
    <t xml:space="preserve">Choose a controller constant power load in the allowable range:</t>
  </si>
  <si>
    <t xml:space="preserve">Controller power load</t>
  </si>
  <si>
    <t xml:space="preserve">W between min:</t>
  </si>
  <si>
    <t xml:space="preserve">Calculations:</t>
  </si>
  <si>
    <t xml:space="preserve">point 1/both:</t>
  </si>
  <si>
    <t xml:space="preserve">Find the max flow rate of the impeller reference curve (see cell DA1)</t>
  </si>
  <si>
    <t xml:space="preserve">Ki</t>
  </si>
  <si>
    <t xml:space="preserve">Results:</t>
  </si>
  <si>
    <t xml:space="preserve">Use these values in the fluid impeller's GunnsGasFanConfigData:</t>
  </si>
  <si>
    <t xml:space="preserve">ref Qmax</t>
  </si>
  <si>
    <t xml:space="preserve">Kf + Kt^2/R</t>
  </si>
  <si>
    <t xml:space="preserve">mReferenceQBep</t>
  </si>
  <si>
    <t xml:space="preserve"> -Kt*Vmax/R</t>
  </si>
  <si>
    <t xml:space="preserve">Find the flow rate at the Best Efficiency Point (BEP) (see cell DH1)</t>
  </si>
  <si>
    <t xml:space="preserve">Use these values in the motor's TsPumpMotorControllerConfigData:</t>
  </si>
  <si>
    <t xml:space="preserve">Step 5 Chart</t>
  </si>
  <si>
    <t xml:space="preserve">Power vs. Flow Chart</t>
  </si>
  <si>
    <t xml:space="preserve">ref Qbep</t>
  </si>
  <si>
    <t xml:space="preserve">mControllerPowerLoad</t>
  </si>
  <si>
    <t xml:space="preserve">Step C:</t>
  </si>
  <si>
    <t xml:space="preserve">Calculate impeller specific speed</t>
  </si>
  <si>
    <t xml:space="preserve">Use these values in the motor's DcDynPumpMotorConfigData:</t>
  </si>
  <si>
    <t xml:space="preserve">ref dp bep</t>
  </si>
  <si>
    <t xml:space="preserve">kPa</t>
  </si>
  <si>
    <t xml:space="preserve">mWindingResistance</t>
  </si>
  <si>
    <t xml:space="preserve">ohm</t>
  </si>
  <si>
    <t xml:space="preserve">r</t>
  </si>
  <si>
    <t xml:space="preserve">mTorqueConstant</t>
  </si>
  <si>
    <t xml:space="preserve">N*m/amp</t>
  </si>
  <si>
    <t xml:space="preserve">Ns limited</t>
  </si>
  <si>
    <t xml:space="preserve">P/Pbep coeffs</t>
  </si>
  <si>
    <t xml:space="preserve">mFrictionConstant</t>
  </si>
  <si>
    <t xml:space="preserve">N*m*min/rev</t>
  </si>
  <si>
    <t xml:space="preserve">Step D:</t>
  </si>
  <si>
    <t xml:space="preserve">Find the impeller reference power curve coefficients and P bep</t>
  </si>
  <si>
    <t xml:space="preserve">mFrictionMinSpeed</t>
  </si>
  <si>
    <t xml:space="preserve">P/Pbep coeff0</t>
  </si>
  <si>
    <t xml:space="preserve">mInertia</t>
  </si>
  <si>
    <t xml:space="preserve">kg*m2</t>
  </si>
  <si>
    <t xml:space="preserve">P/Pbep coeff1</t>
  </si>
  <si>
    <t xml:space="preserve">P/Pbep coeff2</t>
  </si>
  <si>
    <t xml:space="preserve">Extra Info:</t>
  </si>
  <si>
    <t xml:space="preserve">Impeller specific speed</t>
  </si>
  <si>
    <t xml:space="preserve">P/Pbep coeff3</t>
  </si>
  <si>
    <t xml:space="preserve">This appears to be a:</t>
  </si>
  <si>
    <t xml:space="preserve">impeller.</t>
  </si>
  <si>
    <t xml:space="preserve">ref P hyd</t>
  </si>
  <si>
    <t xml:space="preserve">Max speed in tune point system</t>
  </si>
  <si>
    <t xml:space="preserve">ref P bep</t>
  </si>
  <si>
    <t xml:space="preserve">Total stall power</t>
  </si>
  <si>
    <t xml:space="preserve">Total dead-head power</t>
  </si>
  <si>
    <t xml:space="preserve">Step E:</t>
  </si>
  <si>
    <t xml:space="preserve">Find the impeller power at tune points 1 &amp; 2 by affinity law</t>
  </si>
  <si>
    <t xml:space="preserve">Total dead-head current</t>
  </si>
  <si>
    <t xml:space="preserve">rho/rho_ref</t>
  </si>
  <si>
    <t xml:space="preserve">N</t>
  </si>
  <si>
    <t xml:space="preserve">INSTRUCTIONS</t>
  </si>
  <si>
    <t xml:space="preserve">N_n/Nref</t>
  </si>
  <si>
    <t xml:space="preserve">Use this sheet to tune a TsPumpMotorController motor/controller driving a single GunnsGasFan or GunnsLiquidCentrifugalPump fluid impeller.</t>
  </si>
  <si>
    <t xml:space="preserve">Maximum Speed Chart</t>
  </si>
  <si>
    <t xml:space="preserve">Power vs. Speed Chart</t>
  </si>
  <si>
    <t xml:space="preserve">Qbep_n</t>
  </si>
  <si>
    <t xml:space="preserve">Our goal is to match the desired power load at given speed &amp; flow conditions, and have the power load trend properly as motor speed and</t>
  </si>
  <si>
    <t xml:space="preserve">Pbep_n</t>
  </si>
  <si>
    <t xml:space="preserve">flow rate vary in the fluid system.</t>
  </si>
  <si>
    <t xml:space="preserve">Q_n/Qbep_n</t>
  </si>
  <si>
    <t xml:space="preserve">  - Enter the fluid reference curve and your desired motor data ponts in the Steps 1-5 blocks above.  The fluid impeller's performance curve</t>
  </si>
  <si>
    <t xml:space="preserve">Pimp_n/Pbep_n</t>
  </si>
  <si>
    <t xml:space="preserve">     should already have been tuned to give the correct pressure &amp; flow verses impeller speed in your fluid network.</t>
  </si>
  <si>
    <t xml:space="preserve">Pimp_n</t>
  </si>
  <si>
    <t xml:space="preserve">HINTS</t>
  </si>
  <si>
    <t xml:space="preserve">Step F:</t>
  </si>
  <si>
    <t xml:space="preserve">Find the impeller power constant P = Ki*N^3</t>
  </si>
  <si>
    <t xml:space="preserve">Some cells have comment fields that you can hover over to see additional advice.</t>
  </si>
  <si>
    <t xml:space="preserve">W*s3/r3</t>
  </si>
  <si>
    <t xml:space="preserve">See the Example Tuning Sets sheet for example input values for some ISS impellers.  You can copy &amp; paste the Steps 1-5 block</t>
  </si>
  <si>
    <t xml:space="preserve">(use Paste Special &gt; Values) into this sheet to see the results.  Don't paste over the Results &amp; Extra Info section.</t>
  </si>
  <si>
    <t xml:space="preserve">Step G:</t>
  </si>
  <si>
    <t xml:space="preserve">Find the motor winding resistance from stall current and supply voltage</t>
  </si>
  <si>
    <t xml:space="preserve">see cell E39</t>
  </si>
  <si>
    <t xml:space="preserve">Step H:</t>
  </si>
  <si>
    <t xml:space="preserve">Compute maximum possible controller load assuming no friction or motor losses</t>
  </si>
  <si>
    <t xml:space="preserve">The margins P1 - Pimp1 and P2 - Pimp2 must be friction + motor loss + controller load</t>
  </si>
  <si>
    <t xml:space="preserve">Pmargin_n</t>
  </si>
  <si>
    <t xml:space="preserve">P controller max:</t>
  </si>
  <si>
    <t xml:space="preserve">assuming no friction or motor loss</t>
  </si>
  <si>
    <t xml:space="preserve">Step I:</t>
  </si>
  <si>
    <t xml:space="preserve">Make an initial guess at torque constant</t>
  </si>
  <si>
    <t xml:space="preserve">Kt initial guess:</t>
  </si>
  <si>
    <t xml:space="preserve">Kt_initial = (Vmax - (P1 - Pc_max)*R/Vmax)/N1</t>
  </si>
  <si>
    <t xml:space="preserve">Step J:</t>
  </si>
  <si>
    <t xml:space="preserve">Iterate over range of controller power and find suggested min &amp; max (see cell A133)</t>
  </si>
  <si>
    <t xml:space="preserve">Step K:</t>
  </si>
  <si>
    <t xml:space="preserve">Calculate final torque constant and Friction constant for the user's controller power selection (see cell A251)</t>
  </si>
  <si>
    <t xml:space="preserve">torque constant</t>
  </si>
  <si>
    <t xml:space="preserve">friction constant</t>
  </si>
  <si>
    <t xml:space="preserve">N*m*s/r</t>
  </si>
  <si>
    <t xml:space="preserve">Step L:</t>
  </si>
  <si>
    <t xml:space="preserve">Estimate motor inertia from start-up time and torques</t>
  </si>
  <si>
    <t xml:space="preserve">A proper solution of the ODE:</t>
  </si>
  <si>
    <t xml:space="preserve">T N=0</t>
  </si>
  <si>
    <t xml:space="preserve">N' = Kt*V/R/II + N*(-Kf - Kt^2/R)/II + N^2*(-Ki/II)</t>
  </si>
  <si>
    <t xml:space="preserve">T N1</t>
  </si>
  <si>
    <t xml:space="preserve">runs into a problem with sqrt of negative numbers, so we just estimate</t>
  </si>
  <si>
    <t xml:space="preserve">T avg</t>
  </si>
  <si>
    <t xml:space="preserve">assuming an average torque</t>
  </si>
  <si>
    <t xml:space="preserve">II</t>
  </si>
  <si>
    <t xml:space="preserve">Step M:</t>
  </si>
  <si>
    <t xml:space="preserve">Calculate dead-head power</t>
  </si>
  <si>
    <t xml:space="preserve">N Q=0</t>
  </si>
  <si>
    <t xml:space="preserve">V Q=0</t>
  </si>
  <si>
    <t xml:space="preserve">P Q=0</t>
  </si>
  <si>
    <t xml:space="preserve">I Q=0</t>
  </si>
  <si>
    <t xml:space="preserve">Iterate over range of controller power and find suggested min &amp; max</t>
  </si>
  <si>
    <t xml:space="preserve">Initial Kt guess:</t>
  </si>
  <si>
    <t xml:space="preserve">P - Pc = V*(V - Kt*N)/R</t>
  </si>
  <si>
    <t xml:space="preserve">use Pc max, Vmax, N1</t>
  </si>
  <si>
    <t xml:space="preserve">(P - Pc)*R/V = V - Kt*N</t>
  </si>
  <si>
    <t xml:space="preserve">Estimate max speed:</t>
  </si>
  <si>
    <t xml:space="preserve">Solution for V:</t>
  </si>
  <si>
    <t xml:space="preserve">Tmax = Kt*(Vmax - Kt*Nmax)/R = Kf*Nmax + Ki*Nmax^2</t>
  </si>
  <si>
    <t xml:space="preserve">For each Pc:</t>
  </si>
  <si>
    <t xml:space="preserve">(P-Pc)*R = (V - Kt*N)*V</t>
  </si>
  <si>
    <t xml:space="preserve">Kt*Vmax/R - Kt^2*Nmax/R = Kf*Nmax + Ki*Nmax^2</t>
  </si>
  <si>
    <t xml:space="preserve">start with initial Kt guess</t>
  </si>
  <si>
    <t xml:space="preserve">V^2 - V*Kt*N - (P-Pc)*R = 0</t>
  </si>
  <si>
    <t xml:space="preserve">Kt*Vmax/R = Kf*Nmax + Kt^2*Nmax/R + Ki*Nmax^2</t>
  </si>
  <si>
    <t xml:space="preserve">find V1 &amp; V2 from:</t>
  </si>
  <si>
    <t xml:space="preserve">V = (Kt*N + sqrt(Kt^2*N^2 - 4*R*(Pc-P)))/2</t>
  </si>
  <si>
    <t xml:space="preserve">quadratic:</t>
  </si>
  <si>
    <t xml:space="preserve">predict Kt where these will cross</t>
  </si>
  <si>
    <t xml:space="preserve">Nmax^2*Ki + Nmax*(Kf + Kt^2/R) - Kt*Vmax/R = 0</t>
  </si>
  <si>
    <t xml:space="preserve">find Kf1 &amp; Kf2 from:</t>
  </si>
  <si>
    <t xml:space="preserve">Pm*Kt/V/N^2 - Ki*N = Kf</t>
  </si>
  <si>
    <t xml:space="preserve"> -Kt*N</t>
  </si>
  <si>
    <t xml:space="preserve">Kf1+dKf1/dKt*iter = Kf2+dKf2/dKt*iter</t>
  </si>
  <si>
    <t xml:space="preserve">predict new Kt where Kf1 = Kf2</t>
  </si>
  <si>
    <t xml:space="preserve">(Pc-P)*R</t>
  </si>
  <si>
    <t xml:space="preserve">(dKf1/dKt - dKf2/dKt)*iter = Kf2 - Kf1</t>
  </si>
  <si>
    <t xml:space="preserve">iterate Kt until converge</t>
  </si>
  <si>
    <t xml:space="preserve">iter = (Kf2 - Kf1) / (dKf1/dKt - dKf2/dKt)</t>
  </si>
  <si>
    <t xml:space="preserve">iteration 1</t>
  </si>
  <si>
    <t xml:space="preserve">iteration 2</t>
  </si>
  <si>
    <t xml:space="preserve">iteration 3</t>
  </si>
  <si>
    <t xml:space="preserve">iteration 4</t>
  </si>
  <si>
    <t xml:space="preserve">iteration 5</t>
  </si>
  <si>
    <t xml:space="preserve">Pc/Pc max</t>
  </si>
  <si>
    <t xml:space="preserve">Pc</t>
  </si>
  <si>
    <t xml:space="preserve">quad c1</t>
  </si>
  <si>
    <t xml:space="preserve">quad c2</t>
  </si>
  <si>
    <t xml:space="preserve">Kt</t>
  </si>
  <si>
    <t xml:space="preserve">quad b1</t>
  </si>
  <si>
    <t xml:space="preserve">quad b2</t>
  </si>
  <si>
    <t xml:space="preserve">V1</t>
  </si>
  <si>
    <t xml:space="preserve">V2</t>
  </si>
  <si>
    <t xml:space="preserve">Kf1</t>
  </si>
  <si>
    <t xml:space="preserve">Kf2</t>
  </si>
  <si>
    <t xml:space="preserve">Kt + delta</t>
  </si>
  <si>
    <t xml:space="preserve">dKf1/dKt</t>
  </si>
  <si>
    <t xml:space="preserve">dKf2/dKt</t>
  </si>
  <si>
    <t xml:space="preserve">iter</t>
  </si>
  <si>
    <t xml:space="preserve">valid solution?</t>
  </si>
  <si>
    <t xml:space="preserve">Nmax b</t>
  </si>
  <si>
    <t xml:space="preserve">Nmax c</t>
  </si>
  <si>
    <t xml:space="preserve">Nmax (r/s)</t>
  </si>
  <si>
    <t xml:space="preserve">Nmax (rpm)</t>
  </si>
  <si>
    <t xml:space="preserve">Calculate final torque constant and Friction constant for the user's controller power selection</t>
  </si>
  <si>
    <t xml:space="preserve">ITCS Pump</t>
  </si>
  <si>
    <t xml:space="preserve">AAA Fan</t>
  </si>
  <si>
    <t xml:space="preserve">Metox Fan</t>
  </si>
  <si>
    <t xml:space="preserve">IMV Fan</t>
  </si>
  <si>
    <t xml:space="preserve">CCAA/Cabin</t>
  </si>
  <si>
    <t xml:space="preserve">TCCS Blower</t>
  </si>
  <si>
    <t xml:space="preserve">Radial Flow</t>
  </si>
  <si>
    <t xml:space="preserve">Axial Flow</t>
  </si>
  <si>
    <t xml:space="preserve">Mixed Flow</t>
  </si>
  <si>
    <t xml:space="preserve">Curve Scaling</t>
  </si>
  <si>
    <t xml:space="preserve">This scales a fan curve from one reference point to another</t>
  </si>
  <si>
    <t xml:space="preserve">Notes:</t>
  </si>
  <si>
    <t xml:space="preserve">You can use this to borrow a curve shape from another impeller, and convert it to pass through your impeller's flow &amp; pressure point.</t>
  </si>
  <si>
    <t xml:space="preserve">(Fill in gray cells, green cells are the results)</t>
  </si>
  <si>
    <t xml:space="preserve">The plot works best when you pick a "from" flow rate near the "from" impeller's BEP.</t>
  </si>
  <si>
    <t xml:space="preserve">From:</t>
  </si>
  <si>
    <t xml:space="preserve">To:</t>
  </si>
  <si>
    <t xml:space="preserve">You should borrow shapes from other impellers with similar specific speed (i.e. the same flow type axial, radial, mixed)</t>
  </si>
  <si>
    <t xml:space="preserve">curve coefficients order:</t>
  </si>
  <si>
    <t xml:space="preserve">Cto_x = Cfrom_x * (Pto/Pfrom) * (Qto/Qfrom)^(-x)</t>
  </si>
  <si>
    <t xml:space="preserve">fluid flow rate</t>
  </si>
  <si>
    <t xml:space="preserve">fluid delta-pressure</t>
  </si>
  <si>
    <t xml:space="preserve">Affinity Transform</t>
  </si>
  <si>
    <t xml:space="preserve">This shows how a reference fan curve scales based on pump speed and fluid density</t>
  </si>
  <si>
    <t xml:space="preserve">Cto_x = Cfrom_x * (rho_to/rho_from) * (Nto/Nfrom)^(2-x)</t>
  </si>
  <si>
    <t xml:space="preserve">fluid flow rate @ BEP</t>
  </si>
  <si>
    <t xml:space="preserve">fluid density</t>
  </si>
  <si>
    <t xml:space="preserve">impeller speed</t>
  </si>
  <si>
    <t xml:space="preserve">rpm</t>
  </si>
  <si>
    <t xml:space="preserve">Example curves of different fan types normalized about their best efficiency points</t>
  </si>
  <si>
    <t xml:space="preserve">Real impellers' performance curves follow these general trends:</t>
  </si>
  <si>
    <t xml:space="preserve">AAA</t>
  </si>
  <si>
    <t xml:space="preserve">IMV</t>
  </si>
  <si>
    <t xml:space="preserve">ITCS</t>
  </si>
  <si>
    <t xml:space="preserve">  - Radial-flow impellers (specific speed Ns &lt; 0.8) tend to have a smooth slope to the left of the BEP</t>
  </si>
  <si>
    <t xml:space="preserve">  - Mixed-flow impellers (0.8 &lt; Ns &lt; 3) begin to show a stall-region dip in the curve to the left of the BEP, and a steeper overall slope between the BEP and dead-head (Q=0)</t>
  </si>
  <si>
    <t xml:space="preserve">  - Axial-flow impellers (Ns &gt; 3) tend to have pronounced stall-region dips, and higher dead-head pressure relative to the BEP.</t>
  </si>
  <si>
    <t xml:space="preserve">  - Maximum flow rate (dp = 0) is usually around 1.4 - 1.6 times the BEP flow rate.</t>
  </si>
  <si>
    <t xml:space="preserve">Q bep</t>
  </si>
  <si>
    <t xml:space="preserve">dp bep</t>
  </si>
  <si>
    <t xml:space="preserve">Curve Scaling:</t>
  </si>
  <si>
    <t xml:space="preserve">Affinity Transform:</t>
  </si>
  <si>
    <t xml:space="preserve">dp/dp_bep</t>
  </si>
  <si>
    <t xml:space="preserve">From</t>
  </si>
  <si>
    <t xml:space="preserve">To</t>
  </si>
  <si>
    <t xml:space="preserve">AAA (Ns=5.0)</t>
  </si>
  <si>
    <t xml:space="preserve">IMV (Ns=3.2)</t>
  </si>
  <si>
    <t xml:space="preserve">CCAA/Cabin (Ns=1.5)</t>
  </si>
  <si>
    <t xml:space="preserve">ITCS (Ns=0.4)</t>
  </si>
</sst>
</file>

<file path=xl/styles.xml><?xml version="1.0" encoding="utf-8"?>
<styleSheet xmlns="http://schemas.openxmlformats.org/spreadsheetml/2006/main">
  <numFmts count="8">
    <numFmt numFmtId="164" formatCode="General"/>
    <numFmt numFmtId="165" formatCode="General"/>
    <numFmt numFmtId="166" formatCode="0.0E+00"/>
    <numFmt numFmtId="167" formatCode="0.00"/>
    <numFmt numFmtId="168" formatCode="0.000E+00"/>
    <numFmt numFmtId="169" formatCode="0"/>
    <numFmt numFmtId="170" formatCode="0.00000E+00"/>
    <numFmt numFmtId="171" formatCode="0.00E+00"/>
  </numFmts>
  <fonts count="14">
    <font>
      <sz val="10"/>
      <name val="Verdana"/>
      <family val="0"/>
      <charset val="1"/>
    </font>
    <font>
      <sz val="10"/>
      <name val="Arial"/>
      <family val="0"/>
      <charset val="238"/>
    </font>
    <font>
      <sz val="10"/>
      <name val="Arial"/>
      <family val="0"/>
      <charset val="238"/>
    </font>
    <font>
      <sz val="10"/>
      <name val="Arial"/>
      <family val="0"/>
      <charset val="238"/>
    </font>
    <font>
      <b val="true"/>
      <sz val="10"/>
      <name val="Verdana"/>
      <family val="2"/>
      <charset val="1"/>
    </font>
    <font>
      <sz val="10"/>
      <color rgb="FFFF0000"/>
      <name val="Verdana"/>
      <family val="2"/>
      <charset val="1"/>
    </font>
    <font>
      <sz val="10"/>
      <name val="Verdana"/>
      <family val="2"/>
      <charset val="1"/>
    </font>
    <font>
      <i val="true"/>
      <sz val="10"/>
      <name val="Verdana"/>
      <family val="2"/>
      <charset val="1"/>
    </font>
    <font>
      <b val="true"/>
      <sz val="12"/>
      <color rgb="FF000000"/>
      <name val="Calibri"/>
      <family val="2"/>
    </font>
    <font>
      <sz val="10"/>
      <color rgb="FF000000"/>
      <name val="Calibri"/>
      <family val="2"/>
    </font>
    <font>
      <b val="true"/>
      <sz val="10"/>
      <color rgb="FF000000"/>
      <name val="Calibri"/>
      <family val="2"/>
    </font>
    <font>
      <b val="true"/>
      <sz val="14"/>
      <color rgb="FF000000"/>
      <name val="Calibri"/>
      <family val="2"/>
    </font>
    <font>
      <sz val="8"/>
      <color rgb="FF000000"/>
      <name val="Tahoma"/>
      <family val="2"/>
      <charset val="1"/>
    </font>
    <font>
      <sz val="8"/>
      <color rgb="FF000000"/>
      <name val="Tahoma"/>
      <family val="0"/>
      <charset val="1"/>
    </font>
  </fonts>
  <fills count="6">
    <fill>
      <patternFill patternType="none"/>
    </fill>
    <fill>
      <patternFill patternType="gray125"/>
    </fill>
    <fill>
      <patternFill patternType="solid">
        <fgColor rgb="FFF2F2F2"/>
        <bgColor rgb="FFEBF1DE"/>
      </patternFill>
    </fill>
    <fill>
      <patternFill patternType="solid">
        <fgColor rgb="FFEBF1DE"/>
        <bgColor rgb="FFF2F2F2"/>
      </patternFill>
    </fill>
    <fill>
      <patternFill patternType="solid">
        <fgColor rgb="FFC0C0C0"/>
        <bgColor rgb="FFD9D9D9"/>
      </patternFill>
    </fill>
    <fill>
      <patternFill patternType="solid">
        <fgColor rgb="FFCCFFCC"/>
        <bgColor rgb="FFCCFFFF"/>
      </patternFill>
    </fill>
  </fills>
  <borders count="17">
    <border diagonalUp="false" diagonalDown="false">
      <left/>
      <right/>
      <top/>
      <bottom/>
      <diagonal/>
    </border>
    <border diagonalUp="false" diagonalDown="false">
      <left style="thick"/>
      <right/>
      <top style="thick"/>
      <bottom/>
      <diagonal/>
    </border>
    <border diagonalUp="false" diagonalDown="false">
      <left/>
      <right/>
      <top style="thick"/>
      <bottom/>
      <diagonal/>
    </border>
    <border diagonalUp="false" diagonalDown="false">
      <left/>
      <right style="thick"/>
      <top style="thick"/>
      <bottom/>
      <diagonal/>
    </border>
    <border diagonalUp="false" diagonalDown="false">
      <left style="thick"/>
      <right/>
      <top/>
      <bottom/>
      <diagonal/>
    </border>
    <border diagonalUp="false" diagonalDown="false">
      <left/>
      <right style="thick"/>
      <top/>
      <bottom/>
      <diagonal/>
    </border>
    <border diagonalUp="false" diagonalDown="false">
      <left style="thick"/>
      <right/>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medium">
        <color rgb="FFFF0000"/>
      </left>
      <right/>
      <top style="medium">
        <color rgb="FFFF0000"/>
      </top>
      <bottom/>
      <diagonal/>
    </border>
    <border diagonalUp="false" diagonalDown="false">
      <left/>
      <right/>
      <top style="medium">
        <color rgb="FFFF0000"/>
      </top>
      <bottom/>
      <diagonal/>
    </border>
    <border diagonalUp="false" diagonalDown="false">
      <left/>
      <right style="medium">
        <color rgb="FFFF0000"/>
      </right>
      <top style="medium">
        <color rgb="FFFF0000"/>
      </top>
      <bottom/>
      <diagonal/>
    </border>
    <border diagonalUp="false" diagonalDown="false">
      <left style="medium">
        <color rgb="FFFF0000"/>
      </left>
      <right/>
      <top/>
      <bottom/>
      <diagonal/>
    </border>
    <border diagonalUp="false" diagonalDown="false">
      <left/>
      <right style="medium">
        <color rgb="FFFF0000"/>
      </right>
      <top/>
      <bottom/>
      <diagonal/>
    </border>
    <border diagonalUp="false" diagonalDown="false">
      <left style="medium">
        <color rgb="FFFF0000"/>
      </left>
      <right/>
      <top/>
      <bottom style="medium">
        <color rgb="FFFF0000"/>
      </bottom>
      <diagonal/>
    </border>
    <border diagonalUp="false" diagonalDown="false">
      <left/>
      <right/>
      <top/>
      <bottom style="medium">
        <color rgb="FFFF0000"/>
      </bottom>
      <diagonal/>
    </border>
    <border diagonalUp="false" diagonalDown="false">
      <left/>
      <right style="medium">
        <color rgb="FFFF0000"/>
      </right>
      <top/>
      <bottom style="medium">
        <color rgb="FFFF00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8" fontId="6" fillId="3" borderId="0"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5" fontId="0" fillId="3" borderId="0" xfId="0" applyFont="fals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7" fontId="0" fillId="3" borderId="0" xfId="0" applyFont="false" applyBorder="true" applyAlignment="false" applyProtection="false">
      <alignment horizontal="general" vertical="bottom" textRotation="0" wrapText="false" indent="0" shrinkToFit="false"/>
      <protection locked="true" hidden="false"/>
    </xf>
    <xf numFmtId="168" fontId="0" fillId="3" borderId="0" xfId="0" applyFont="fals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7"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4" fillId="0" borderId="9"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4" fillId="0" borderId="12" xfId="0" applyFont="true" applyBorder="tru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6" fillId="0" borderId="15" xfId="0" applyFont="true" applyBorder="true" applyAlignment="false" applyProtection="false">
      <alignment horizontal="general" vertical="bottom" textRotation="0" wrapText="false" indent="0" shrinkToFit="false"/>
      <protection locked="true" hidden="false"/>
    </xf>
    <xf numFmtId="164" fontId="0" fillId="0" borderId="15" xfId="0" applyFont="false" applyBorder="true" applyAlignment="false" applyProtection="false">
      <alignment horizontal="general" vertical="bottom"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9C0006"/>
      </font>
      <fill>
        <patternFill>
          <bgColor rgb="FFFFC7CE"/>
        </patternFill>
      </fill>
    </dxf>
  </dxfs>
  <colors>
    <indexedColors>
      <rgbColor rgb="FF000000"/>
      <rgbColor rgb="FFF2F2F2"/>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BE4B48"/>
      <rgbColor rgb="FFEBF1DE"/>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46AAC4"/>
      <rgbColor rgb="FF98B855"/>
      <rgbColor rgb="FFFFCC00"/>
      <rgbColor rgb="FFF59240"/>
      <rgbColor rgb="FFFF6600"/>
      <rgbColor rgb="FF7D5FA0"/>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200" spc="-1" strike="noStrike">
                <a:solidFill>
                  <a:srgbClr val="000000"/>
                </a:solidFill>
                <a:latin typeface="Calibri"/>
              </a:defRPr>
            </a:pPr>
            <a:r>
              <a:rPr b="1" lang="en-US" sz="1200" spc="-1" strike="noStrike">
                <a:solidFill>
                  <a:srgbClr val="000000"/>
                </a:solidFill>
                <a:latin typeface="Calibri"/>
              </a:rPr>
              <a:t>Max speed (rpm) resulting from controller power load selection</a:t>
            </a:r>
          </a:p>
        </c:rich>
      </c:tx>
      <c:layout>
        <c:manualLayout>
          <c:xMode val="edge"/>
          <c:yMode val="edge"/>
          <c:x val="0.18110353010976"/>
          <c:y val="0"/>
        </c:manualLayout>
      </c:layout>
      <c:overlay val="0"/>
      <c:spPr>
        <a:noFill/>
        <a:ln w="0">
          <a:noFill/>
        </a:ln>
      </c:spPr>
    </c:title>
    <c:autoTitleDeleted val="0"/>
    <c:plotArea>
      <c:layout>
        <c:manualLayout>
          <c:layoutTarget val="inner"/>
          <c:xMode val="edge"/>
          <c:yMode val="edge"/>
          <c:x val="0.112132898249778"/>
          <c:y val="0.0835055808185201"/>
          <c:w val="0.813630970038564"/>
          <c:h val="0.7691883698498"/>
        </c:manualLayout>
      </c:layout>
      <c:scatterChart>
        <c:scatterStyle val="line"/>
        <c:varyColors val="0"/>
        <c:ser>
          <c:idx val="0"/>
          <c:order val="0"/>
          <c:tx>
            <c:strRef>
              <c:f>Tuning!$CP$148</c:f>
              <c:strCache>
                <c:ptCount val="1"/>
                <c:pt idx="0">
                  <c:v>Nmax (rpm)</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Tuning!$B$149:$B$249</c:f>
              <c:numCache>
                <c:formatCode>General</c:formatCode>
                <c:ptCount val="101"/>
                <c:pt idx="0">
                  <c:v>0</c:v>
                </c:pt>
                <c:pt idx="1">
                  <c:v>0.0196641300533647</c:v>
                </c:pt>
                <c:pt idx="2">
                  <c:v>0.0393282601067294</c:v>
                </c:pt>
                <c:pt idx="3">
                  <c:v>0.0589923901600941</c:v>
                </c:pt>
                <c:pt idx="4">
                  <c:v>0.0786565202134588</c:v>
                </c:pt>
                <c:pt idx="5">
                  <c:v>0.0983206502668235</c:v>
                </c:pt>
                <c:pt idx="6">
                  <c:v>0.117984780320188</c:v>
                </c:pt>
                <c:pt idx="7">
                  <c:v>0.137648910373553</c:v>
                </c:pt>
                <c:pt idx="8">
                  <c:v>0.157313040426918</c:v>
                </c:pt>
                <c:pt idx="9">
                  <c:v>0.176977170480282</c:v>
                </c:pt>
                <c:pt idx="10">
                  <c:v>0.196641300533647</c:v>
                </c:pt>
                <c:pt idx="11">
                  <c:v>0.216305430587012</c:v>
                </c:pt>
                <c:pt idx="12">
                  <c:v>0.235969560640376</c:v>
                </c:pt>
                <c:pt idx="13">
                  <c:v>0.255633690693741</c:v>
                </c:pt>
                <c:pt idx="14">
                  <c:v>0.275297820747106</c:v>
                </c:pt>
                <c:pt idx="15">
                  <c:v>0.29496195080047</c:v>
                </c:pt>
                <c:pt idx="16">
                  <c:v>0.314626080853835</c:v>
                </c:pt>
                <c:pt idx="17">
                  <c:v>0.3342902109072</c:v>
                </c:pt>
                <c:pt idx="18">
                  <c:v>0.353954340960565</c:v>
                </c:pt>
                <c:pt idx="19">
                  <c:v>0.373618471013929</c:v>
                </c:pt>
                <c:pt idx="20">
                  <c:v>0.393282601067294</c:v>
                </c:pt>
                <c:pt idx="21">
                  <c:v>0.412946731120659</c:v>
                </c:pt>
                <c:pt idx="22">
                  <c:v>0.432610861174023</c:v>
                </c:pt>
                <c:pt idx="23">
                  <c:v>0.452274991227388</c:v>
                </c:pt>
                <c:pt idx="24">
                  <c:v>0.471939121280753</c:v>
                </c:pt>
                <c:pt idx="25">
                  <c:v>0.491603251334117</c:v>
                </c:pt>
                <c:pt idx="26">
                  <c:v>0.511267381387482</c:v>
                </c:pt>
                <c:pt idx="27">
                  <c:v>0.530931511440847</c:v>
                </c:pt>
                <c:pt idx="28">
                  <c:v>0.550595641494212</c:v>
                </c:pt>
                <c:pt idx="29">
                  <c:v>0.570259771547576</c:v>
                </c:pt>
                <c:pt idx="30">
                  <c:v>0.589923901600941</c:v>
                </c:pt>
                <c:pt idx="31">
                  <c:v>0.609588031654306</c:v>
                </c:pt>
                <c:pt idx="32">
                  <c:v>0.629252161707671</c:v>
                </c:pt>
                <c:pt idx="33">
                  <c:v>0.648916291761035</c:v>
                </c:pt>
                <c:pt idx="34">
                  <c:v>0.6685804218144</c:v>
                </c:pt>
                <c:pt idx="35">
                  <c:v>0.688244551867765</c:v>
                </c:pt>
                <c:pt idx="36">
                  <c:v>0.707908681921129</c:v>
                </c:pt>
                <c:pt idx="37">
                  <c:v>0.727572811974494</c:v>
                </c:pt>
                <c:pt idx="38">
                  <c:v>0.747236942027859</c:v>
                </c:pt>
                <c:pt idx="39">
                  <c:v>0.766901072081224</c:v>
                </c:pt>
                <c:pt idx="40">
                  <c:v>0.786565202134588</c:v>
                </c:pt>
                <c:pt idx="41">
                  <c:v>0.806229332187953</c:v>
                </c:pt>
                <c:pt idx="42">
                  <c:v>0.825893462241318</c:v>
                </c:pt>
                <c:pt idx="43">
                  <c:v>0.845557592294682</c:v>
                </c:pt>
                <c:pt idx="44">
                  <c:v>0.865221722348047</c:v>
                </c:pt>
                <c:pt idx="45">
                  <c:v>0.884885852401412</c:v>
                </c:pt>
                <c:pt idx="46">
                  <c:v>0.904549982454777</c:v>
                </c:pt>
                <c:pt idx="47">
                  <c:v>0.924214112508141</c:v>
                </c:pt>
                <c:pt idx="48">
                  <c:v>0.943878242561506</c:v>
                </c:pt>
                <c:pt idx="49">
                  <c:v>0.963542372614871</c:v>
                </c:pt>
                <c:pt idx="50">
                  <c:v>0.983206502668235</c:v>
                </c:pt>
                <c:pt idx="51">
                  <c:v>1.0028706327216</c:v>
                </c:pt>
                <c:pt idx="52">
                  <c:v>1.02253476277496</c:v>
                </c:pt>
                <c:pt idx="53">
                  <c:v>1.04219889282833</c:v>
                </c:pt>
                <c:pt idx="54">
                  <c:v>1.06186302288169</c:v>
                </c:pt>
                <c:pt idx="55">
                  <c:v>1.08152715293506</c:v>
                </c:pt>
                <c:pt idx="56">
                  <c:v>1.10119128298842</c:v>
                </c:pt>
                <c:pt idx="57">
                  <c:v>1.12085541304179</c:v>
                </c:pt>
                <c:pt idx="58">
                  <c:v>1.14051954309515</c:v>
                </c:pt>
                <c:pt idx="59">
                  <c:v>1.16018367314852</c:v>
                </c:pt>
                <c:pt idx="60">
                  <c:v>1.17984780320188</c:v>
                </c:pt>
                <c:pt idx="61">
                  <c:v>1.19951193325525</c:v>
                </c:pt>
                <c:pt idx="62">
                  <c:v>1.21917606330861</c:v>
                </c:pt>
                <c:pt idx="63">
                  <c:v>1.23884019336198</c:v>
                </c:pt>
                <c:pt idx="64">
                  <c:v>1.25850432341534</c:v>
                </c:pt>
                <c:pt idx="65">
                  <c:v>1.27816845346871</c:v>
                </c:pt>
                <c:pt idx="66">
                  <c:v>1.29783258352207</c:v>
                </c:pt>
                <c:pt idx="67">
                  <c:v>1.31749671357544</c:v>
                </c:pt>
                <c:pt idx="68">
                  <c:v>1.3371608436288</c:v>
                </c:pt>
                <c:pt idx="69">
                  <c:v>1.35682497368216</c:v>
                </c:pt>
                <c:pt idx="70">
                  <c:v>1.37648910373553</c:v>
                </c:pt>
                <c:pt idx="71">
                  <c:v>1.39615323378889</c:v>
                </c:pt>
                <c:pt idx="72">
                  <c:v>1.41581736384226</c:v>
                </c:pt>
                <c:pt idx="73">
                  <c:v>1.43548149389562</c:v>
                </c:pt>
                <c:pt idx="74">
                  <c:v>1.45514562394899</c:v>
                </c:pt>
                <c:pt idx="75">
                  <c:v>1.47480975400235</c:v>
                </c:pt>
                <c:pt idx="76">
                  <c:v>1.49447388405572</c:v>
                </c:pt>
                <c:pt idx="77">
                  <c:v>1.51413801410908</c:v>
                </c:pt>
                <c:pt idx="78">
                  <c:v>1.53380214416245</c:v>
                </c:pt>
                <c:pt idx="79">
                  <c:v>1.55346627421581</c:v>
                </c:pt>
                <c:pt idx="80">
                  <c:v>1.57313040426918</c:v>
                </c:pt>
                <c:pt idx="81">
                  <c:v>1.59279453432254</c:v>
                </c:pt>
                <c:pt idx="82">
                  <c:v>1.61245866437591</c:v>
                </c:pt>
                <c:pt idx="83">
                  <c:v>1.63212279442927</c:v>
                </c:pt>
                <c:pt idx="84">
                  <c:v>1.65178692448264</c:v>
                </c:pt>
                <c:pt idx="85">
                  <c:v>1.671451054536</c:v>
                </c:pt>
                <c:pt idx="86">
                  <c:v>1.69111518458936</c:v>
                </c:pt>
                <c:pt idx="87">
                  <c:v>1.71077931464273</c:v>
                </c:pt>
                <c:pt idx="88">
                  <c:v>1.73044344469609</c:v>
                </c:pt>
                <c:pt idx="89">
                  <c:v>1.75010757474946</c:v>
                </c:pt>
                <c:pt idx="90">
                  <c:v>1.76977170480282</c:v>
                </c:pt>
                <c:pt idx="91">
                  <c:v>1.78943583485619</c:v>
                </c:pt>
                <c:pt idx="92">
                  <c:v>1.80909996490955</c:v>
                </c:pt>
                <c:pt idx="93">
                  <c:v>1.82876409496292</c:v>
                </c:pt>
                <c:pt idx="94">
                  <c:v>1.84842822501628</c:v>
                </c:pt>
                <c:pt idx="95">
                  <c:v>1.86809235506965</c:v>
                </c:pt>
                <c:pt idx="96">
                  <c:v>1.88775648512301</c:v>
                </c:pt>
                <c:pt idx="97">
                  <c:v>1.90742061517638</c:v>
                </c:pt>
                <c:pt idx="98">
                  <c:v>1.92708474522974</c:v>
                </c:pt>
                <c:pt idx="99">
                  <c:v>1.94674887528311</c:v>
                </c:pt>
                <c:pt idx="100">
                  <c:v>1.96641300533647</c:v>
                </c:pt>
              </c:numCache>
            </c:numRef>
          </c:xVal>
          <c:yVal>
            <c:numRef>
              <c:f>Tuning!$CP$149:$CP$249</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1211.61448812101</c:v>
                </c:pt>
                <c:pt idx="90">
                  <c:v>1352.79795372545</c:v>
                </c:pt>
                <c:pt idx="91">
                  <c:v>1431.08170525999</c:v>
                </c:pt>
                <c:pt idx="92">
                  <c:v>1474.77506504346</c:v>
                </c:pt>
                <c:pt idx="93">
                  <c:v>1497.82941397934</c:v>
                </c:pt>
                <c:pt idx="94">
                  <c:v>1507.81465847904</c:v>
                </c:pt>
                <c:pt idx="95">
                  <c:v>1507.78048212988</c:v>
                </c:pt>
                <c:pt idx="96">
                  <c:v>0</c:v>
                </c:pt>
                <c:pt idx="97">
                  <c:v>0</c:v>
                </c:pt>
                <c:pt idx="98">
                  <c:v>0</c:v>
                </c:pt>
                <c:pt idx="99">
                  <c:v>0</c:v>
                </c:pt>
                <c:pt idx="100">
                  <c:v>0</c:v>
                </c:pt>
              </c:numCache>
            </c:numRef>
          </c:yVal>
          <c:smooth val="0"/>
        </c:ser>
        <c:axId val="21701552"/>
        <c:axId val="33272708"/>
      </c:scatterChart>
      <c:valAx>
        <c:axId val="21701552"/>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Controller Power Load (W)</a:t>
                </a:r>
              </a:p>
            </c:rich>
          </c:tx>
          <c:layout>
            <c:manualLayout>
              <c:xMode val="edge"/>
              <c:yMode val="edge"/>
              <c:x val="0.353307623850489"/>
              <c:y val="0.925864682375637"/>
            </c:manualLayout>
          </c:layout>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272708"/>
        <c:crosses val="autoZero"/>
        <c:crossBetween val="midCat"/>
      </c:valAx>
      <c:valAx>
        <c:axId val="33272708"/>
        <c:scaling>
          <c:orientation val="minMax"/>
        </c:scaling>
        <c:delete val="0"/>
        <c:axPos val="l"/>
        <c:majorGridlines>
          <c:spPr>
            <a:ln w="9360">
              <a:solidFill>
                <a:srgbClr val="d9d9d9"/>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701552"/>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400" spc="-1" strike="noStrike">
                <a:solidFill>
                  <a:srgbClr val="000000"/>
                </a:solidFill>
                <a:latin typeface="Calibri"/>
              </a:defRPr>
            </a:pPr>
            <a:r>
              <a:rPr b="1" lang="en-US" sz="1400" spc="-1" strike="noStrike">
                <a:solidFill>
                  <a:srgbClr val="000000"/>
                </a:solidFill>
                <a:latin typeface="Calibri"/>
              </a:rPr>
              <a:t>Power (W) vs. Flow Rate</a:t>
            </a:r>
          </a:p>
        </c:rich>
      </c:tx>
      <c:layout>
        <c:manualLayout>
          <c:xMode val="edge"/>
          <c:yMode val="edge"/>
          <c:x val="0.299743119266055"/>
          <c:y val="0.000275938189845475"/>
        </c:manualLayout>
      </c:layout>
      <c:overlay val="0"/>
      <c:spPr>
        <a:noFill/>
        <a:ln w="0">
          <a:noFill/>
        </a:ln>
      </c:spPr>
    </c:title>
    <c:autoTitleDeleted val="0"/>
    <c:plotArea>
      <c:layout>
        <c:manualLayout>
          <c:layoutTarget val="inner"/>
          <c:xMode val="edge"/>
          <c:yMode val="edge"/>
          <c:x val="0.0843302752293578"/>
          <c:y val="0.054083885209713"/>
          <c:w val="0.740550458715596"/>
          <c:h val="0.799530905077263"/>
        </c:manualLayout>
      </c:layout>
      <c:scatterChart>
        <c:scatterStyle val="line"/>
        <c:varyColors val="0"/>
        <c:ser>
          <c:idx val="0"/>
          <c:order val="0"/>
          <c:tx>
            <c:strRef>
              <c:f>Tuning!$AD$2</c:f>
              <c:strCache>
                <c:ptCount val="1"/>
                <c:pt idx="0">
                  <c:v>point 1</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Tuning!$AD$3:$AD$25</c:f>
              <c:numCache>
                <c:formatCode>General</c:formatCode>
                <c:ptCount val="23"/>
                <c:pt idx="21">
                  <c:v>0</c:v>
                </c:pt>
                <c:pt idx="22">
                  <c:v>3</c:v>
                </c:pt>
              </c:numCache>
            </c:numRef>
          </c:yVal>
          <c:smooth val="0"/>
        </c:ser>
        <c:ser>
          <c:idx val="1"/>
          <c:order val="1"/>
          <c:tx>
            <c:strRef>
              <c:f>Tuning!$AV$2</c:f>
              <c:strCache>
                <c:ptCount val="1"/>
                <c:pt idx="0">
                  <c:v>total</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Tuning!$AV$3:$AV$25</c:f>
              <c:numCache>
                <c:formatCode>General</c:formatCode>
                <c:ptCount val="23"/>
                <c:pt idx="0">
                  <c:v>2.49666402110292</c:v>
                </c:pt>
                <c:pt idx="1">
                  <c:v>2.55390976653944</c:v>
                </c:pt>
                <c:pt idx="2">
                  <c:v>2.61025091268681</c:v>
                </c:pt>
                <c:pt idx="3">
                  <c:v>2.66542825311682</c:v>
                </c:pt>
                <c:pt idx="4">
                  <c:v>2.71919539217882</c:v>
                </c:pt>
                <c:pt idx="5">
                  <c:v>2.77131874499967</c:v>
                </c:pt>
                <c:pt idx="6">
                  <c:v>2.82157753748377</c:v>
                </c:pt>
                <c:pt idx="7">
                  <c:v>2.86976380631302</c:v>
                </c:pt>
                <c:pt idx="8">
                  <c:v>2.91568239894687</c:v>
                </c:pt>
                <c:pt idx="9">
                  <c:v>2.95915097362229</c:v>
                </c:pt>
                <c:pt idx="10">
                  <c:v>2.99999999935378</c:v>
                </c:pt>
                <c:pt idx="11">
                  <c:v>3.03807275593336</c:v>
                </c:pt>
                <c:pt idx="12">
                  <c:v>3.07322533393057</c:v>
                </c:pt>
                <c:pt idx="13">
                  <c:v>3.10532663469249</c:v>
                </c:pt>
                <c:pt idx="14">
                  <c:v>3.13425837034373</c:v>
                </c:pt>
                <c:pt idx="15">
                  <c:v>3.1599150637864</c:v>
                </c:pt>
                <c:pt idx="16">
                  <c:v>3.18220404870018</c:v>
                </c:pt>
                <c:pt idx="17">
                  <c:v>3.20104546954223</c:v>
                </c:pt>
                <c:pt idx="18">
                  <c:v>3.21637228154727</c:v>
                </c:pt>
                <c:pt idx="19">
                  <c:v>3.22813025072752</c:v>
                </c:pt>
                <c:pt idx="20">
                  <c:v>3.23627795387275</c:v>
                </c:pt>
              </c:numCache>
            </c:numRef>
          </c:yVal>
          <c:smooth val="0"/>
        </c:ser>
        <c:ser>
          <c:idx val="2"/>
          <c:order val="2"/>
          <c:tx>
            <c:strRef>
              <c:f>Tuning!$AW$2</c:f>
              <c:strCache>
                <c:ptCount val="1"/>
                <c:pt idx="0">
                  <c:v>motor</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Tuning!$AW$3:$AW$25</c:f>
              <c:numCache>
                <c:formatCode>General</c:formatCode>
                <c:ptCount val="23"/>
                <c:pt idx="0">
                  <c:v>0.69666402110292</c:v>
                </c:pt>
                <c:pt idx="1">
                  <c:v>0.753909766539442</c:v>
                </c:pt>
                <c:pt idx="2">
                  <c:v>0.810250912686806</c:v>
                </c:pt>
                <c:pt idx="3">
                  <c:v>0.865428253116819</c:v>
                </c:pt>
                <c:pt idx="4">
                  <c:v>0.919195392178821</c:v>
                </c:pt>
                <c:pt idx="5">
                  <c:v>0.971318744999674</c:v>
                </c:pt>
                <c:pt idx="6">
                  <c:v>1.02157753748377</c:v>
                </c:pt>
                <c:pt idx="7">
                  <c:v>1.06976380631302</c:v>
                </c:pt>
                <c:pt idx="8">
                  <c:v>1.11568239894687</c:v>
                </c:pt>
                <c:pt idx="9">
                  <c:v>1.15915097362229</c:v>
                </c:pt>
                <c:pt idx="10">
                  <c:v>1.19999999935378</c:v>
                </c:pt>
                <c:pt idx="11">
                  <c:v>1.23807275593336</c:v>
                </c:pt>
                <c:pt idx="12">
                  <c:v>1.27322533393057</c:v>
                </c:pt>
                <c:pt idx="13">
                  <c:v>1.30532663469249</c:v>
                </c:pt>
                <c:pt idx="14">
                  <c:v>1.33425837034373</c:v>
                </c:pt>
                <c:pt idx="15">
                  <c:v>1.3599150637864</c:v>
                </c:pt>
                <c:pt idx="16">
                  <c:v>1.38220404870018</c:v>
                </c:pt>
                <c:pt idx="17">
                  <c:v>1.40104546954223</c:v>
                </c:pt>
                <c:pt idx="18">
                  <c:v>1.41637228154727</c:v>
                </c:pt>
                <c:pt idx="19">
                  <c:v>1.42813025072752</c:v>
                </c:pt>
                <c:pt idx="20">
                  <c:v>1.43627795387275</c:v>
                </c:pt>
              </c:numCache>
            </c:numRef>
          </c:yVal>
          <c:smooth val="0"/>
        </c:ser>
        <c:ser>
          <c:idx val="3"/>
          <c:order val="3"/>
          <c:tx>
            <c:strRef>
              <c:f>Tuning!$AX$2</c:f>
              <c:strCache>
                <c:ptCount val="1"/>
                <c:pt idx="0">
                  <c:v>shaft</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Tuning!$AX$3:$AX$25</c:f>
              <c:numCache>
                <c:formatCode>General</c:formatCode>
                <c:ptCount val="23"/>
                <c:pt idx="0">
                  <c:v>0.391925495359615</c:v>
                </c:pt>
                <c:pt idx="1">
                  <c:v>0.413953382364568</c:v>
                </c:pt>
                <c:pt idx="2">
                  <c:v>0.434943855728513</c:v>
                </c:pt>
                <c:pt idx="3">
                  <c:v>0.454896915451449</c:v>
                </c:pt>
                <c:pt idx="4">
                  <c:v>0.473812561533376</c:v>
                </c:pt>
                <c:pt idx="5">
                  <c:v>0.491690793974295</c:v>
                </c:pt>
                <c:pt idx="6">
                  <c:v>0.508531612774206</c:v>
                </c:pt>
                <c:pt idx="7">
                  <c:v>0.524335017933107</c:v>
                </c:pt>
                <c:pt idx="8">
                  <c:v>0.539101009451</c:v>
                </c:pt>
                <c:pt idx="9">
                  <c:v>0.552829587327885</c:v>
                </c:pt>
                <c:pt idx="10">
                  <c:v>0.56552075156376</c:v>
                </c:pt>
                <c:pt idx="11">
                  <c:v>0.577174502158627</c:v>
                </c:pt>
                <c:pt idx="12">
                  <c:v>0.587790839112486</c:v>
                </c:pt>
                <c:pt idx="13">
                  <c:v>0.597369762425336</c:v>
                </c:pt>
                <c:pt idx="14">
                  <c:v>0.605911272097177</c:v>
                </c:pt>
                <c:pt idx="15">
                  <c:v>0.613415368128009</c:v>
                </c:pt>
                <c:pt idx="16">
                  <c:v>0.619882050517833</c:v>
                </c:pt>
                <c:pt idx="17">
                  <c:v>0.625311319266648</c:v>
                </c:pt>
                <c:pt idx="18">
                  <c:v>0.629703174374455</c:v>
                </c:pt>
                <c:pt idx="19">
                  <c:v>0.633057615841253</c:v>
                </c:pt>
                <c:pt idx="20">
                  <c:v>0.635374643667042</c:v>
                </c:pt>
              </c:numCache>
            </c:numRef>
          </c:yVal>
          <c:smooth val="0"/>
        </c:ser>
        <c:ser>
          <c:idx val="4"/>
          <c:order val="4"/>
          <c:tx>
            <c:strRef>
              <c:f>Tuning!$AY$2</c:f>
              <c:strCache>
                <c:ptCount val="1"/>
                <c:pt idx="0">
                  <c:v>impeller</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Tuning!$AY$3:$AY$25</c:f>
              <c:numCache>
                <c:formatCode>General</c:formatCode>
                <c:ptCount val="23"/>
                <c:pt idx="0">
                  <c:v>0.0951007009048868</c:v>
                </c:pt>
                <c:pt idx="1">
                  <c:v>0.11712858790984</c:v>
                </c:pt>
                <c:pt idx="2">
                  <c:v>0.138119061273785</c:v>
                </c:pt>
                <c:pt idx="3">
                  <c:v>0.158072120996721</c:v>
                </c:pt>
                <c:pt idx="4">
                  <c:v>0.176987767078649</c:v>
                </c:pt>
                <c:pt idx="5">
                  <c:v>0.194865999519568</c:v>
                </c:pt>
                <c:pt idx="6">
                  <c:v>0.211706818319478</c:v>
                </c:pt>
                <c:pt idx="7">
                  <c:v>0.227510223478379</c:v>
                </c:pt>
                <c:pt idx="8">
                  <c:v>0.242276214996272</c:v>
                </c:pt>
                <c:pt idx="9">
                  <c:v>0.256004792873157</c:v>
                </c:pt>
                <c:pt idx="10">
                  <c:v>0.268695957109033</c:v>
                </c:pt>
                <c:pt idx="11">
                  <c:v>0.2803497077039</c:v>
                </c:pt>
                <c:pt idx="12">
                  <c:v>0.290966044657758</c:v>
                </c:pt>
                <c:pt idx="13">
                  <c:v>0.300544967970608</c:v>
                </c:pt>
                <c:pt idx="14">
                  <c:v>0.309086477642449</c:v>
                </c:pt>
                <c:pt idx="15">
                  <c:v>0.316590573673282</c:v>
                </c:pt>
                <c:pt idx="16">
                  <c:v>0.323057256063106</c:v>
                </c:pt>
                <c:pt idx="17">
                  <c:v>0.328486524811921</c:v>
                </c:pt>
                <c:pt idx="18">
                  <c:v>0.332878379919727</c:v>
                </c:pt>
                <c:pt idx="19">
                  <c:v>0.336232821386525</c:v>
                </c:pt>
                <c:pt idx="20">
                  <c:v>0.338549849212315</c:v>
                </c:pt>
              </c:numCache>
            </c:numRef>
          </c:yVal>
          <c:smooth val="0"/>
        </c:ser>
        <c:ser>
          <c:idx val="5"/>
          <c:order val="5"/>
          <c:tx>
            <c:strRef>
              <c:f>Tuning!$AZ$2</c:f>
              <c:strCache>
                <c:ptCount val="1"/>
                <c:pt idx="0">
                  <c:v>hydraulic</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Tuning!$AZ$3:$AZ$25</c:f>
              <c:numCache>
                <c:formatCode>General</c:formatCode>
                <c:ptCount val="23"/>
                <c:pt idx="0">
                  <c:v>0</c:v>
                </c:pt>
                <c:pt idx="1">
                  <c:v>0.047499999926354</c:v>
                </c:pt>
                <c:pt idx="2">
                  <c:v>0.0899999998690737</c:v>
                </c:pt>
                <c:pt idx="3">
                  <c:v>0.127499999828159</c:v>
                </c:pt>
                <c:pt idx="4">
                  <c:v>0.159999999803611</c:v>
                </c:pt>
                <c:pt idx="5">
                  <c:v>0.187499999795428</c:v>
                </c:pt>
                <c:pt idx="6">
                  <c:v>0.209999999803611</c:v>
                </c:pt>
                <c:pt idx="7">
                  <c:v>0.227499999828159</c:v>
                </c:pt>
                <c:pt idx="8">
                  <c:v>0.239999999869074</c:v>
                </c:pt>
                <c:pt idx="9">
                  <c:v>0.247499999926354</c:v>
                </c:pt>
                <c:pt idx="10">
                  <c:v>0.25</c:v>
                </c:pt>
                <c:pt idx="11">
                  <c:v>0.247500000090012</c:v>
                </c:pt>
                <c:pt idx="12">
                  <c:v>0.240000000196389</c:v>
                </c:pt>
                <c:pt idx="13">
                  <c:v>0.227500000319133</c:v>
                </c:pt>
                <c:pt idx="14">
                  <c:v>0.210000000458242</c:v>
                </c:pt>
                <c:pt idx="15">
                  <c:v>0.187500000613717</c:v>
                </c:pt>
                <c:pt idx="16">
                  <c:v>0.160000000785558</c:v>
                </c:pt>
                <c:pt idx="17">
                  <c:v>0.127500000973764</c:v>
                </c:pt>
                <c:pt idx="18">
                  <c:v>0.0900000011783365</c:v>
                </c:pt>
                <c:pt idx="19">
                  <c:v>0.0475000013992746</c:v>
                </c:pt>
                <c:pt idx="20">
                  <c:v>1.63657851447177E-009</c:v>
                </c:pt>
              </c:numCache>
            </c:numRef>
          </c:yVal>
          <c:smooth val="0"/>
        </c:ser>
        <c:axId val="11160723"/>
        <c:axId val="39474173"/>
      </c:scatterChart>
      <c:valAx>
        <c:axId val="11160723"/>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Q (m3/s)</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474173"/>
        <c:crosses val="autoZero"/>
        <c:crossBetween val="midCat"/>
      </c:valAx>
      <c:valAx>
        <c:axId val="39474173"/>
        <c:scaling>
          <c:orientation val="minMax"/>
        </c:scaling>
        <c:delete val="0"/>
        <c:axPos val="l"/>
        <c:majorGridlines>
          <c:spPr>
            <a:ln w="9360">
              <a:solidFill>
                <a:srgbClr val="d9d9d9"/>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160723"/>
        <c:crosses val="autoZero"/>
        <c:crossBetween val="midCat"/>
      </c:valAx>
      <c:spPr>
        <a:noFill/>
        <a:ln w="0">
          <a:noFill/>
        </a:ln>
      </c:spPr>
    </c:plotArea>
    <c:legend>
      <c:legendPos val="r"/>
      <c:layout>
        <c:manualLayout>
          <c:xMode val="edge"/>
          <c:yMode val="edge"/>
          <c:x val="0.816638705876051"/>
          <c:y val="0.00243922064486466"/>
          <c:w val="0.183361294123949"/>
          <c:h val="0.527968274038738"/>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400" spc="-1" strike="noStrike">
                <a:solidFill>
                  <a:srgbClr val="000000"/>
                </a:solidFill>
                <a:latin typeface="Calibri"/>
              </a:defRPr>
            </a:pPr>
            <a:r>
              <a:rPr b="1" lang="en-US" sz="1400" spc="-1" strike="noStrike">
                <a:solidFill>
                  <a:srgbClr val="000000"/>
                </a:solidFill>
                <a:latin typeface="Calibri"/>
              </a:rPr>
              <a:t>Efficiency</a:t>
            </a:r>
          </a:p>
        </c:rich>
      </c:tx>
      <c:layout>
        <c:manualLayout>
          <c:xMode val="edge"/>
          <c:yMode val="edge"/>
          <c:x val="0.422385321100917"/>
          <c:y val="0.000138927479855515"/>
        </c:manualLayout>
      </c:layout>
      <c:overlay val="0"/>
      <c:spPr>
        <a:noFill/>
        <a:ln w="0">
          <a:noFill/>
        </a:ln>
      </c:spPr>
    </c:title>
    <c:autoTitleDeleted val="0"/>
    <c:plotArea>
      <c:layout>
        <c:manualLayout>
          <c:layoutTarget val="inner"/>
          <c:xMode val="edge"/>
          <c:yMode val="edge"/>
          <c:x val="0.0773577981651376"/>
          <c:y val="0.054459572103362"/>
          <c:w val="0.760587155963303"/>
          <c:h val="0.797026951931092"/>
        </c:manualLayout>
      </c:layout>
      <c:scatterChart>
        <c:scatterStyle val="line"/>
        <c:varyColors val="0"/>
        <c:ser>
          <c:idx val="0"/>
          <c:order val="0"/>
          <c:tx>
            <c:strRef>
              <c:f>Tuning!$AH$2</c:f>
              <c:strCache>
                <c:ptCount val="1"/>
                <c:pt idx="0">
                  <c:v>point 1</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Tuning!$AH$3:$AH$25</c:f>
              <c:numCache>
                <c:formatCode>General</c:formatCode>
                <c:ptCount val="23"/>
                <c:pt idx="21">
                  <c:v>0</c:v>
                </c:pt>
                <c:pt idx="22">
                  <c:v>0.9</c:v>
                </c:pt>
              </c:numCache>
            </c:numRef>
          </c:yVal>
          <c:smooth val="0"/>
        </c:ser>
        <c:ser>
          <c:idx val="1"/>
          <c:order val="1"/>
          <c:tx>
            <c:strRef>
              <c:f>Tuning!$AM$2</c:f>
              <c:strCache>
                <c:ptCount val="1"/>
                <c:pt idx="0">
                  <c:v>impeller</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Tuning!$AM$3:$AM$25</c:f>
              <c:numCache>
                <c:formatCode>General</c:formatCode>
                <c:ptCount val="23"/>
                <c:pt idx="0">
                  <c:v>0</c:v>
                </c:pt>
                <c:pt idx="1">
                  <c:v>0.405537202949267</c:v>
                </c:pt>
                <c:pt idx="2">
                  <c:v>0.651611725702886</c:v>
                </c:pt>
                <c:pt idx="3">
                  <c:v>0.806593844785595</c:v>
                </c:pt>
                <c:pt idx="4">
                  <c:v>0.90401728008982</c:v>
                </c:pt>
                <c:pt idx="5">
                  <c:v>0.962199666733548</c:v>
                </c:pt>
                <c:pt idx="6">
                  <c:v>0.991937819814137</c:v>
                </c:pt>
                <c:pt idx="7">
                  <c:v>0.999955062897553</c:v>
                </c:pt>
                <c:pt idx="8">
                  <c:v>0.990604875814022</c:v>
                </c:pt>
                <c:pt idx="9">
                  <c:v>0.966778774524676</c:v>
                </c:pt>
                <c:pt idx="10">
                  <c:v>0.930419656067076</c:v>
                </c:pt>
                <c:pt idx="11">
                  <c:v>0.882825960893874</c:v>
                </c:pt>
                <c:pt idx="12">
                  <c:v>0.824838515018767</c:v>
                </c:pt>
                <c:pt idx="13">
                  <c:v>0.756958274348421</c:v>
                </c:pt>
                <c:pt idx="14">
                  <c:v>0.679421507081167</c:v>
                </c:pt>
                <c:pt idx="15">
                  <c:v>0.592247578436164</c:v>
                </c:pt>
                <c:pt idx="16">
                  <c:v>0.495268246673598</c:v>
                </c:pt>
                <c:pt idx="17">
                  <c:v>0.388143778642872</c:v>
                </c:pt>
                <c:pt idx="18">
                  <c:v>0.270369019460019</c:v>
                </c:pt>
                <c:pt idx="19">
                  <c:v>0.141271162057882</c:v>
                </c:pt>
                <c:pt idx="20">
                  <c:v>4.83408431071378E-009</c:v>
                </c:pt>
              </c:numCache>
            </c:numRef>
          </c:yVal>
          <c:smooth val="0"/>
        </c:ser>
        <c:ser>
          <c:idx val="2"/>
          <c:order val="2"/>
          <c:tx>
            <c:strRef>
              <c:f>Tuning!$AN$2</c:f>
              <c:strCache>
                <c:ptCount val="1"/>
                <c:pt idx="0">
                  <c:v>motor</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Tuning!$AN$3:$AN$25</c:f>
              <c:numCache>
                <c:formatCode>General</c:formatCode>
                <c:ptCount val="23"/>
                <c:pt idx="0">
                  <c:v>0.562574617732002</c:v>
                </c:pt>
                <c:pt idx="1">
                  <c:v>0.549075500460321</c:v>
                </c:pt>
                <c:pt idx="2">
                  <c:v>0.536801438811382</c:v>
                </c:pt>
                <c:pt idx="3">
                  <c:v>0.525632152420664</c:v>
                </c:pt>
                <c:pt idx="4">
                  <c:v>0.515464465515076</c:v>
                </c:pt>
                <c:pt idx="5">
                  <c:v>0.50620951825084</c:v>
                </c:pt>
                <c:pt idx="6">
                  <c:v>0.497790519187375</c:v>
                </c:pt>
                <c:pt idx="7">
                  <c:v>0.490140921611703</c:v>
                </c:pt>
                <c:pt idx="8">
                  <c:v>0.483202934777742</c:v>
                </c:pt>
                <c:pt idx="9">
                  <c:v>0.476926302015964</c:v>
                </c:pt>
                <c:pt idx="10">
                  <c:v>0.471267293223585</c:v>
                </c:pt>
                <c:pt idx="11">
                  <c:v>0.466187870941</c:v>
                </c:pt>
                <c:pt idx="12">
                  <c:v>0.461654998096778</c:v>
                </c:pt>
                <c:pt idx="13">
                  <c:v>0.457640062302157</c:v>
                </c:pt>
                <c:pt idx="14">
                  <c:v>0.454118396829757</c:v>
                </c:pt>
                <c:pt idx="15">
                  <c:v>0.451068882508059</c:v>
                </c:pt>
                <c:pt idx="16">
                  <c:v>0.448473617987712</c:v>
                </c:pt>
                <c:pt idx="17">
                  <c:v>0.446317648399348</c:v>
                </c:pt>
                <c:pt idx="18">
                  <c:v>0.444588744483589</c:v>
                </c:pt>
                <c:pt idx="19">
                  <c:v>0.443277225952437</c:v>
                </c:pt>
                <c:pt idx="20">
                  <c:v>0.442375824229446</c:v>
                </c:pt>
              </c:numCache>
            </c:numRef>
          </c:yVal>
          <c:smooth val="0"/>
        </c:ser>
        <c:ser>
          <c:idx val="3"/>
          <c:order val="3"/>
          <c:tx>
            <c:strRef>
              <c:f>Tuning!$AO$2</c:f>
              <c:strCache>
                <c:ptCount val="1"/>
                <c:pt idx="0">
                  <c:v>total</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Tuning!$AO$3:$AO$25</c:f>
              <c:numCache>
                <c:formatCode>General</c:formatCode>
                <c:ptCount val="23"/>
                <c:pt idx="0">
                  <c:v>0</c:v>
                </c:pt>
                <c:pt idx="1">
                  <c:v>0.0185989342883937</c:v>
                </c:pt>
                <c:pt idx="2">
                  <c:v>0.0344794438847391</c:v>
                </c:pt>
                <c:pt idx="3">
                  <c:v>0.0478347146200867</c:v>
                </c:pt>
                <c:pt idx="4">
                  <c:v>0.0588409351765658</c:v>
                </c:pt>
                <c:pt idx="5">
                  <c:v>0.0676573202320146</c:v>
                </c:pt>
                <c:pt idx="6">
                  <c:v>0.0744264501024078</c:v>
                </c:pt>
                <c:pt idx="7">
                  <c:v>0.0792748167384701</c:v>
                </c:pt>
                <c:pt idx="8">
                  <c:v>0.0823134920167438</c:v>
                </c:pt>
                <c:pt idx="9">
                  <c:v>0.0836388552434651</c:v>
                </c:pt>
                <c:pt idx="10">
                  <c:v>0.0833333333512839</c:v>
                </c:pt>
                <c:pt idx="11">
                  <c:v>0.0814661201271906</c:v>
                </c:pt>
                <c:pt idx="12">
                  <c:v>0.0780938506352335</c:v>
                </c:pt>
                <c:pt idx="13">
                  <c:v>0.0732612143848312</c:v>
                </c:pt>
                <c:pt idx="14">
                  <c:v>0.0670014962535497</c:v>
                </c:pt>
                <c:pt idx="15">
                  <c:v>0.0593370381256523</c:v>
                </c:pt>
                <c:pt idx="16">
                  <c:v>0.0502796170003342</c:v>
                </c:pt>
                <c:pt idx="17">
                  <c:v>0.0398307372347315</c:v>
                </c:pt>
                <c:pt idx="18">
                  <c:v>0.0279818358386801</c:v>
                </c:pt>
                <c:pt idx="19">
                  <c:v>0.0147144005074051</c:v>
                </c:pt>
                <c:pt idx="20">
                  <c:v>5.0569776076042E-010</c:v>
                </c:pt>
              </c:numCache>
            </c:numRef>
          </c:yVal>
          <c:smooth val="0"/>
        </c:ser>
        <c:axId val="69343786"/>
        <c:axId val="44146542"/>
      </c:scatterChart>
      <c:valAx>
        <c:axId val="69343786"/>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Q (m3/s)</a:t>
                </a:r>
              </a:p>
            </c:rich>
          </c:tx>
          <c:layout>
            <c:manualLayout>
              <c:xMode val="edge"/>
              <c:yMode val="edge"/>
              <c:x val="0.376366972477064"/>
              <c:y val="0.925257015837733"/>
            </c:manualLayout>
          </c:layout>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146542"/>
        <c:crosses val="autoZero"/>
        <c:crossBetween val="midCat"/>
      </c:valAx>
      <c:valAx>
        <c:axId val="44146542"/>
        <c:scaling>
          <c:orientation val="minMax"/>
        </c:scaling>
        <c:delete val="0"/>
        <c:axPos val="l"/>
        <c:majorGridlines>
          <c:spPr>
            <a:ln w="9360">
              <a:solidFill>
                <a:srgbClr val="d9d9d9"/>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343786"/>
        <c:crosses val="autoZero"/>
        <c:crossBetween val="midCat"/>
      </c:valAx>
      <c:spPr>
        <a:noFill/>
        <a:ln w="0">
          <a:noFill/>
        </a:ln>
      </c:spPr>
    </c:plotArea>
    <c:legend>
      <c:legendPos val="r"/>
      <c:layout>
        <c:manualLayout>
          <c:xMode val="edge"/>
          <c:yMode val="edge"/>
          <c:x val="0.82703326369918"/>
          <c:y val="0.00408908445267872"/>
          <c:w val="0.17296673630082"/>
          <c:h val="0.354566929133858"/>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400" spc="-1" strike="noStrike">
                <a:solidFill>
                  <a:srgbClr val="000000"/>
                </a:solidFill>
                <a:latin typeface="Calibri"/>
              </a:defRPr>
            </a:pPr>
            <a:r>
              <a:rPr b="1" lang="en-US" sz="1400" spc="-1" strike="noStrike">
                <a:solidFill>
                  <a:srgbClr val="000000"/>
                </a:solidFill>
                <a:latin typeface="Calibri"/>
              </a:rPr>
              <a:t>Max speed (rpm)</a:t>
            </a:r>
          </a:p>
        </c:rich>
      </c:tx>
      <c:layout>
        <c:manualLayout>
          <c:xMode val="edge"/>
          <c:yMode val="edge"/>
          <c:x val="0.37343119266055"/>
          <c:y val="0.000275254610514726"/>
        </c:manualLayout>
      </c:layout>
      <c:overlay val="0"/>
      <c:spPr>
        <a:noFill/>
        <a:ln w="0">
          <a:noFill/>
        </a:ln>
      </c:spPr>
    </c:title>
    <c:autoTitleDeleted val="0"/>
    <c:plotArea>
      <c:layout>
        <c:manualLayout>
          <c:layoutTarget val="inner"/>
          <c:xMode val="edge"/>
          <c:yMode val="edge"/>
          <c:x val="0.111926605504587"/>
          <c:y val="0.0540875309661437"/>
          <c:w val="0.733724770642202"/>
          <c:h val="0.794522433250757"/>
        </c:manualLayout>
      </c:layout>
      <c:scatterChart>
        <c:scatterStyle val="lineMarker"/>
        <c:varyColors val="0"/>
        <c:ser>
          <c:idx val="0"/>
          <c:order val="0"/>
          <c:tx>
            <c:strRef>
              <c:f>Tuning!$AT$2</c:f>
              <c:strCache>
                <c:ptCount val="1"/>
                <c:pt idx="0">
                  <c:v>point 1</c:v>
                </c:pt>
              </c:strCache>
            </c:strRef>
          </c:tx>
          <c:spPr>
            <a:solidFill>
              <a:srgbClr val="4a7ebb"/>
            </a:solidFill>
            <a:ln w="28440">
              <a:solidFill>
                <a:srgbClr val="4a7ebb"/>
              </a:solidFill>
              <a:round/>
            </a:ln>
          </c:spPr>
          <c:marker>
            <c:symbol val="diamond"/>
            <c:size val="10"/>
            <c:spPr>
              <a:solidFill>
                <a:srgbClr val="4a7ebb"/>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Tuning!$AT$3:$AT$25</c:f>
              <c:numCache>
                <c:formatCode>General</c:formatCode>
                <c:ptCount val="23"/>
                <c:pt idx="22">
                  <c:v>1000</c:v>
                </c:pt>
              </c:numCache>
            </c:numRef>
          </c:yVal>
          <c:smooth val="0"/>
        </c:ser>
        <c:ser>
          <c:idx val="1"/>
          <c:order val="1"/>
          <c:tx>
            <c:strRef>
              <c:f>Tuning!$AU$2</c:f>
              <c:strCache>
                <c:ptCount val="1"/>
                <c:pt idx="0">
                  <c:v>max</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Tuning!$AC$3:$AC$25</c:f>
              <c:numCache>
                <c:formatCode>General</c:formatCode>
                <c:ptCount val="23"/>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numCache>
            </c:numRef>
          </c:xVal>
          <c:yVal>
            <c:numRef>
              <c:f>Tuning!$AU$3:$AU$25</c:f>
              <c:numCache>
                <c:formatCode>General</c:formatCode>
                <c:ptCount val="23"/>
                <c:pt idx="0">
                  <c:v>1790.67720978309</c:v>
                </c:pt>
                <c:pt idx="1">
                  <c:v>1732.47330548717</c:v>
                </c:pt>
                <c:pt idx="2">
                  <c:v>1682.96741963982</c:v>
                </c:pt>
                <c:pt idx="3">
                  <c:v>1640.3536595626</c:v>
                </c:pt>
                <c:pt idx="4">
                  <c:v>1603.33665610766</c:v>
                </c:pt>
                <c:pt idx="5">
                  <c:v>1570.95822725702</c:v>
                </c:pt>
                <c:pt idx="6">
                  <c:v>1542.49176150358</c:v>
                </c:pt>
                <c:pt idx="7">
                  <c:v>1517.37491717304</c:v>
                </c:pt>
                <c:pt idx="8">
                  <c:v>1495.16512264072</c:v>
                </c:pt>
                <c:pt idx="9">
                  <c:v>1475.50922696381</c:v>
                </c:pt>
                <c:pt idx="10">
                  <c:v>1458.12225088171</c:v>
                </c:pt>
                <c:pt idx="11">
                  <c:v>1442.77217290761</c:v>
                </c:pt>
                <c:pt idx="12">
                  <c:v>1429.26882674294</c:v>
                </c:pt>
                <c:pt idx="13">
                  <c:v>1417.45566726305</c:v>
                </c:pt>
                <c:pt idx="14">
                  <c:v>1407.203581853</c:v>
                </c:pt>
                <c:pt idx="15">
                  <c:v>1398.4061897777</c:v>
                </c:pt>
                <c:pt idx="16">
                  <c:v>1390.97624518237</c:v>
                </c:pt>
                <c:pt idx="17">
                  <c:v>1384.84287444591</c:v>
                </c:pt>
                <c:pt idx="18">
                  <c:v>1379.9494569999</c:v>
                </c:pt>
                <c:pt idx="19">
                  <c:v>1376.25201330577</c:v>
                </c:pt>
                <c:pt idx="20">
                  <c:v>1373.71800259408</c:v>
                </c:pt>
              </c:numCache>
            </c:numRef>
          </c:yVal>
          <c:smooth val="0"/>
        </c:ser>
        <c:axId val="4713121"/>
        <c:axId val="30885000"/>
      </c:scatterChart>
      <c:valAx>
        <c:axId val="4713121"/>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Q (m3/s)</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885000"/>
        <c:crosses val="autoZero"/>
        <c:crossBetween val="midCat"/>
      </c:valAx>
      <c:valAx>
        <c:axId val="30885000"/>
        <c:scaling>
          <c:orientation val="minMax"/>
        </c:scaling>
        <c:delete val="0"/>
        <c:axPos val="l"/>
        <c:majorGridlines>
          <c:spPr>
            <a:ln w="9360">
              <a:solidFill>
                <a:srgbClr val="d9d9d9"/>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13121"/>
        <c:crosses val="autoZero"/>
        <c:crossBetween val="midCat"/>
      </c:valAx>
      <c:spPr>
        <a:noFill/>
        <a:ln w="0">
          <a:noFill/>
        </a:ln>
      </c:spPr>
    </c:plotArea>
    <c:legend>
      <c:legendPos val="r"/>
      <c:layout>
        <c:manualLayout>
          <c:xMode val="edge"/>
          <c:yMode val="edge"/>
          <c:x val="0.840108415019551"/>
          <c:y val="0.00264091227329837"/>
          <c:w val="0.159891584980449"/>
          <c:h val="0.176203784514755"/>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400" spc="-1" strike="noStrike">
                <a:solidFill>
                  <a:srgbClr val="000000"/>
                </a:solidFill>
                <a:latin typeface="Calibri"/>
              </a:defRPr>
            </a:pPr>
            <a:r>
              <a:rPr b="1" lang="en-US" sz="1400" spc="-1" strike="noStrike">
                <a:solidFill>
                  <a:srgbClr val="000000"/>
                </a:solidFill>
                <a:latin typeface="Calibri"/>
              </a:rPr>
              <a:t>Power (W) vs. Speed</a:t>
            </a:r>
          </a:p>
        </c:rich>
      </c:tx>
      <c:layout>
        <c:manualLayout>
          <c:xMode val="edge"/>
          <c:yMode val="edge"/>
          <c:x val="0.331743119266055"/>
          <c:y val="0.000274273176083379"/>
        </c:manualLayout>
      </c:layout>
      <c:overlay val="0"/>
      <c:spPr>
        <a:noFill/>
        <a:ln w="0">
          <a:noFill/>
        </a:ln>
      </c:spPr>
    </c:title>
    <c:autoTitleDeleted val="0"/>
    <c:plotArea>
      <c:layout>
        <c:manualLayout>
          <c:layoutTarget val="inner"/>
          <c:xMode val="edge"/>
          <c:yMode val="edge"/>
          <c:x val="0.0981284403669725"/>
          <c:y val="0.053894679100384"/>
          <c:w val="0.72748623853211"/>
          <c:h val="0.795255074053758"/>
        </c:manualLayout>
      </c:layout>
      <c:scatterChart>
        <c:scatterStyle val="line"/>
        <c:varyColors val="0"/>
        <c:ser>
          <c:idx val="0"/>
          <c:order val="0"/>
          <c:tx>
            <c:strRef>
              <c:f>Tuning!$BN$2</c:f>
              <c:strCache>
                <c:ptCount val="1"/>
                <c:pt idx="0">
                  <c:v>point 1</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Tuning!$BD$3:$BD$25</c:f>
              <c:numCache>
                <c:formatCode>General</c:formatCode>
                <c:ptCount val="23"/>
                <c:pt idx="0">
                  <c:v>0</c:v>
                </c:pt>
                <c:pt idx="1">
                  <c:v>72.90611253072</c:v>
                </c:pt>
                <c:pt idx="2">
                  <c:v>145.81222506144</c:v>
                </c:pt>
                <c:pt idx="3">
                  <c:v>218.71833759216</c:v>
                </c:pt>
                <c:pt idx="4">
                  <c:v>291.62445012288</c:v>
                </c:pt>
                <c:pt idx="5">
                  <c:v>364.5305626536</c:v>
                </c:pt>
                <c:pt idx="6">
                  <c:v>437.43667518432</c:v>
                </c:pt>
                <c:pt idx="7">
                  <c:v>510.34278771504</c:v>
                </c:pt>
                <c:pt idx="8">
                  <c:v>583.24890024576</c:v>
                </c:pt>
                <c:pt idx="9">
                  <c:v>656.15501277648</c:v>
                </c:pt>
                <c:pt idx="10">
                  <c:v>729.061125307199</c:v>
                </c:pt>
                <c:pt idx="11">
                  <c:v>801.967237837919</c:v>
                </c:pt>
                <c:pt idx="12">
                  <c:v>874.873350368639</c:v>
                </c:pt>
                <c:pt idx="13">
                  <c:v>947.779462899359</c:v>
                </c:pt>
                <c:pt idx="14">
                  <c:v>1020.68557543008</c:v>
                </c:pt>
                <c:pt idx="15">
                  <c:v>1093.5916879608</c:v>
                </c:pt>
                <c:pt idx="16">
                  <c:v>1166.49780049152</c:v>
                </c:pt>
                <c:pt idx="17">
                  <c:v>1239.40391302224</c:v>
                </c:pt>
                <c:pt idx="18">
                  <c:v>1312.31002555296</c:v>
                </c:pt>
                <c:pt idx="19">
                  <c:v>1385.21613808368</c:v>
                </c:pt>
                <c:pt idx="20">
                  <c:v>1458.1222506144</c:v>
                </c:pt>
                <c:pt idx="21">
                  <c:v>999.9</c:v>
                </c:pt>
                <c:pt idx="22">
                  <c:v>1000</c:v>
                </c:pt>
              </c:numCache>
            </c:numRef>
          </c:xVal>
          <c:yVal>
            <c:numRef>
              <c:f>Tuning!$BN$3:$BN$25</c:f>
              <c:numCache>
                <c:formatCode>General</c:formatCode>
                <c:ptCount val="23"/>
                <c:pt idx="21">
                  <c:v>0</c:v>
                </c:pt>
                <c:pt idx="22">
                  <c:v>3</c:v>
                </c:pt>
              </c:numCache>
            </c:numRef>
          </c:yVal>
          <c:smooth val="0"/>
        </c:ser>
        <c:ser>
          <c:idx val="1"/>
          <c:order val="1"/>
          <c:tx>
            <c:strRef>
              <c:f>Tuning!$BO$2</c:f>
              <c:strCache>
                <c:ptCount val="1"/>
                <c:pt idx="0">
                  <c:v>total</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Tuning!$BD$3:$BD$25</c:f>
              <c:numCache>
                <c:formatCode>General</c:formatCode>
                <c:ptCount val="23"/>
                <c:pt idx="0">
                  <c:v>0</c:v>
                </c:pt>
                <c:pt idx="1">
                  <c:v>72.90611253072</c:v>
                </c:pt>
                <c:pt idx="2">
                  <c:v>145.81222506144</c:v>
                </c:pt>
                <c:pt idx="3">
                  <c:v>218.71833759216</c:v>
                </c:pt>
                <c:pt idx="4">
                  <c:v>291.62445012288</c:v>
                </c:pt>
                <c:pt idx="5">
                  <c:v>364.5305626536</c:v>
                </c:pt>
                <c:pt idx="6">
                  <c:v>437.43667518432</c:v>
                </c:pt>
                <c:pt idx="7">
                  <c:v>510.34278771504</c:v>
                </c:pt>
                <c:pt idx="8">
                  <c:v>583.24890024576</c:v>
                </c:pt>
                <c:pt idx="9">
                  <c:v>656.15501277648</c:v>
                </c:pt>
                <c:pt idx="10">
                  <c:v>729.061125307199</c:v>
                </c:pt>
                <c:pt idx="11">
                  <c:v>801.967237837919</c:v>
                </c:pt>
                <c:pt idx="12">
                  <c:v>874.873350368639</c:v>
                </c:pt>
                <c:pt idx="13">
                  <c:v>947.779462899359</c:v>
                </c:pt>
                <c:pt idx="14">
                  <c:v>1020.68557543008</c:v>
                </c:pt>
                <c:pt idx="15">
                  <c:v>1093.5916879608</c:v>
                </c:pt>
                <c:pt idx="16">
                  <c:v>1166.49780049152</c:v>
                </c:pt>
                <c:pt idx="17">
                  <c:v>1239.40391302224</c:v>
                </c:pt>
                <c:pt idx="18">
                  <c:v>1312.31002555296</c:v>
                </c:pt>
                <c:pt idx="19">
                  <c:v>1385.21613808368</c:v>
                </c:pt>
                <c:pt idx="20">
                  <c:v>1458.1222506144</c:v>
                </c:pt>
                <c:pt idx="21">
                  <c:v>999.9</c:v>
                </c:pt>
                <c:pt idx="22">
                  <c:v>1000</c:v>
                </c:pt>
              </c:numCache>
            </c:numRef>
          </c:xVal>
          <c:yVal>
            <c:numRef>
              <c:f>Tuning!$BO$3:$BO$25</c:f>
              <c:numCache>
                <c:formatCode>General</c:formatCode>
                <c:ptCount val="23"/>
                <c:pt idx="0">
                  <c:v>1.8</c:v>
                </c:pt>
                <c:pt idx="1">
                  <c:v>1.80273758655611</c:v>
                </c:pt>
                <c:pt idx="2">
                  <c:v>1.81190593195715</c:v>
                </c:pt>
                <c:pt idx="3">
                  <c:v>1.82901125495803</c:v>
                </c:pt>
                <c:pt idx="4">
                  <c:v>1.85565689452146</c:v>
                </c:pt>
                <c:pt idx="5">
                  <c:v>1.89354330981791</c:v>
                </c:pt>
                <c:pt idx="6">
                  <c:v>1.94446808022568</c:v>
                </c:pt>
                <c:pt idx="7">
                  <c:v>2.01032590533085</c:v>
                </c:pt>
                <c:pt idx="8">
                  <c:v>2.09310860492727</c:v>
                </c:pt>
                <c:pt idx="9">
                  <c:v>2.19490511901661</c:v>
                </c:pt>
                <c:pt idx="10">
                  <c:v>2.31790150780832</c:v>
                </c:pt>
                <c:pt idx="11">
                  <c:v>2.46438095171963</c:v>
                </c:pt>
                <c:pt idx="12">
                  <c:v>2.63672375137559</c:v>
                </c:pt>
                <c:pt idx="13">
                  <c:v>2.83740732760902</c:v>
                </c:pt>
                <c:pt idx="14">
                  <c:v>3.06900622146052</c:v>
                </c:pt>
                <c:pt idx="15">
                  <c:v>3.33419209417852</c:v>
                </c:pt>
                <c:pt idx="16">
                  <c:v>3.63573372721921</c:v>
                </c:pt>
                <c:pt idx="17">
                  <c:v>3.97649702224658</c:v>
                </c:pt>
                <c:pt idx="18">
                  <c:v>4.35944500113241</c:v>
                </c:pt>
                <c:pt idx="19">
                  <c:v>4.78763780595628</c:v>
                </c:pt>
                <c:pt idx="20">
                  <c:v>5.26423269900555</c:v>
                </c:pt>
              </c:numCache>
            </c:numRef>
          </c:yVal>
          <c:smooth val="0"/>
        </c:ser>
        <c:ser>
          <c:idx val="2"/>
          <c:order val="2"/>
          <c:tx>
            <c:strRef>
              <c:f>Tuning!$BP$2</c:f>
              <c:strCache>
                <c:ptCount val="1"/>
                <c:pt idx="0">
                  <c:v>motor</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Tuning!$BD$3:$BD$25</c:f>
              <c:numCache>
                <c:formatCode>General</c:formatCode>
                <c:ptCount val="23"/>
                <c:pt idx="0">
                  <c:v>0</c:v>
                </c:pt>
                <c:pt idx="1">
                  <c:v>72.90611253072</c:v>
                </c:pt>
                <c:pt idx="2">
                  <c:v>145.81222506144</c:v>
                </c:pt>
                <c:pt idx="3">
                  <c:v>218.71833759216</c:v>
                </c:pt>
                <c:pt idx="4">
                  <c:v>291.62445012288</c:v>
                </c:pt>
                <c:pt idx="5">
                  <c:v>364.5305626536</c:v>
                </c:pt>
                <c:pt idx="6">
                  <c:v>437.43667518432</c:v>
                </c:pt>
                <c:pt idx="7">
                  <c:v>510.34278771504</c:v>
                </c:pt>
                <c:pt idx="8">
                  <c:v>583.24890024576</c:v>
                </c:pt>
                <c:pt idx="9">
                  <c:v>656.15501277648</c:v>
                </c:pt>
                <c:pt idx="10">
                  <c:v>729.061125307199</c:v>
                </c:pt>
                <c:pt idx="11">
                  <c:v>801.967237837919</c:v>
                </c:pt>
                <c:pt idx="12">
                  <c:v>874.873350368639</c:v>
                </c:pt>
                <c:pt idx="13">
                  <c:v>947.779462899359</c:v>
                </c:pt>
                <c:pt idx="14">
                  <c:v>1020.68557543008</c:v>
                </c:pt>
                <c:pt idx="15">
                  <c:v>1093.5916879608</c:v>
                </c:pt>
                <c:pt idx="16">
                  <c:v>1166.49780049152</c:v>
                </c:pt>
                <c:pt idx="17">
                  <c:v>1239.40391302224</c:v>
                </c:pt>
                <c:pt idx="18">
                  <c:v>1312.31002555296</c:v>
                </c:pt>
                <c:pt idx="19">
                  <c:v>1385.21613808368</c:v>
                </c:pt>
                <c:pt idx="20">
                  <c:v>1458.1222506144</c:v>
                </c:pt>
                <c:pt idx="21">
                  <c:v>999.9</c:v>
                </c:pt>
                <c:pt idx="22">
                  <c:v>1000</c:v>
                </c:pt>
              </c:numCache>
            </c:numRef>
          </c:xVal>
          <c:yVal>
            <c:numRef>
              <c:f>Tuning!$BP$3:$BP$25</c:f>
              <c:numCache>
                <c:formatCode>General</c:formatCode>
                <c:ptCount val="23"/>
                <c:pt idx="0">
                  <c:v>0</c:v>
                </c:pt>
                <c:pt idx="1">
                  <c:v>0.00273758655611031</c:v>
                </c:pt>
                <c:pt idx="2">
                  <c:v>0.0119059319571516</c:v>
                </c:pt>
                <c:pt idx="3">
                  <c:v>0.0290112549580329</c:v>
                </c:pt>
                <c:pt idx="4">
                  <c:v>0.055656894521455</c:v>
                </c:pt>
                <c:pt idx="5">
                  <c:v>0.0935433098179101</c:v>
                </c:pt>
                <c:pt idx="6">
                  <c:v>0.144468080225682</c:v>
                </c:pt>
                <c:pt idx="7">
                  <c:v>0.210325905330846</c:v>
                </c:pt>
                <c:pt idx="8">
                  <c:v>0.293108604927269</c:v>
                </c:pt>
                <c:pt idx="9">
                  <c:v>0.394905119016609</c:v>
                </c:pt>
                <c:pt idx="10">
                  <c:v>0.517901507808317</c:v>
                </c:pt>
                <c:pt idx="11">
                  <c:v>0.664380951719633</c:v>
                </c:pt>
                <c:pt idx="12">
                  <c:v>0.836723751375592</c:v>
                </c:pt>
                <c:pt idx="13">
                  <c:v>1.03740732760902</c:v>
                </c:pt>
                <c:pt idx="14">
                  <c:v>1.26900622146052</c:v>
                </c:pt>
                <c:pt idx="15">
                  <c:v>1.53419209417852</c:v>
                </c:pt>
                <c:pt idx="16">
                  <c:v>1.83573372721921</c:v>
                </c:pt>
                <c:pt idx="17">
                  <c:v>2.17649702224658</c:v>
                </c:pt>
                <c:pt idx="18">
                  <c:v>2.55944500113241</c:v>
                </c:pt>
                <c:pt idx="19">
                  <c:v>2.98763780595628</c:v>
                </c:pt>
                <c:pt idx="20">
                  <c:v>3.46423269900555</c:v>
                </c:pt>
              </c:numCache>
            </c:numRef>
          </c:yVal>
          <c:smooth val="0"/>
        </c:ser>
        <c:ser>
          <c:idx val="3"/>
          <c:order val="3"/>
          <c:tx>
            <c:strRef>
              <c:f>Tuning!$BQ$2</c:f>
              <c:strCache>
                <c:ptCount val="1"/>
                <c:pt idx="0">
                  <c:v>shaft</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Tuning!$BD$3:$BD$25</c:f>
              <c:numCache>
                <c:formatCode>General</c:formatCode>
                <c:ptCount val="23"/>
                <c:pt idx="0">
                  <c:v>0</c:v>
                </c:pt>
                <c:pt idx="1">
                  <c:v>72.90611253072</c:v>
                </c:pt>
                <c:pt idx="2">
                  <c:v>145.81222506144</c:v>
                </c:pt>
                <c:pt idx="3">
                  <c:v>218.71833759216</c:v>
                </c:pt>
                <c:pt idx="4">
                  <c:v>291.62445012288</c:v>
                </c:pt>
                <c:pt idx="5">
                  <c:v>364.5305626536</c:v>
                </c:pt>
                <c:pt idx="6">
                  <c:v>437.43667518432</c:v>
                </c:pt>
                <c:pt idx="7">
                  <c:v>510.34278771504</c:v>
                </c:pt>
                <c:pt idx="8">
                  <c:v>583.24890024576</c:v>
                </c:pt>
                <c:pt idx="9">
                  <c:v>656.15501277648</c:v>
                </c:pt>
                <c:pt idx="10">
                  <c:v>729.061125307199</c:v>
                </c:pt>
                <c:pt idx="11">
                  <c:v>801.967237837919</c:v>
                </c:pt>
                <c:pt idx="12">
                  <c:v>874.873350368639</c:v>
                </c:pt>
                <c:pt idx="13">
                  <c:v>947.779462899359</c:v>
                </c:pt>
                <c:pt idx="14">
                  <c:v>1020.68557543008</c:v>
                </c:pt>
                <c:pt idx="15">
                  <c:v>1093.5916879608</c:v>
                </c:pt>
                <c:pt idx="16">
                  <c:v>1166.49780049152</c:v>
                </c:pt>
                <c:pt idx="17">
                  <c:v>1239.40391302224</c:v>
                </c:pt>
                <c:pt idx="18">
                  <c:v>1312.31002555296</c:v>
                </c:pt>
                <c:pt idx="19">
                  <c:v>1385.21613808368</c:v>
                </c:pt>
                <c:pt idx="20">
                  <c:v>1458.1222506144</c:v>
                </c:pt>
                <c:pt idx="21">
                  <c:v>999.9</c:v>
                </c:pt>
                <c:pt idx="22">
                  <c:v>1000</c:v>
                </c:pt>
              </c:numCache>
            </c:numRef>
          </c:xVal>
          <c:yVal>
            <c:numRef>
              <c:f>Tuning!$BQ$3:$BQ$25</c:f>
              <c:numCache>
                <c:formatCode>General</c:formatCode>
                <c:ptCount val="23"/>
                <c:pt idx="0">
                  <c:v>0</c:v>
                </c:pt>
                <c:pt idx="1">
                  <c:v>0.00168183770604206</c:v>
                </c:pt>
                <c:pt idx="2">
                  <c:v>0.00714384885106939</c:v>
                </c:pt>
                <c:pt idx="3">
                  <c:v>0.0170107804754337</c:v>
                </c:pt>
                <c:pt idx="4">
                  <c:v>0.0319073796194867</c:v>
                </c:pt>
                <c:pt idx="5">
                  <c:v>0.0524583933235802</c:v>
                </c:pt>
                <c:pt idx="6">
                  <c:v>0.0792885686280657</c:v>
                </c:pt>
                <c:pt idx="7">
                  <c:v>0.113022652573295</c:v>
                </c:pt>
                <c:pt idx="8">
                  <c:v>0.15428539219962</c:v>
                </c:pt>
                <c:pt idx="9">
                  <c:v>0.203701534547392</c:v>
                </c:pt>
                <c:pt idx="10">
                  <c:v>0.261895826656964</c:v>
                </c:pt>
                <c:pt idx="11">
                  <c:v>0.329493015568686</c:v>
                </c:pt>
                <c:pt idx="12">
                  <c:v>0.407117848322911</c:v>
                </c:pt>
                <c:pt idx="13">
                  <c:v>0.495395071959989</c:v>
                </c:pt>
                <c:pt idx="14">
                  <c:v>0.594949433520274</c:v>
                </c:pt>
                <c:pt idx="15">
                  <c:v>0.706405680044116</c:v>
                </c:pt>
                <c:pt idx="16">
                  <c:v>0.830388558571868</c:v>
                </c:pt>
                <c:pt idx="17">
                  <c:v>0.967522816143881</c:v>
                </c:pt>
                <c:pt idx="18">
                  <c:v>1.11843319980051</c:v>
                </c:pt>
                <c:pt idx="19">
                  <c:v>1.2837444565821</c:v>
                </c:pt>
                <c:pt idx="20">
                  <c:v>1.464081333529</c:v>
                </c:pt>
              </c:numCache>
            </c:numRef>
          </c:yVal>
          <c:smooth val="0"/>
        </c:ser>
        <c:ser>
          <c:idx val="4"/>
          <c:order val="4"/>
          <c:tx>
            <c:strRef>
              <c:f>Tuning!$BR$2</c:f>
              <c:strCache>
                <c:ptCount val="1"/>
                <c:pt idx="0">
                  <c:v>impeller</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Tuning!$BD$3:$BD$25</c:f>
              <c:numCache>
                <c:formatCode>General</c:formatCode>
                <c:ptCount val="23"/>
                <c:pt idx="0">
                  <c:v>0</c:v>
                </c:pt>
                <c:pt idx="1">
                  <c:v>72.90611253072</c:v>
                </c:pt>
                <c:pt idx="2">
                  <c:v>145.81222506144</c:v>
                </c:pt>
                <c:pt idx="3">
                  <c:v>218.71833759216</c:v>
                </c:pt>
                <c:pt idx="4">
                  <c:v>291.62445012288</c:v>
                </c:pt>
                <c:pt idx="5">
                  <c:v>364.5305626536</c:v>
                </c:pt>
                <c:pt idx="6">
                  <c:v>437.43667518432</c:v>
                </c:pt>
                <c:pt idx="7">
                  <c:v>510.34278771504</c:v>
                </c:pt>
                <c:pt idx="8">
                  <c:v>583.24890024576</c:v>
                </c:pt>
                <c:pt idx="9">
                  <c:v>656.15501277648</c:v>
                </c:pt>
                <c:pt idx="10">
                  <c:v>729.061125307199</c:v>
                </c:pt>
                <c:pt idx="11">
                  <c:v>801.967237837919</c:v>
                </c:pt>
                <c:pt idx="12">
                  <c:v>874.873350368639</c:v>
                </c:pt>
                <c:pt idx="13">
                  <c:v>947.779462899359</c:v>
                </c:pt>
                <c:pt idx="14">
                  <c:v>1020.68557543008</c:v>
                </c:pt>
                <c:pt idx="15">
                  <c:v>1093.5916879608</c:v>
                </c:pt>
                <c:pt idx="16">
                  <c:v>1166.49780049152</c:v>
                </c:pt>
                <c:pt idx="17">
                  <c:v>1239.40391302224</c:v>
                </c:pt>
                <c:pt idx="18">
                  <c:v>1312.31002555296</c:v>
                </c:pt>
                <c:pt idx="19">
                  <c:v>1385.21613808368</c:v>
                </c:pt>
                <c:pt idx="20">
                  <c:v>1458.1222506144</c:v>
                </c:pt>
                <c:pt idx="21">
                  <c:v>999.9</c:v>
                </c:pt>
                <c:pt idx="22">
                  <c:v>1000</c:v>
                </c:pt>
              </c:numCache>
            </c:numRef>
          </c:xVal>
          <c:yVal>
            <c:numRef>
              <c:f>Tuning!$BR$3:$BR$25</c:f>
              <c:numCache>
                <c:formatCode>General</c:formatCode>
                <c:ptCount val="23"/>
                <c:pt idx="0">
                  <c:v>0</c:v>
                </c:pt>
                <c:pt idx="1">
                  <c:v>0.000104124506725287</c:v>
                </c:pt>
                <c:pt idx="2">
                  <c:v>0.000832996053802292</c:v>
                </c:pt>
                <c:pt idx="3">
                  <c:v>0.00281136168158274</c:v>
                </c:pt>
                <c:pt idx="4">
                  <c:v>0.00666396843041834</c:v>
                </c:pt>
                <c:pt idx="5">
                  <c:v>0.0130155633406608</c:v>
                </c:pt>
                <c:pt idx="6">
                  <c:v>0.0224908934526619</c:v>
                </c:pt>
                <c:pt idx="7">
                  <c:v>0.0357147058067733</c:v>
                </c:pt>
                <c:pt idx="8">
                  <c:v>0.0533117474433467</c:v>
                </c:pt>
                <c:pt idx="9">
                  <c:v>0.0759067654027339</c:v>
                </c:pt>
                <c:pt idx="10">
                  <c:v>0.104124506725287</c:v>
                </c:pt>
                <c:pt idx="11">
                  <c:v>0.138589718451356</c:v>
                </c:pt>
                <c:pt idx="12">
                  <c:v>0.179927147621295</c:v>
                </c:pt>
                <c:pt idx="13">
                  <c:v>0.228761541275455</c:v>
                </c:pt>
                <c:pt idx="14">
                  <c:v>0.285717646454186</c:v>
                </c:pt>
                <c:pt idx="15">
                  <c:v>0.351420210197842</c:v>
                </c:pt>
                <c:pt idx="16">
                  <c:v>0.426493979546774</c:v>
                </c:pt>
                <c:pt idx="17">
                  <c:v>0.511563701541333</c:v>
                </c:pt>
                <c:pt idx="18">
                  <c:v>0.607254123221872</c:v>
                </c:pt>
                <c:pt idx="19">
                  <c:v>0.714189991628741</c:v>
                </c:pt>
                <c:pt idx="20">
                  <c:v>0.832996053802293</c:v>
                </c:pt>
              </c:numCache>
            </c:numRef>
          </c:yVal>
          <c:smooth val="0"/>
        </c:ser>
        <c:ser>
          <c:idx val="5"/>
          <c:order val="5"/>
          <c:tx>
            <c:strRef>
              <c:f>Tuning!$BS$2</c:f>
              <c:strCache>
                <c:ptCount val="1"/>
                <c:pt idx="0">
                  <c:v>hydraulic</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Tuning!$BD$3:$BD$25</c:f>
              <c:numCache>
                <c:formatCode>General</c:formatCode>
                <c:ptCount val="23"/>
                <c:pt idx="0">
                  <c:v>0</c:v>
                </c:pt>
                <c:pt idx="1">
                  <c:v>72.90611253072</c:v>
                </c:pt>
                <c:pt idx="2">
                  <c:v>145.81222506144</c:v>
                </c:pt>
                <c:pt idx="3">
                  <c:v>218.71833759216</c:v>
                </c:pt>
                <c:pt idx="4">
                  <c:v>291.62445012288</c:v>
                </c:pt>
                <c:pt idx="5">
                  <c:v>364.5305626536</c:v>
                </c:pt>
                <c:pt idx="6">
                  <c:v>437.43667518432</c:v>
                </c:pt>
                <c:pt idx="7">
                  <c:v>510.34278771504</c:v>
                </c:pt>
                <c:pt idx="8">
                  <c:v>583.24890024576</c:v>
                </c:pt>
                <c:pt idx="9">
                  <c:v>656.15501277648</c:v>
                </c:pt>
                <c:pt idx="10">
                  <c:v>729.061125307199</c:v>
                </c:pt>
                <c:pt idx="11">
                  <c:v>801.967237837919</c:v>
                </c:pt>
                <c:pt idx="12">
                  <c:v>874.873350368639</c:v>
                </c:pt>
                <c:pt idx="13">
                  <c:v>947.779462899359</c:v>
                </c:pt>
                <c:pt idx="14">
                  <c:v>1020.68557543008</c:v>
                </c:pt>
                <c:pt idx="15">
                  <c:v>1093.5916879608</c:v>
                </c:pt>
                <c:pt idx="16">
                  <c:v>1166.49780049152</c:v>
                </c:pt>
                <c:pt idx="17">
                  <c:v>1239.40391302224</c:v>
                </c:pt>
                <c:pt idx="18">
                  <c:v>1312.31002555296</c:v>
                </c:pt>
                <c:pt idx="19">
                  <c:v>1385.21613808368</c:v>
                </c:pt>
                <c:pt idx="20">
                  <c:v>1458.1222506144</c:v>
                </c:pt>
                <c:pt idx="21">
                  <c:v>999.9</c:v>
                </c:pt>
                <c:pt idx="22">
                  <c:v>1000</c:v>
                </c:pt>
              </c:numCache>
            </c:numRef>
          </c:xVal>
          <c:yVal>
            <c:numRef>
              <c:f>Tuning!$BS$3:$BS$25</c:f>
              <c:numCache>
                <c:formatCode>General</c:formatCode>
                <c:ptCount val="23"/>
                <c:pt idx="0">
                  <c:v>0</c:v>
                </c:pt>
                <c:pt idx="1">
                  <c:v>9.68794876636684E-005</c:v>
                </c:pt>
                <c:pt idx="2">
                  <c:v>0.000775035901309347</c:v>
                </c:pt>
                <c:pt idx="3">
                  <c:v>0.00261574616691905</c:v>
                </c:pt>
                <c:pt idx="4">
                  <c:v>0.00620028721047478</c:v>
                </c:pt>
                <c:pt idx="5">
                  <c:v>0.0121099359579586</c:v>
                </c:pt>
                <c:pt idx="6">
                  <c:v>0.0209259693353524</c:v>
                </c:pt>
                <c:pt idx="7">
                  <c:v>0.0332296642686383</c:v>
                </c:pt>
                <c:pt idx="8">
                  <c:v>0.0496022976837982</c:v>
                </c:pt>
                <c:pt idx="9">
                  <c:v>0.0706251465068143</c:v>
                </c:pt>
                <c:pt idx="10">
                  <c:v>0.0968794876636684</c:v>
                </c:pt>
                <c:pt idx="11">
                  <c:v>0.128946598080343</c:v>
                </c:pt>
                <c:pt idx="12">
                  <c:v>0.167407754682819</c:v>
                </c:pt>
                <c:pt idx="13">
                  <c:v>0.21284423439708</c:v>
                </c:pt>
                <c:pt idx="14">
                  <c:v>0.265837314149106</c:v>
                </c:pt>
                <c:pt idx="15">
                  <c:v>0.326968270864881</c:v>
                </c:pt>
                <c:pt idx="16">
                  <c:v>0.396818381470386</c:v>
                </c:pt>
                <c:pt idx="17">
                  <c:v>0.475968922891603</c:v>
                </c:pt>
                <c:pt idx="18">
                  <c:v>0.565001172054515</c:v>
                </c:pt>
                <c:pt idx="19">
                  <c:v>0.664496405885102</c:v>
                </c:pt>
                <c:pt idx="20">
                  <c:v>0.775035901309348</c:v>
                </c:pt>
              </c:numCache>
            </c:numRef>
          </c:yVal>
          <c:smooth val="0"/>
        </c:ser>
        <c:axId val="87186277"/>
        <c:axId val="24446464"/>
      </c:scatterChart>
      <c:valAx>
        <c:axId val="87186277"/>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N (rpm)</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446464"/>
        <c:crosses val="autoZero"/>
        <c:crossBetween val="midCat"/>
      </c:valAx>
      <c:valAx>
        <c:axId val="24446464"/>
        <c:scaling>
          <c:orientation val="minMax"/>
        </c:scaling>
        <c:delete val="0"/>
        <c:axPos val="l"/>
        <c:majorGridlines>
          <c:spPr>
            <a:ln w="9360">
              <a:solidFill>
                <a:srgbClr val="d9d9d9"/>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186277"/>
        <c:crosses val="autoZero"/>
        <c:crossBetween val="midCat"/>
      </c:valAx>
      <c:spPr>
        <a:noFill/>
        <a:ln w="0">
          <a:noFill/>
        </a:ln>
      </c:spPr>
    </c:plotArea>
    <c:legend>
      <c:legendPos val="r"/>
      <c:layout>
        <c:manualLayout>
          <c:xMode val="edge"/>
          <c:yMode val="edge"/>
          <c:x val="0.816638705876051"/>
          <c:y val="0.00364689243941596"/>
          <c:w val="0.183361294123949"/>
          <c:h val="0.52668679764544"/>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400" spc="-1" strike="noStrike">
                <a:solidFill>
                  <a:srgbClr val="000000"/>
                </a:solidFill>
                <a:latin typeface="Calibri"/>
              </a:defRPr>
            </a:pPr>
            <a:r>
              <a:rPr b="1" lang="en-US" sz="1400" spc="-1" strike="noStrike">
                <a:solidFill>
                  <a:srgbClr val="000000"/>
                </a:solidFill>
                <a:latin typeface="Calibri"/>
              </a:rPr>
              <a:t>Delta-Pressure (kPa)</a:t>
            </a:r>
          </a:p>
        </c:rich>
      </c:tx>
      <c:layout>
        <c:manualLayout>
          <c:xMode val="edge"/>
          <c:yMode val="edge"/>
          <c:x val="0.334753231492362"/>
          <c:y val="0.000138927479855515"/>
        </c:manualLayout>
      </c:layout>
      <c:overlay val="0"/>
      <c:spPr>
        <a:noFill/>
        <a:ln w="0">
          <a:noFill/>
        </a:ln>
      </c:spPr>
    </c:title>
    <c:autoTitleDeleted val="0"/>
    <c:plotArea>
      <c:layout>
        <c:manualLayout>
          <c:layoutTarget val="inner"/>
          <c:xMode val="edge"/>
          <c:yMode val="edge"/>
          <c:x val="0.116186839012926"/>
          <c:y val="0.054459572103362"/>
          <c:w val="0.702849588719154"/>
          <c:h val="0.797999444290081"/>
        </c:manualLayout>
      </c:layout>
      <c:scatterChart>
        <c:scatterStyle val="line"/>
        <c:varyColors val="0"/>
        <c:ser>
          <c:idx val="0"/>
          <c:order val="0"/>
          <c:tx>
            <c:strRef>
              <c:f>Tuning!$AF$2</c:f>
              <c:strCache>
                <c:ptCount val="1"/>
                <c:pt idx="0">
                  <c:v>point 1</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Tuning!$AC$3:$AC$27</c:f>
              <c:numCache>
                <c:formatCode>General</c:formatCode>
                <c:ptCount val="25"/>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pt idx="23">
                  <c:v>3.46440892667513E-005</c:v>
                </c:pt>
                <c:pt idx="24">
                  <c:v>3.46475540221535E-005</c:v>
                </c:pt>
              </c:numCache>
            </c:numRef>
          </c:xVal>
          <c:yVal>
            <c:numRef>
              <c:f>Tuning!$AF$3:$AF$27</c:f>
              <c:numCache>
                <c:formatCode>General</c:formatCode>
                <c:ptCount val="25"/>
                <c:pt idx="21">
                  <c:v>0</c:v>
                </c:pt>
                <c:pt idx="22">
                  <c:v>5</c:v>
                </c:pt>
              </c:numCache>
            </c:numRef>
          </c:yVal>
          <c:smooth val="0"/>
        </c:ser>
        <c:ser>
          <c:idx val="1"/>
          <c:order val="1"/>
          <c:tx>
            <c:strRef>
              <c:f>Tuning!$AG$2</c:f>
              <c:strCache>
                <c:ptCount val="1"/>
                <c:pt idx="0">
                  <c:v>BEP</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Tuning!$AC$3:$AC$27</c:f>
              <c:numCache>
                <c:formatCode>General</c:formatCode>
                <c:ptCount val="25"/>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pt idx="23">
                  <c:v>3.46440892667513E-005</c:v>
                </c:pt>
                <c:pt idx="24">
                  <c:v>3.46475540221535E-005</c:v>
                </c:pt>
              </c:numCache>
            </c:numRef>
          </c:xVal>
          <c:yVal>
            <c:numRef>
              <c:f>Tuning!$AG$3:$AG$27</c:f>
              <c:numCache>
                <c:formatCode>General</c:formatCode>
                <c:ptCount val="25"/>
                <c:pt idx="23">
                  <c:v>0</c:v>
                </c:pt>
                <c:pt idx="24">
                  <c:v>6.53524459778465</c:v>
                </c:pt>
              </c:numCache>
            </c:numRef>
          </c:yVal>
          <c:smooth val="0"/>
        </c:ser>
        <c:ser>
          <c:idx val="2"/>
          <c:order val="2"/>
          <c:tx>
            <c:strRef>
              <c:f>Tuning!$AJ$2</c:f>
              <c:strCache>
                <c:ptCount val="1"/>
                <c:pt idx="0">
                  <c:v>impeller</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Tuning!$AC$3:$AC$27</c:f>
              <c:numCache>
                <c:formatCode>General</c:formatCode>
                <c:ptCount val="25"/>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pt idx="23">
                  <c:v>3.46440892667513E-005</c:v>
                </c:pt>
                <c:pt idx="24">
                  <c:v>3.46475540221535E-005</c:v>
                </c:pt>
              </c:numCache>
            </c:numRef>
          </c:xVal>
          <c:yVal>
            <c:numRef>
              <c:f>Tuning!$AJ$3:$AJ$27</c:f>
              <c:numCache>
                <c:formatCode>General</c:formatCode>
                <c:ptCount val="25"/>
                <c:pt idx="0">
                  <c:v>10</c:v>
                </c:pt>
                <c:pt idx="1">
                  <c:v>9.50000000081829</c:v>
                </c:pt>
                <c:pt idx="2">
                  <c:v>9.00000000163658</c:v>
                </c:pt>
                <c:pt idx="3">
                  <c:v>8.50000000245487</c:v>
                </c:pt>
                <c:pt idx="4">
                  <c:v>8.00000000327316</c:v>
                </c:pt>
                <c:pt idx="5">
                  <c:v>7.50000000409145</c:v>
                </c:pt>
                <c:pt idx="6">
                  <c:v>7.00000000490974</c:v>
                </c:pt>
                <c:pt idx="7">
                  <c:v>6.50000000572803</c:v>
                </c:pt>
                <c:pt idx="8">
                  <c:v>6.00000000654632</c:v>
                </c:pt>
                <c:pt idx="9">
                  <c:v>5.50000000736461</c:v>
                </c:pt>
                <c:pt idx="10">
                  <c:v>5.0000000081829</c:v>
                </c:pt>
                <c:pt idx="11">
                  <c:v>4.50000000900119</c:v>
                </c:pt>
                <c:pt idx="12">
                  <c:v>4.00000000981947</c:v>
                </c:pt>
                <c:pt idx="13">
                  <c:v>3.50000001063776</c:v>
                </c:pt>
                <c:pt idx="14">
                  <c:v>3.00000001145605</c:v>
                </c:pt>
                <c:pt idx="15">
                  <c:v>2.50000001227434</c:v>
                </c:pt>
                <c:pt idx="16">
                  <c:v>2.00000001309263</c:v>
                </c:pt>
                <c:pt idx="17">
                  <c:v>1.50000001391092</c:v>
                </c:pt>
                <c:pt idx="18">
                  <c:v>1.00000001472921</c:v>
                </c:pt>
                <c:pt idx="19">
                  <c:v>0.500000015547496</c:v>
                </c:pt>
                <c:pt idx="20">
                  <c:v>1.63657851715016E-008</c:v>
                </c:pt>
              </c:numCache>
            </c:numRef>
          </c:yVal>
          <c:smooth val="0"/>
        </c:ser>
        <c:ser>
          <c:idx val="3"/>
          <c:order val="3"/>
          <c:tx>
            <c:strRef>
              <c:f>Tuning!$AK$2</c:f>
              <c:strCache>
                <c:ptCount val="1"/>
                <c:pt idx="0">
                  <c:v>system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Tuning!$AC$3:$AC$27</c:f>
              <c:numCache>
                <c:formatCode>General</c:formatCode>
                <c:ptCount val="25"/>
                <c:pt idx="0">
                  <c:v>0</c:v>
                </c:pt>
                <c:pt idx="1">
                  <c:v>4.99999999181711E-006</c:v>
                </c:pt>
                <c:pt idx="2">
                  <c:v>9.99999998363421E-006</c:v>
                </c:pt>
                <c:pt idx="3">
                  <c:v>1.49999999754513E-005</c:v>
                </c:pt>
                <c:pt idx="4">
                  <c:v>1.99999999672684E-005</c:v>
                </c:pt>
                <c:pt idx="5">
                  <c:v>2.49999999590855E-005</c:v>
                </c:pt>
                <c:pt idx="6">
                  <c:v>2.99999999509026E-005</c:v>
                </c:pt>
                <c:pt idx="7">
                  <c:v>3.49999999427197E-005</c:v>
                </c:pt>
                <c:pt idx="8">
                  <c:v>3.99999999345368E-005</c:v>
                </c:pt>
                <c:pt idx="9">
                  <c:v>4.49999999263539E-005</c:v>
                </c:pt>
                <c:pt idx="10">
                  <c:v>4.99999999181711E-005</c:v>
                </c:pt>
                <c:pt idx="11">
                  <c:v>5.49999999099882E-005</c:v>
                </c:pt>
                <c:pt idx="12">
                  <c:v>5.99999999018053E-005</c:v>
                </c:pt>
                <c:pt idx="13">
                  <c:v>6.49999998936224E-005</c:v>
                </c:pt>
                <c:pt idx="14">
                  <c:v>6.99999998854395E-005</c:v>
                </c:pt>
                <c:pt idx="15">
                  <c:v>7.49999998772566E-005</c:v>
                </c:pt>
                <c:pt idx="16">
                  <c:v>7.99999998690737E-005</c:v>
                </c:pt>
                <c:pt idx="17">
                  <c:v>8.49999998608908E-005</c:v>
                </c:pt>
                <c:pt idx="18">
                  <c:v>8.99999998527079E-005</c:v>
                </c:pt>
                <c:pt idx="19">
                  <c:v>9.4999999844525E-005</c:v>
                </c:pt>
                <c:pt idx="20">
                  <c:v>9.99999998363421E-005</c:v>
                </c:pt>
                <c:pt idx="21">
                  <c:v>4.9995E-005</c:v>
                </c:pt>
                <c:pt idx="22">
                  <c:v>5E-005</c:v>
                </c:pt>
                <c:pt idx="23">
                  <c:v>3.46440892667513E-005</c:v>
                </c:pt>
                <c:pt idx="24">
                  <c:v>3.46475540221535E-005</c:v>
                </c:pt>
              </c:numCache>
            </c:numRef>
          </c:xVal>
          <c:yVal>
            <c:numRef>
              <c:f>Tuning!$AK$3:$AK$27</c:f>
              <c:numCache>
                <c:formatCode>General</c:formatCode>
                <c:ptCount val="25"/>
                <c:pt idx="0">
                  <c:v>0</c:v>
                </c:pt>
                <c:pt idx="1">
                  <c:v>0.0499999998363421</c:v>
                </c:pt>
                <c:pt idx="2">
                  <c:v>0.199999999345368</c:v>
                </c:pt>
                <c:pt idx="3">
                  <c:v>0.449999998527079</c:v>
                </c:pt>
                <c:pt idx="4">
                  <c:v>0.799999997381474</c:v>
                </c:pt>
                <c:pt idx="5">
                  <c:v>1.24999999590855</c:v>
                </c:pt>
                <c:pt idx="6">
                  <c:v>1.79999999410832</c:v>
                </c:pt>
                <c:pt idx="7">
                  <c:v>2.44999999198076</c:v>
                </c:pt>
                <c:pt idx="8">
                  <c:v>3.19999998952589</c:v>
                </c:pt>
                <c:pt idx="9">
                  <c:v>4.04999998674371</c:v>
                </c:pt>
                <c:pt idx="10">
                  <c:v>4.99999998363421</c:v>
                </c:pt>
                <c:pt idx="11">
                  <c:v>6.04999998019739</c:v>
                </c:pt>
                <c:pt idx="12">
                  <c:v>7.19999997643326</c:v>
                </c:pt>
                <c:pt idx="13">
                  <c:v>8.44999997234182</c:v>
                </c:pt>
                <c:pt idx="14">
                  <c:v>9.79999996792305</c:v>
                </c:pt>
                <c:pt idx="15">
                  <c:v>11.249999963177</c:v>
                </c:pt>
                <c:pt idx="16">
                  <c:v>12.7999999581036</c:v>
                </c:pt>
                <c:pt idx="17">
                  <c:v>14.4499999527029</c:v>
                </c:pt>
                <c:pt idx="18">
                  <c:v>16.1999999469749</c:v>
                </c:pt>
                <c:pt idx="19">
                  <c:v>18.0499999409195</c:v>
                </c:pt>
                <c:pt idx="20">
                  <c:v>19.9999999345369</c:v>
                </c:pt>
              </c:numCache>
            </c:numRef>
          </c:yVal>
          <c:smooth val="0"/>
        </c:ser>
        <c:axId val="88455856"/>
        <c:axId val="58404596"/>
      </c:scatterChart>
      <c:valAx>
        <c:axId val="88455856"/>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Q (m3/s)</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04596"/>
        <c:crosses val="autoZero"/>
        <c:crossBetween val="midCat"/>
      </c:valAx>
      <c:valAx>
        <c:axId val="58404596"/>
        <c:scaling>
          <c:orientation val="minMax"/>
        </c:scaling>
        <c:delete val="0"/>
        <c:axPos val="l"/>
        <c:majorGridlines>
          <c:spPr>
            <a:ln w="9360">
              <a:solidFill>
                <a:srgbClr val="d9d9d9"/>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455856"/>
        <c:crosses val="autoZero"/>
        <c:crossBetween val="midCat"/>
      </c:valAx>
      <c:spPr>
        <a:noFill/>
        <a:ln w="0">
          <a:noFill/>
        </a:ln>
      </c:spPr>
    </c:plotArea>
    <c:legend>
      <c:legendPos val="r"/>
      <c:layout>
        <c:manualLayout>
          <c:xMode val="edge"/>
          <c:yMode val="edge"/>
          <c:x val="0.795115952971632"/>
          <c:y val="0.00408908445267872"/>
          <c:w val="0.204884047028368"/>
          <c:h val="0.354566929133858"/>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
        <c:varyColors val="0"/>
        <c:ser>
          <c:idx val="0"/>
          <c:order val="0"/>
          <c:tx>
            <c:strRef>
              <c:f>'Impeller Curve'!$R$50</c:f>
              <c:strCache>
                <c:ptCount val="1"/>
                <c:pt idx="0">
                  <c:v>AAA (Ns=5.0)</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'Impeller Curve'!$A$51:$A$83</c:f>
              <c:numCache>
                <c:formatCode>General</c:formatCode>
                <c:ptCount val="33"/>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numCache>
            </c:numRef>
          </c:xVal>
          <c:yVal>
            <c:numRef>
              <c:f>'Impeller Curve'!$R$51:$R$83</c:f>
              <c:numCache>
                <c:formatCode>General</c:formatCode>
                <c:ptCount val="33"/>
                <c:pt idx="0">
                  <c:v>1.7046322175886</c:v>
                </c:pt>
                <c:pt idx="1">
                  <c:v>1.45126331433474</c:v>
                </c:pt>
                <c:pt idx="2">
                  <c:v>1.24314756369172</c:v>
                </c:pt>
                <c:pt idx="3">
                  <c:v>1.0765697435994</c:v>
                </c:pt>
                <c:pt idx="4">
                  <c:v>0.947814631997631</c:v>
                </c:pt>
                <c:pt idx="5">
                  <c:v>0.853167006826253</c:v>
                </c:pt>
                <c:pt idx="6">
                  <c:v>0.788911646025118</c:v>
                </c:pt>
                <c:pt idx="7">
                  <c:v>0.751333327534075</c:v>
                </c:pt>
                <c:pt idx="8">
                  <c:v>0.736716829292972</c:v>
                </c:pt>
                <c:pt idx="9">
                  <c:v>0.741346929241658</c:v>
                </c:pt>
                <c:pt idx="10">
                  <c:v>0.761508405319982</c:v>
                </c:pt>
                <c:pt idx="11">
                  <c:v>0.793486035467792</c:v>
                </c:pt>
                <c:pt idx="12">
                  <c:v>0.833564597624937</c:v>
                </c:pt>
                <c:pt idx="13">
                  <c:v>0.878028869731266</c:v>
                </c:pt>
                <c:pt idx="14">
                  <c:v>0.923163629726627</c:v>
                </c:pt>
                <c:pt idx="15">
                  <c:v>0.96525365555087</c:v>
                </c:pt>
                <c:pt idx="16">
                  <c:v>1.00058372514384</c:v>
                </c:pt>
                <c:pt idx="17">
                  <c:v>1.02543861644539</c:v>
                </c:pt>
                <c:pt idx="18">
                  <c:v>1.03610310739537</c:v>
                </c:pt>
                <c:pt idx="19">
                  <c:v>1.02886197593362</c:v>
                </c:pt>
                <c:pt idx="20">
                  <c:v>1</c:v>
                </c:pt>
                <c:pt idx="21">
                  <c:v>0.94580195753435</c:v>
                </c:pt>
                <c:pt idx="22">
                  <c:v>0.862552626476522</c:v>
                </c:pt>
                <c:pt idx="23">
                  <c:v>0.746536784766367</c:v>
                </c:pt>
                <c:pt idx="24">
                  <c:v>0.59403921034373</c:v>
                </c:pt>
                <c:pt idx="25">
                  <c:v>0.401344681148456</c:v>
                </c:pt>
                <c:pt idx="26">
                  <c:v>0.164737975120403</c:v>
                </c:pt>
              </c:numCache>
            </c:numRef>
          </c:yVal>
          <c:smooth val="0"/>
        </c:ser>
        <c:ser>
          <c:idx val="1"/>
          <c:order val="1"/>
          <c:tx>
            <c:strRef>
              <c:f>'Impeller Curve'!$S$50</c:f>
              <c:strCache>
                <c:ptCount val="1"/>
                <c:pt idx="0">
                  <c:v>IMV (Ns=3.2)</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'Impeller Curve'!$A$51:$A$83</c:f>
              <c:numCache>
                <c:formatCode>General</c:formatCode>
                <c:ptCount val="33"/>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numCache>
            </c:numRef>
          </c:xVal>
          <c:yVal>
            <c:numRef>
              <c:f>'Impeller Curve'!$S$51:$S$83</c:f>
              <c:numCache>
                <c:formatCode>General</c:formatCode>
                <c:ptCount val="33"/>
                <c:pt idx="0">
                  <c:v>1.31901458068382</c:v>
                </c:pt>
                <c:pt idx="1">
                  <c:v>1.08090597383263</c:v>
                </c:pt>
                <c:pt idx="2">
                  <c:v>0.909459389695165</c:v>
                </c:pt>
                <c:pt idx="3">
                  <c:v>0.793722210105659</c:v>
                </c:pt>
                <c:pt idx="4">
                  <c:v>0.723777970241101</c:v>
                </c:pt>
                <c:pt idx="5">
                  <c:v>0.690697545089493</c:v>
                </c:pt>
                <c:pt idx="6">
                  <c:v>0.686490335918126</c:v>
                </c:pt>
                <c:pt idx="7">
                  <c:v>0.704055456741853</c:v>
                </c:pt>
                <c:pt idx="8">
                  <c:v>0.737132920791362</c:v>
                </c:pt>
                <c:pt idx="9">
                  <c:v>0.780254826981452</c:v>
                </c:pt>
                <c:pt idx="10">
                  <c:v>0.8286965463793</c:v>
                </c:pt>
                <c:pt idx="11">
                  <c:v>0.878427908672742</c:v>
                </c:pt>
                <c:pt idx="12">
                  <c:v>0.92606438863854</c:v>
                </c:pt>
                <c:pt idx="13">
                  <c:v>0.968818292610658</c:v>
                </c:pt>
                <c:pt idx="14">
                  <c:v>1.00444994494854</c:v>
                </c:pt>
                <c:pt idx="15">
                  <c:v>1.03121887450536</c:v>
                </c:pt>
                <c:pt idx="16">
                  <c:v>1.04783500109634</c:v>
                </c:pt>
                <c:pt idx="17">
                  <c:v>1.05340982196697</c:v>
                </c:pt>
                <c:pt idx="18">
                  <c:v>1.04740759826134</c:v>
                </c:pt>
                <c:pt idx="19">
                  <c:v>1.02959654149033</c:v>
                </c:pt>
                <c:pt idx="20">
                  <c:v>0.999999999999999</c:v>
                </c:pt>
                <c:pt idx="21">
                  <c:v>0.95884764543974</c:v>
                </c:pt>
                <c:pt idx="22">
                  <c:v>0.906526659230621</c:v>
                </c:pt>
                <c:pt idx="23">
                  <c:v>0.843532919033657</c:v>
                </c:pt>
                <c:pt idx="24">
                  <c:v>0.770422185218066</c:v>
                </c:pt>
                <c:pt idx="25">
                  <c:v>0.68776128732952</c:v>
                </c:pt>
                <c:pt idx="26">
                  <c:v>0.596079310558488</c:v>
                </c:pt>
                <c:pt idx="27">
                  <c:v>0.49581878220844</c:v>
                </c:pt>
                <c:pt idx="28">
                  <c:v>0.387286858164138</c:v>
                </c:pt>
                <c:pt idx="29">
                  <c:v>0.270606509359926</c:v>
                </c:pt>
                <c:pt idx="30">
                  <c:v>0.145667708248003</c:v>
                </c:pt>
                <c:pt idx="31">
                  <c:v>0.0120786152666855</c:v>
                </c:pt>
              </c:numCache>
            </c:numRef>
          </c:yVal>
          <c:smooth val="0"/>
        </c:ser>
        <c:ser>
          <c:idx val="2"/>
          <c:order val="2"/>
          <c:tx>
            <c:strRef>
              <c:f>'Impeller Curve'!$T$50</c:f>
              <c:strCache>
                <c:ptCount val="1"/>
                <c:pt idx="0">
                  <c:v>CCAA/Cabin (Ns=1.5)</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'Impeller Curve'!$A$51:$A$83</c:f>
              <c:numCache>
                <c:formatCode>General</c:formatCode>
                <c:ptCount val="33"/>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numCache>
            </c:numRef>
          </c:xVal>
          <c:yVal>
            <c:numRef>
              <c:f>'Impeller Curve'!$T$51:$T$83</c:f>
              <c:numCache>
                <c:formatCode>General</c:formatCode>
                <c:ptCount val="33"/>
                <c:pt idx="0">
                  <c:v>1.40307450911226</c:v>
                </c:pt>
                <c:pt idx="1">
                  <c:v>1.36424359438695</c:v>
                </c:pt>
                <c:pt idx="2">
                  <c:v>1.32659808295563</c:v>
                </c:pt>
                <c:pt idx="3">
                  <c:v>1.29112349021866</c:v>
                </c:pt>
                <c:pt idx="4">
                  <c:v>1.25854075870497</c:v>
                </c:pt>
                <c:pt idx="5">
                  <c:v>1.22932603910695</c:v>
                </c:pt>
                <c:pt idx="6">
                  <c:v>1.20373047131539</c:v>
                </c:pt>
                <c:pt idx="7">
                  <c:v>1.18179996545434</c:v>
                </c:pt>
                <c:pt idx="8">
                  <c:v>1.16339498291608</c:v>
                </c:pt>
                <c:pt idx="9">
                  <c:v>1.14821031739598</c:v>
                </c:pt>
                <c:pt idx="10">
                  <c:v>1.13579487592743</c:v>
                </c:pt>
                <c:pt idx="11">
                  <c:v>1.12557145991676</c:v>
                </c:pt>
                <c:pt idx="12">
                  <c:v>1.11685654617814</c:v>
                </c:pt>
                <c:pt idx="13">
                  <c:v>1.10888006796849</c:v>
                </c:pt>
                <c:pt idx="14">
                  <c:v>1.10080519602239</c:v>
                </c:pt>
                <c:pt idx="15">
                  <c:v>1.091748119587</c:v>
                </c:pt>
                <c:pt idx="16">
                  <c:v>1.08079782745696</c:v>
                </c:pt>
                <c:pt idx="17">
                  <c:v>1.0670358890093</c:v>
                </c:pt>
                <c:pt idx="18">
                  <c:v>1.04955623523837</c:v>
                </c:pt>
                <c:pt idx="19">
                  <c:v>1.02748493979071</c:v>
                </c:pt>
                <c:pt idx="20">
                  <c:v>1</c:v>
                </c:pt>
                <c:pt idx="21">
                  <c:v>0.966351117921965</c:v>
                </c:pt>
                <c:pt idx="22">
                  <c:v>0.925879481369263</c:v>
                </c:pt>
                <c:pt idx="23">
                  <c:v>0.878037544946414</c:v>
                </c:pt>
                <c:pt idx="24">
                  <c:v>0.822408811084706</c:v>
                </c:pt>
                <c:pt idx="25">
                  <c:v>0.758727611077102</c:v>
                </c:pt>
                <c:pt idx="26">
                  <c:v>0.686898886113159</c:v>
                </c:pt>
                <c:pt idx="27">
                  <c:v>0.607017968313931</c:v>
                </c:pt>
                <c:pt idx="28">
                  <c:v>0.519390361766879</c:v>
                </c:pt>
                <c:pt idx="29">
                  <c:v>0.424551523560789</c:v>
                </c:pt>
                <c:pt idx="30">
                  <c:v>0.323286644820672</c:v>
                </c:pt>
                <c:pt idx="31">
                  <c:v>0.216650431742686</c:v>
                </c:pt>
                <c:pt idx="32">
                  <c:v>0.105986886629036</c:v>
                </c:pt>
              </c:numCache>
            </c:numRef>
          </c:yVal>
          <c:smooth val="0"/>
        </c:ser>
        <c:ser>
          <c:idx val="3"/>
          <c:order val="3"/>
          <c:tx>
            <c:strRef>
              <c:f>'Impeller Curve'!$U$50</c:f>
              <c:strCache>
                <c:ptCount val="1"/>
                <c:pt idx="0">
                  <c:v>ITCS (Ns=0.4)</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'Impeller Curve'!$A$51:$A$83</c:f>
              <c:numCache>
                <c:formatCode>General</c:formatCode>
                <c:ptCount val="33"/>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numCache>
            </c:numRef>
          </c:xVal>
          <c:yVal>
            <c:numRef>
              <c:f>'Impeller Curve'!$U$51:$U$83</c:f>
              <c:numCache>
                <c:formatCode>General</c:formatCode>
                <c:ptCount val="33"/>
                <c:pt idx="0">
                  <c:v>1.11401727717503</c:v>
                </c:pt>
                <c:pt idx="1">
                  <c:v>1.11831011612921</c:v>
                </c:pt>
                <c:pt idx="2">
                  <c:v>1.12136072213818</c:v>
                </c:pt>
                <c:pt idx="3">
                  <c:v>1.1229958188019</c:v>
                </c:pt>
                <c:pt idx="4">
                  <c:v>1.12317808852173</c:v>
                </c:pt>
                <c:pt idx="5">
                  <c:v>1.12197875795621</c:v>
                </c:pt>
                <c:pt idx="6">
                  <c:v>1.11955018347685</c:v>
                </c:pt>
                <c:pt idx="7">
                  <c:v>1.11609843662395</c:v>
                </c:pt>
                <c:pt idx="8">
                  <c:v>1.11185588956239</c:v>
                </c:pt>
                <c:pt idx="9">
                  <c:v>1.10705380053737</c:v>
                </c:pt>
                <c:pt idx="10">
                  <c:v>1.1018948993303</c:v>
                </c:pt>
                <c:pt idx="11">
                  <c:v>1.09652597271449</c:v>
                </c:pt>
                <c:pt idx="12">
                  <c:v>1.09101044991103</c:v>
                </c:pt>
                <c:pt idx="13">
                  <c:v>1.08530098804451</c:v>
                </c:pt>
                <c:pt idx="14">
                  <c:v>1.07921205759889</c:v>
                </c:pt>
                <c:pt idx="15">
                  <c:v>1.07239252787323</c:v>
                </c:pt>
                <c:pt idx="16">
                  <c:v>1.06429825243749</c:v>
                </c:pt>
                <c:pt idx="17">
                  <c:v>1.05416465458838</c:v>
                </c:pt>
                <c:pt idx="18">
                  <c:v>1.04097931280509</c:v>
                </c:pt>
                <c:pt idx="19">
                  <c:v>1.0234545462051</c:v>
                </c:pt>
                <c:pt idx="20">
                  <c:v>1</c:v>
                </c:pt>
                <c:pt idx="21">
                  <c:v>0.968695230951247</c:v>
                </c:pt>
                <c:pt idx="22">
                  <c:v>0.927262292825985</c:v>
                </c:pt>
                <c:pt idx="23">
                  <c:v>0.873038321852827</c:v>
                </c:pt>
                <c:pt idx="24">
                  <c:v>0.80294812217765</c:v>
                </c:pt>
                <c:pt idx="25">
                  <c:v>0.713476751319389</c:v>
                </c:pt>
                <c:pt idx="26">
                  <c:v>0.60064210562583</c:v>
                </c:pt>
                <c:pt idx="27">
                  <c:v>0.459967505729406</c:v>
                </c:pt>
                <c:pt idx="28">
                  <c:v>0.286454282002984</c:v>
                </c:pt>
                <c:pt idx="29">
                  <c:v>0.0745543600156668</c:v>
                </c:pt>
              </c:numCache>
            </c:numRef>
          </c:yVal>
          <c:smooth val="0"/>
        </c:ser>
        <c:axId val="21851000"/>
        <c:axId val="10548290"/>
      </c:scatterChart>
      <c:valAx>
        <c:axId val="21851000"/>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548290"/>
        <c:crosses val="autoZero"/>
        <c:crossBetween val="midCat"/>
      </c:valAx>
      <c:valAx>
        <c:axId val="10548290"/>
        <c:scaling>
          <c:orientation val="minMax"/>
        </c:scaling>
        <c:delete val="0"/>
        <c:axPos val="l"/>
        <c:majorGridlines>
          <c:spPr>
            <a:ln w="9360">
              <a:solidFill>
                <a:srgbClr val="878787"/>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85100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
        <c:varyColors val="0"/>
        <c:ser>
          <c:idx val="0"/>
          <c:order val="0"/>
          <c:tx>
            <c:strRef>
              <c:f>'Impeller Curve'!$N$50</c:f>
              <c:strCache>
                <c:ptCount val="1"/>
                <c:pt idx="0">
                  <c:v>From</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'Impeller Curve'!$F$51:$F$84</c:f>
              <c:numCache>
                <c:formatCode>General</c:formatCode>
                <c:ptCount val="34"/>
                <c:pt idx="0">
                  <c:v>0</c:v>
                </c:pt>
                <c:pt idx="1">
                  <c:v>0.0085</c:v>
                </c:pt>
                <c:pt idx="2">
                  <c:v>0.017</c:v>
                </c:pt>
                <c:pt idx="3">
                  <c:v>0.0255</c:v>
                </c:pt>
                <c:pt idx="4">
                  <c:v>0.034</c:v>
                </c:pt>
                <c:pt idx="5">
                  <c:v>0.0425</c:v>
                </c:pt>
                <c:pt idx="6">
                  <c:v>0.051</c:v>
                </c:pt>
                <c:pt idx="7">
                  <c:v>0.0595</c:v>
                </c:pt>
                <c:pt idx="8">
                  <c:v>0.068</c:v>
                </c:pt>
                <c:pt idx="9">
                  <c:v>0.0765</c:v>
                </c:pt>
                <c:pt idx="10">
                  <c:v>0.085</c:v>
                </c:pt>
                <c:pt idx="11">
                  <c:v>0.0935</c:v>
                </c:pt>
                <c:pt idx="12">
                  <c:v>0.102</c:v>
                </c:pt>
                <c:pt idx="13">
                  <c:v>0.1105</c:v>
                </c:pt>
                <c:pt idx="14">
                  <c:v>0.119</c:v>
                </c:pt>
                <c:pt idx="15">
                  <c:v>0.1275</c:v>
                </c:pt>
                <c:pt idx="16">
                  <c:v>0.136</c:v>
                </c:pt>
                <c:pt idx="17">
                  <c:v>0.1445</c:v>
                </c:pt>
                <c:pt idx="18">
                  <c:v>0.153</c:v>
                </c:pt>
                <c:pt idx="19">
                  <c:v>0.1615</c:v>
                </c:pt>
                <c:pt idx="20">
                  <c:v>0.17</c:v>
                </c:pt>
                <c:pt idx="21">
                  <c:v>0.1785</c:v>
                </c:pt>
                <c:pt idx="22">
                  <c:v>0.187</c:v>
                </c:pt>
                <c:pt idx="23">
                  <c:v>0.1955</c:v>
                </c:pt>
                <c:pt idx="24">
                  <c:v>0.204</c:v>
                </c:pt>
                <c:pt idx="25">
                  <c:v>0.2125</c:v>
                </c:pt>
                <c:pt idx="26">
                  <c:v>0.221</c:v>
                </c:pt>
                <c:pt idx="27">
                  <c:v>0.2295</c:v>
                </c:pt>
                <c:pt idx="28">
                  <c:v>0.238</c:v>
                </c:pt>
                <c:pt idx="29">
                  <c:v>0.2465</c:v>
                </c:pt>
                <c:pt idx="30">
                  <c:v>0.255</c:v>
                </c:pt>
                <c:pt idx="31">
                  <c:v>0.2635</c:v>
                </c:pt>
                <c:pt idx="32">
                  <c:v>0.272</c:v>
                </c:pt>
                <c:pt idx="33">
                  <c:v>0.2805</c:v>
                </c:pt>
              </c:numCache>
            </c:numRef>
          </c:xVal>
          <c:yVal>
            <c:numRef>
              <c:f>'Impeller Curve'!$N$51:$N$84</c:f>
              <c:numCache>
                <c:formatCode>General</c:formatCode>
                <c:ptCount val="34"/>
                <c:pt idx="0">
                  <c:v>1.4504</c:v>
                </c:pt>
                <c:pt idx="1">
                  <c:v>1.41027554104991</c:v>
                </c:pt>
                <c:pt idx="2">
                  <c:v>1.37137501435054</c:v>
                </c:pt>
                <c:pt idx="3">
                  <c:v>1.33471610081144</c:v>
                </c:pt>
                <c:pt idx="4">
                  <c:v>1.30104341415162</c:v>
                </c:pt>
                <c:pt idx="5">
                  <c:v>1.27084890743928</c:v>
                </c:pt>
                <c:pt idx="6">
                  <c:v>1.24439227963158</c:v>
                </c:pt>
                <c:pt idx="7">
                  <c:v>1.22172138211445</c:v>
                </c:pt>
                <c:pt idx="8">
                  <c:v>1.20269262524232</c:v>
                </c:pt>
                <c:pt idx="9">
                  <c:v>1.18699138487787</c:v>
                </c:pt>
                <c:pt idx="10">
                  <c:v>1.17415240893188</c:v>
                </c:pt>
                <c:pt idx="11">
                  <c:v>1.16358022390288</c:v>
                </c:pt>
                <c:pt idx="12">
                  <c:v>1.15456954141704</c:v>
                </c:pt>
                <c:pt idx="13">
                  <c:v>1.14632566476785</c:v>
                </c:pt>
                <c:pt idx="14">
                  <c:v>1.13798489545593</c:v>
                </c:pt>
                <c:pt idx="15">
                  <c:v>1.12863493972877</c:v>
                </c:pt>
                <c:pt idx="16">
                  <c:v>1.11733531512054</c:v>
                </c:pt>
                <c:pt idx="17">
                  <c:v>1.10313775699181</c:v>
                </c:pt>
                <c:pt idx="18">
                  <c:v>1.08510662506937</c:v>
                </c:pt>
                <c:pt idx="19">
                  <c:v>1.06233930998595</c:v>
                </c:pt>
                <c:pt idx="20">
                  <c:v>1.03398663982</c:v>
                </c:pt>
                <c:pt idx="21">
                  <c:v>0.999273286635492</c:v>
                </c:pt>
                <c:pt idx="22">
                  <c:v>0.957518173021648</c:v>
                </c:pt>
                <c:pt idx="23">
                  <c:v>0.908154878632725</c:v>
                </c:pt>
                <c:pt idx="24">
                  <c:v>0.850752046727782</c:v>
                </c:pt>
                <c:pt idx="25">
                  <c:v>0.785033790710448</c:v>
                </c:pt>
                <c:pt idx="26">
                  <c:v>0.710900100668691</c:v>
                </c:pt>
                <c:pt idx="27">
                  <c:v>0.628447249914584</c:v>
                </c:pt>
                <c:pt idx="28">
                  <c:v>0.537988201524074</c:v>
                </c:pt>
                <c:pt idx="29">
                  <c:v>0.440073014876754</c:v>
                </c:pt>
                <c:pt idx="30">
                  <c:v>0.335509252195624</c:v>
                </c:pt>
                <c:pt idx="31">
                  <c:v>0.225382385086862</c:v>
                </c:pt>
                <c:pt idx="32">
                  <c:v>0.111076201079602</c:v>
                </c:pt>
                <c:pt idx="33">
                  <c:v>0</c:v>
                </c:pt>
              </c:numCache>
            </c:numRef>
          </c:yVal>
          <c:smooth val="0"/>
        </c:ser>
        <c:ser>
          <c:idx val="1"/>
          <c:order val="1"/>
          <c:tx>
            <c:strRef>
              <c:f>'Impeller Curve'!$O$50</c:f>
              <c:strCache>
                <c:ptCount val="1"/>
                <c:pt idx="0">
                  <c:v>To</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'Impeller Curve'!$G$51:$G$84</c:f>
              <c:numCache>
                <c:formatCode>General</c:formatCode>
                <c:ptCount val="34"/>
                <c:pt idx="0">
                  <c:v>0</c:v>
                </c:pt>
                <c:pt idx="1">
                  <c:v>0.02</c:v>
                </c:pt>
                <c:pt idx="2">
                  <c:v>0.04</c:v>
                </c:pt>
                <c:pt idx="3">
                  <c:v>0.06</c:v>
                </c:pt>
                <c:pt idx="4">
                  <c:v>0.08</c:v>
                </c:pt>
                <c:pt idx="5">
                  <c:v>0.1</c:v>
                </c:pt>
                <c:pt idx="6">
                  <c:v>0.12</c:v>
                </c:pt>
                <c:pt idx="7">
                  <c:v>0.14</c:v>
                </c:pt>
                <c:pt idx="8">
                  <c:v>0.16</c:v>
                </c:pt>
                <c:pt idx="9">
                  <c:v>0.18</c:v>
                </c:pt>
                <c:pt idx="10">
                  <c:v>0.2</c:v>
                </c:pt>
                <c:pt idx="11">
                  <c:v>0.22</c:v>
                </c:pt>
                <c:pt idx="12">
                  <c:v>0.24</c:v>
                </c:pt>
                <c:pt idx="13">
                  <c:v>0.26</c:v>
                </c:pt>
                <c:pt idx="14">
                  <c:v>0.28</c:v>
                </c:pt>
                <c:pt idx="15">
                  <c:v>0.3</c:v>
                </c:pt>
                <c:pt idx="16">
                  <c:v>0.32</c:v>
                </c:pt>
                <c:pt idx="17">
                  <c:v>0.34</c:v>
                </c:pt>
                <c:pt idx="18">
                  <c:v>0.36</c:v>
                </c:pt>
                <c:pt idx="19">
                  <c:v>0.38</c:v>
                </c:pt>
                <c:pt idx="20">
                  <c:v>0.4</c:v>
                </c:pt>
                <c:pt idx="21">
                  <c:v>0.42</c:v>
                </c:pt>
                <c:pt idx="22">
                  <c:v>0.44</c:v>
                </c:pt>
                <c:pt idx="23">
                  <c:v>0.46</c:v>
                </c:pt>
                <c:pt idx="24">
                  <c:v>0.48</c:v>
                </c:pt>
                <c:pt idx="25">
                  <c:v>0.5</c:v>
                </c:pt>
                <c:pt idx="26">
                  <c:v>0.52</c:v>
                </c:pt>
                <c:pt idx="27">
                  <c:v>0.54</c:v>
                </c:pt>
                <c:pt idx="28">
                  <c:v>0.56</c:v>
                </c:pt>
                <c:pt idx="29">
                  <c:v>0.58</c:v>
                </c:pt>
                <c:pt idx="30">
                  <c:v>0.6</c:v>
                </c:pt>
                <c:pt idx="31">
                  <c:v>0.62</c:v>
                </c:pt>
                <c:pt idx="32">
                  <c:v>0.64</c:v>
                </c:pt>
                <c:pt idx="33">
                  <c:v>0.66</c:v>
                </c:pt>
              </c:numCache>
            </c:numRef>
          </c:xVal>
          <c:yVal>
            <c:numRef>
              <c:f>'Impeller Curve'!$O$51:$O$84</c:f>
              <c:numCache>
                <c:formatCode>General</c:formatCode>
                <c:ptCount val="34"/>
                <c:pt idx="0">
                  <c:v>3.50681513702269</c:v>
                </c:pt>
                <c:pt idx="1">
                  <c:v>3.40980116845469</c:v>
                </c:pt>
                <c:pt idx="2">
                  <c:v>3.31574645536346</c:v>
                </c:pt>
                <c:pt idx="3">
                  <c:v>3.22711157332699</c:v>
                </c:pt>
                <c:pt idx="4">
                  <c:v>3.14569686891243</c:v>
                </c:pt>
                <c:pt idx="5">
                  <c:v>3.07269179914286</c:v>
                </c:pt>
                <c:pt idx="6">
                  <c:v>3.00872427096401</c:v>
                </c:pt>
                <c:pt idx="7">
                  <c:v>2.95390998071101</c:v>
                </c:pt>
                <c:pt idx="8">
                  <c:v>2.90790175357509</c:v>
                </c:pt>
                <c:pt idx="9">
                  <c:v>2.86993888307036</c:v>
                </c:pt>
                <c:pt idx="10">
                  <c:v>2.83889647050052</c:v>
                </c:pt>
                <c:pt idx="11">
                  <c:v>2.81333476442559</c:v>
                </c:pt>
                <c:pt idx="12">
                  <c:v>2.79154850012867</c:v>
                </c:pt>
                <c:pt idx="13">
                  <c:v>2.77161623908267</c:v>
                </c:pt>
                <c:pt idx="14">
                  <c:v>2.751449708417</c:v>
                </c:pt>
                <c:pt idx="15">
                  <c:v>2.7288431403844</c:v>
                </c:pt>
                <c:pt idx="16">
                  <c:v>2.70152261182757</c:v>
                </c:pt>
                <c:pt idx="17">
                  <c:v>2.66719538364599</c:v>
                </c:pt>
                <c:pt idx="18">
                  <c:v>2.6235992402626</c:v>
                </c:pt>
                <c:pt idx="19">
                  <c:v>2.56855182909056</c:v>
                </c:pt>
                <c:pt idx="20">
                  <c:v>2.5</c:v>
                </c:pt>
                <c:pt idx="21">
                  <c:v>2.41606914478472</c:v>
                </c:pt>
                <c:pt idx="22">
                  <c:v>2.31511253662895</c:v>
                </c:pt>
                <c:pt idx="23">
                  <c:v>2.19576066957408</c:v>
                </c:pt>
                <c:pt idx="24">
                  <c:v>2.0569705979854</c:v>
                </c:pt>
                <c:pt idx="25">
                  <c:v>1.89807527601883</c:v>
                </c:pt>
                <c:pt idx="26">
                  <c:v>1.71883289708765</c:v>
                </c:pt>
                <c:pt idx="27">
                  <c:v>1.51947623332925</c:v>
                </c:pt>
                <c:pt idx="28">
                  <c:v>1.30076197507187</c:v>
                </c:pt>
                <c:pt idx="29">
                  <c:v>1.06402007030131</c:v>
                </c:pt>
                <c:pt idx="30">
                  <c:v>0.811203064127673</c:v>
                </c:pt>
                <c:pt idx="31">
                  <c:v>0.544935438252136</c:v>
                </c:pt>
                <c:pt idx="32">
                  <c:v>0.268562950433621</c:v>
                </c:pt>
                <c:pt idx="33">
                  <c:v>0</c:v>
                </c:pt>
              </c:numCache>
            </c:numRef>
          </c:yVal>
          <c:smooth val="0"/>
        </c:ser>
        <c:axId val="10014821"/>
        <c:axId val="51357977"/>
      </c:scatterChart>
      <c:valAx>
        <c:axId val="10014821"/>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357977"/>
        <c:crosses val="autoZero"/>
        <c:crossBetween val="midCat"/>
      </c:valAx>
      <c:valAx>
        <c:axId val="51357977"/>
        <c:scaling>
          <c:orientation val="minMax"/>
        </c:scaling>
        <c:delete val="0"/>
        <c:axPos val="l"/>
        <c:majorGridlines>
          <c:spPr>
            <a:ln w="9360">
              <a:solidFill>
                <a:srgbClr val="878787"/>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1482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
        <c:varyColors val="0"/>
        <c:ser>
          <c:idx val="0"/>
          <c:order val="0"/>
          <c:tx>
            <c:strRef>
              <c:f>'Impeller Curve'!$P$50</c:f>
              <c:strCache>
                <c:ptCount val="1"/>
                <c:pt idx="0">
                  <c:v>From</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'Impeller Curve'!$H$51:$H$84</c:f>
              <c:numCache>
                <c:formatCode>General</c:formatCode>
                <c:ptCount val="34"/>
                <c:pt idx="0">
                  <c:v>0</c:v>
                </c:pt>
                <c:pt idx="1">
                  <c:v>0.0085</c:v>
                </c:pt>
                <c:pt idx="2">
                  <c:v>0.017</c:v>
                </c:pt>
                <c:pt idx="3">
                  <c:v>0.0255</c:v>
                </c:pt>
                <c:pt idx="4">
                  <c:v>0.034</c:v>
                </c:pt>
                <c:pt idx="5">
                  <c:v>0.0425</c:v>
                </c:pt>
                <c:pt idx="6">
                  <c:v>0.051</c:v>
                </c:pt>
                <c:pt idx="7">
                  <c:v>0.0595</c:v>
                </c:pt>
                <c:pt idx="8">
                  <c:v>0.068</c:v>
                </c:pt>
                <c:pt idx="9">
                  <c:v>0.0765</c:v>
                </c:pt>
                <c:pt idx="10">
                  <c:v>0.085</c:v>
                </c:pt>
                <c:pt idx="11">
                  <c:v>0.0935</c:v>
                </c:pt>
                <c:pt idx="12">
                  <c:v>0.102</c:v>
                </c:pt>
                <c:pt idx="13">
                  <c:v>0.1105</c:v>
                </c:pt>
                <c:pt idx="14">
                  <c:v>0.119</c:v>
                </c:pt>
                <c:pt idx="15">
                  <c:v>0.1275</c:v>
                </c:pt>
                <c:pt idx="16">
                  <c:v>0.136</c:v>
                </c:pt>
                <c:pt idx="17">
                  <c:v>0.1445</c:v>
                </c:pt>
                <c:pt idx="18">
                  <c:v>0.153</c:v>
                </c:pt>
                <c:pt idx="19">
                  <c:v>0.1615</c:v>
                </c:pt>
                <c:pt idx="20">
                  <c:v>0.17</c:v>
                </c:pt>
                <c:pt idx="21">
                  <c:v>0.1785</c:v>
                </c:pt>
                <c:pt idx="22">
                  <c:v>0.187</c:v>
                </c:pt>
                <c:pt idx="23">
                  <c:v>0.1955</c:v>
                </c:pt>
                <c:pt idx="24">
                  <c:v>0.204</c:v>
                </c:pt>
                <c:pt idx="25">
                  <c:v>0.2125</c:v>
                </c:pt>
                <c:pt idx="26">
                  <c:v>0.221</c:v>
                </c:pt>
                <c:pt idx="27">
                  <c:v>0.2295</c:v>
                </c:pt>
                <c:pt idx="28">
                  <c:v>0.238</c:v>
                </c:pt>
                <c:pt idx="29">
                  <c:v>0.2465</c:v>
                </c:pt>
                <c:pt idx="30">
                  <c:v>0.255</c:v>
                </c:pt>
                <c:pt idx="31">
                  <c:v>0.2635</c:v>
                </c:pt>
                <c:pt idx="32">
                  <c:v>0.272</c:v>
                </c:pt>
                <c:pt idx="33">
                  <c:v>0.2805</c:v>
                </c:pt>
              </c:numCache>
            </c:numRef>
          </c:xVal>
          <c:yVal>
            <c:numRef>
              <c:f>'Impeller Curve'!$P$51:$P$84</c:f>
              <c:numCache>
                <c:formatCode>General</c:formatCode>
                <c:ptCount val="34"/>
                <c:pt idx="0">
                  <c:v>1.4504</c:v>
                </c:pt>
                <c:pt idx="1">
                  <c:v>1.41027554104991</c:v>
                </c:pt>
                <c:pt idx="2">
                  <c:v>1.37137501435054</c:v>
                </c:pt>
                <c:pt idx="3">
                  <c:v>1.33471610081144</c:v>
                </c:pt>
                <c:pt idx="4">
                  <c:v>1.30104341415162</c:v>
                </c:pt>
                <c:pt idx="5">
                  <c:v>1.27084890743928</c:v>
                </c:pt>
                <c:pt idx="6">
                  <c:v>1.24439227963158</c:v>
                </c:pt>
                <c:pt idx="7">
                  <c:v>1.22172138211445</c:v>
                </c:pt>
                <c:pt idx="8">
                  <c:v>1.20269262524232</c:v>
                </c:pt>
                <c:pt idx="9">
                  <c:v>1.18699138487787</c:v>
                </c:pt>
                <c:pt idx="10">
                  <c:v>1.17415240893188</c:v>
                </c:pt>
                <c:pt idx="11">
                  <c:v>1.16358022390288</c:v>
                </c:pt>
                <c:pt idx="12">
                  <c:v>1.15456954141704</c:v>
                </c:pt>
                <c:pt idx="13">
                  <c:v>1.14632566476785</c:v>
                </c:pt>
                <c:pt idx="14">
                  <c:v>1.13798489545593</c:v>
                </c:pt>
                <c:pt idx="15">
                  <c:v>1.12863493972877</c:v>
                </c:pt>
                <c:pt idx="16">
                  <c:v>1.11733531512054</c:v>
                </c:pt>
                <c:pt idx="17">
                  <c:v>1.10313775699181</c:v>
                </c:pt>
                <c:pt idx="18">
                  <c:v>1.08510662506937</c:v>
                </c:pt>
                <c:pt idx="19">
                  <c:v>1.06233930998595</c:v>
                </c:pt>
                <c:pt idx="20">
                  <c:v>1.03398663982</c:v>
                </c:pt>
                <c:pt idx="21">
                  <c:v>0.999273286635492</c:v>
                </c:pt>
                <c:pt idx="22">
                  <c:v>0.957518173021648</c:v>
                </c:pt>
                <c:pt idx="23">
                  <c:v>0.908154878632725</c:v>
                </c:pt>
                <c:pt idx="24">
                  <c:v>0.850752046727782</c:v>
                </c:pt>
                <c:pt idx="25">
                  <c:v>0.785033790710448</c:v>
                </c:pt>
                <c:pt idx="26">
                  <c:v>0.710900100668691</c:v>
                </c:pt>
                <c:pt idx="27">
                  <c:v>0.628447249914584</c:v>
                </c:pt>
                <c:pt idx="28">
                  <c:v>0.537988201524074</c:v>
                </c:pt>
                <c:pt idx="29">
                  <c:v>0.440073014876754</c:v>
                </c:pt>
                <c:pt idx="30">
                  <c:v>0.335509252195624</c:v>
                </c:pt>
                <c:pt idx="31">
                  <c:v>0.225382385086862</c:v>
                </c:pt>
                <c:pt idx="32">
                  <c:v>0.111076201079602</c:v>
                </c:pt>
                <c:pt idx="33">
                  <c:v>0</c:v>
                </c:pt>
              </c:numCache>
            </c:numRef>
          </c:yVal>
          <c:smooth val="0"/>
        </c:ser>
        <c:ser>
          <c:idx val="1"/>
          <c:order val="1"/>
          <c:tx>
            <c:strRef>
              <c:f>'Impeller Curve'!$Q$50</c:f>
              <c:strCache>
                <c:ptCount val="1"/>
                <c:pt idx="0">
                  <c:v>To</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'Impeller Curve'!$I$51:$I$84</c:f>
              <c:numCache>
                <c:formatCode>General</c:formatCode>
                <c:ptCount val="34"/>
                <c:pt idx="0">
                  <c:v>0</c:v>
                </c:pt>
                <c:pt idx="1">
                  <c:v>0.0114024390243902</c:v>
                </c:pt>
                <c:pt idx="2">
                  <c:v>0.0228048780487805</c:v>
                </c:pt>
                <c:pt idx="3">
                  <c:v>0.0342073170731707</c:v>
                </c:pt>
                <c:pt idx="4">
                  <c:v>0.045609756097561</c:v>
                </c:pt>
                <c:pt idx="5">
                  <c:v>0.0570121951219512</c:v>
                </c:pt>
                <c:pt idx="6">
                  <c:v>0.0684146341463415</c:v>
                </c:pt>
                <c:pt idx="7">
                  <c:v>0.0798170731707317</c:v>
                </c:pt>
                <c:pt idx="8">
                  <c:v>0.091219512195122</c:v>
                </c:pt>
                <c:pt idx="9">
                  <c:v>0.102621951219512</c:v>
                </c:pt>
                <c:pt idx="10">
                  <c:v>0.114024390243902</c:v>
                </c:pt>
                <c:pt idx="11">
                  <c:v>0.125426829268293</c:v>
                </c:pt>
                <c:pt idx="12">
                  <c:v>0.136829268292683</c:v>
                </c:pt>
                <c:pt idx="13">
                  <c:v>0.148231707317073</c:v>
                </c:pt>
                <c:pt idx="14">
                  <c:v>0.159634146341463</c:v>
                </c:pt>
                <c:pt idx="15">
                  <c:v>0.171036585365854</c:v>
                </c:pt>
                <c:pt idx="16">
                  <c:v>0.182439024390244</c:v>
                </c:pt>
                <c:pt idx="17">
                  <c:v>0.193841463414634</c:v>
                </c:pt>
                <c:pt idx="18">
                  <c:v>0.205243902439024</c:v>
                </c:pt>
                <c:pt idx="19">
                  <c:v>0.216646341463415</c:v>
                </c:pt>
                <c:pt idx="20">
                  <c:v>0.228048780487805</c:v>
                </c:pt>
                <c:pt idx="21">
                  <c:v>0.239451219512195</c:v>
                </c:pt>
                <c:pt idx="22">
                  <c:v>0.250853658536585</c:v>
                </c:pt>
                <c:pt idx="23">
                  <c:v>0.262256097560976</c:v>
                </c:pt>
                <c:pt idx="24">
                  <c:v>0.273658536585366</c:v>
                </c:pt>
                <c:pt idx="25">
                  <c:v>0.285060975609756</c:v>
                </c:pt>
                <c:pt idx="26">
                  <c:v>0.296463414634146</c:v>
                </c:pt>
                <c:pt idx="27">
                  <c:v>0.307865853658537</c:v>
                </c:pt>
                <c:pt idx="28">
                  <c:v>0.319268292682927</c:v>
                </c:pt>
                <c:pt idx="29">
                  <c:v>0.330670731707317</c:v>
                </c:pt>
                <c:pt idx="30">
                  <c:v>0.342073170731707</c:v>
                </c:pt>
                <c:pt idx="31">
                  <c:v>0.353475609756098</c:v>
                </c:pt>
                <c:pt idx="32">
                  <c:v>0.364878048780488</c:v>
                </c:pt>
                <c:pt idx="33">
                  <c:v>0.376280487804878</c:v>
                </c:pt>
              </c:numCache>
            </c:numRef>
          </c:xVal>
          <c:yVal>
            <c:numRef>
              <c:f>'Impeller Curve'!$Q$51:$Q$84</c:f>
              <c:numCache>
                <c:formatCode>General</c:formatCode>
                <c:ptCount val="34"/>
                <c:pt idx="0">
                  <c:v>2.70937343688569</c:v>
                </c:pt>
                <c:pt idx="1">
                  <c:v>2.63442022173898</c:v>
                </c:pt>
                <c:pt idx="2">
                  <c:v>2.56175333417683</c:v>
                </c:pt>
                <c:pt idx="3">
                  <c:v>2.49327382054755</c:v>
                </c:pt>
                <c:pt idx="4">
                  <c:v>2.43037263274784</c:v>
                </c:pt>
                <c:pt idx="5">
                  <c:v>2.37396874800826</c:v>
                </c:pt>
                <c:pt idx="6">
                  <c:v>2.3245472886786</c:v>
                </c:pt>
                <c:pt idx="7">
                  <c:v>2.28219764201336</c:v>
                </c:pt>
                <c:pt idx="8">
                  <c:v>2.24665157995715</c:v>
                </c:pt>
                <c:pt idx="9">
                  <c:v>2.21732137893014</c:v>
                </c:pt>
                <c:pt idx="10">
                  <c:v>2.19333793961346</c:v>
                </c:pt>
                <c:pt idx="11">
                  <c:v>2.17358890673468</c:v>
                </c:pt>
                <c:pt idx="12">
                  <c:v>2.15675678885316</c:v>
                </c:pt>
                <c:pt idx="13">
                  <c:v>2.14135707814558</c:v>
                </c:pt>
                <c:pt idx="14">
                  <c:v>2.12577637019128</c:v>
                </c:pt>
                <c:pt idx="15">
                  <c:v>2.10831048375773</c:v>
                </c:pt>
                <c:pt idx="16">
                  <c:v>2.08720258058597</c:v>
                </c:pt>
                <c:pt idx="17">
                  <c:v>2.06068128517601</c:v>
                </c:pt>
                <c:pt idx="18">
                  <c:v>2.02699880457228</c:v>
                </c:pt>
                <c:pt idx="19">
                  <c:v>1.98446904814906</c:v>
                </c:pt>
                <c:pt idx="20">
                  <c:v>1.93150574739589</c:v>
                </c:pt>
                <c:pt idx="21">
                  <c:v>1.86666057570302</c:v>
                </c:pt>
                <c:pt idx="22">
                  <c:v>1.78866126814683</c:v>
                </c:pt>
                <c:pt idx="23">
                  <c:v>1.69644974127527</c:v>
                </c:pt>
                <c:pt idx="24">
                  <c:v>1.58922021289326</c:v>
                </c:pt>
                <c:pt idx="25">
                  <c:v>1.46645732184816</c:v>
                </c:pt>
                <c:pt idx="26">
                  <c:v>1.32797424781517</c:v>
                </c:pt>
                <c:pt idx="27">
                  <c:v>1.17395083108276</c:v>
                </c:pt>
                <c:pt idx="28">
                  <c:v>1.00497169233814</c:v>
                </c:pt>
                <c:pt idx="29">
                  <c:v>0.822064352452618</c:v>
                </c:pt>
                <c:pt idx="30">
                  <c:v>0.626737352267104</c:v>
                </c:pt>
                <c:pt idx="31">
                  <c:v>0.421018372377473</c:v>
                </c:pt>
                <c:pt idx="32">
                  <c:v>0.207492352920054</c:v>
                </c:pt>
                <c:pt idx="33">
                  <c:v>0</c:v>
                </c:pt>
              </c:numCache>
            </c:numRef>
          </c:yVal>
          <c:smooth val="0"/>
        </c:ser>
        <c:axId val="99951217"/>
        <c:axId val="18536061"/>
      </c:scatterChart>
      <c:valAx>
        <c:axId val="99951217"/>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536061"/>
        <c:crosses val="autoZero"/>
        <c:crossBetween val="midCat"/>
      </c:valAx>
      <c:valAx>
        <c:axId val="18536061"/>
        <c:scaling>
          <c:orientation val="minMax"/>
        </c:scaling>
        <c:delete val="0"/>
        <c:axPos val="l"/>
        <c:majorGridlines>
          <c:spPr>
            <a:ln w="9360">
              <a:solidFill>
                <a:srgbClr val="878787"/>
              </a:solidFill>
              <a:round/>
            </a:ln>
          </c:spPr>
        </c:majorGridlines>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95121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_rels/drawing2.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3240</xdr:colOff>
      <xdr:row>17</xdr:row>
      <xdr:rowOff>158760</xdr:rowOff>
    </xdr:from>
    <xdr:to>
      <xdr:col>13</xdr:col>
      <xdr:colOff>932760</xdr:colOff>
      <xdr:row>33</xdr:row>
      <xdr:rowOff>161280</xdr:rowOff>
    </xdr:to>
    <xdr:graphicFrame>
      <xdr:nvGraphicFramePr>
        <xdr:cNvPr id="0" name="Chart 4"/>
        <xdr:cNvGraphicFramePr/>
      </xdr:nvGraphicFramePr>
      <xdr:xfrm>
        <a:off x="8456400" y="2913480"/>
        <a:ext cx="4853880" cy="2612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18</xdr:row>
      <xdr:rowOff>0</xdr:rowOff>
    </xdr:from>
    <xdr:to>
      <xdr:col>19</xdr:col>
      <xdr:colOff>980280</xdr:colOff>
      <xdr:row>33</xdr:row>
      <xdr:rowOff>161280</xdr:rowOff>
    </xdr:to>
    <xdr:graphicFrame>
      <xdr:nvGraphicFramePr>
        <xdr:cNvPr id="1" name="Chart 2"/>
        <xdr:cNvGraphicFramePr/>
      </xdr:nvGraphicFramePr>
      <xdr:xfrm>
        <a:off x="13453200" y="2916720"/>
        <a:ext cx="4904640" cy="260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0</xdr:row>
      <xdr:rowOff>0</xdr:rowOff>
    </xdr:from>
    <xdr:to>
      <xdr:col>19</xdr:col>
      <xdr:colOff>980280</xdr:colOff>
      <xdr:row>15</xdr:row>
      <xdr:rowOff>161280</xdr:rowOff>
    </xdr:to>
    <xdr:graphicFrame>
      <xdr:nvGraphicFramePr>
        <xdr:cNvPr id="2" name="Chart 3"/>
        <xdr:cNvGraphicFramePr/>
      </xdr:nvGraphicFramePr>
      <xdr:xfrm>
        <a:off x="13453200" y="0"/>
        <a:ext cx="4904640" cy="25909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36</xdr:row>
      <xdr:rowOff>3240</xdr:rowOff>
    </xdr:from>
    <xdr:to>
      <xdr:col>13</xdr:col>
      <xdr:colOff>980280</xdr:colOff>
      <xdr:row>51</xdr:row>
      <xdr:rowOff>151920</xdr:rowOff>
    </xdr:to>
    <xdr:graphicFrame>
      <xdr:nvGraphicFramePr>
        <xdr:cNvPr id="3" name="Chart 5"/>
        <xdr:cNvGraphicFramePr/>
      </xdr:nvGraphicFramePr>
      <xdr:xfrm>
        <a:off x="8453160" y="5853600"/>
        <a:ext cx="4904640" cy="2615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36</xdr:row>
      <xdr:rowOff>3240</xdr:rowOff>
    </xdr:from>
    <xdr:to>
      <xdr:col>19</xdr:col>
      <xdr:colOff>980280</xdr:colOff>
      <xdr:row>51</xdr:row>
      <xdr:rowOff>161280</xdr:rowOff>
    </xdr:to>
    <xdr:graphicFrame>
      <xdr:nvGraphicFramePr>
        <xdr:cNvPr id="4" name="Chart 6"/>
        <xdr:cNvGraphicFramePr/>
      </xdr:nvGraphicFramePr>
      <xdr:xfrm>
        <a:off x="13453200" y="5853600"/>
        <a:ext cx="4904640" cy="26247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3240</xdr:colOff>
      <xdr:row>0</xdr:row>
      <xdr:rowOff>0</xdr:rowOff>
    </xdr:from>
    <xdr:to>
      <xdr:col>13</xdr:col>
      <xdr:colOff>980280</xdr:colOff>
      <xdr:row>15</xdr:row>
      <xdr:rowOff>161280</xdr:rowOff>
    </xdr:to>
    <xdr:graphicFrame>
      <xdr:nvGraphicFramePr>
        <xdr:cNvPr id="5" name="Chart 10"/>
        <xdr:cNvGraphicFramePr/>
      </xdr:nvGraphicFramePr>
      <xdr:xfrm>
        <a:off x="8456400" y="0"/>
        <a:ext cx="4901400" cy="25909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152280</xdr:colOff>
      <xdr:row>36</xdr:row>
      <xdr:rowOff>50760</xdr:rowOff>
    </xdr:from>
    <xdr:to>
      <xdr:col>11</xdr:col>
      <xdr:colOff>26640</xdr:colOff>
      <xdr:row>52</xdr:row>
      <xdr:rowOff>151560</xdr:rowOff>
    </xdr:to>
    <xdr:graphicFrame>
      <xdr:nvGraphicFramePr>
        <xdr:cNvPr id="6" name="Chart 1"/>
        <xdr:cNvGraphicFramePr/>
      </xdr:nvGraphicFramePr>
      <xdr:xfrm>
        <a:off x="5890680" y="5880240"/>
        <a:ext cx="4309920" cy="269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152280</xdr:colOff>
      <xdr:row>0</xdr:row>
      <xdr:rowOff>0</xdr:rowOff>
    </xdr:from>
    <xdr:to>
      <xdr:col>11</xdr:col>
      <xdr:colOff>26640</xdr:colOff>
      <xdr:row>16</xdr:row>
      <xdr:rowOff>100800</xdr:rowOff>
    </xdr:to>
    <xdr:graphicFrame>
      <xdr:nvGraphicFramePr>
        <xdr:cNvPr id="7" name="Chart 10"/>
        <xdr:cNvGraphicFramePr/>
      </xdr:nvGraphicFramePr>
      <xdr:xfrm>
        <a:off x="5890680" y="0"/>
        <a:ext cx="4309920" cy="2691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152280</xdr:colOff>
      <xdr:row>18</xdr:row>
      <xdr:rowOff>0</xdr:rowOff>
    </xdr:from>
    <xdr:to>
      <xdr:col>11</xdr:col>
      <xdr:colOff>26640</xdr:colOff>
      <xdr:row>34</xdr:row>
      <xdr:rowOff>100800</xdr:rowOff>
    </xdr:to>
    <xdr:graphicFrame>
      <xdr:nvGraphicFramePr>
        <xdr:cNvPr id="8" name="Chart 11"/>
        <xdr:cNvGraphicFramePr/>
      </xdr:nvGraphicFramePr>
      <xdr:xfrm>
        <a:off x="5890680" y="2914560"/>
        <a:ext cx="4309920" cy="26917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Q1103"/>
  <sheetViews>
    <sheetView showFormulas="false" showGridLines="true" showRowColHeaders="true" showZeros="true" rightToLeft="false" tabSelected="true" showOutlineSymbols="true" defaultGridColor="true" view="normal" topLeftCell="C1" colorId="64" zoomScale="140" zoomScaleNormal="140" zoomScalePageLayoutView="100" workbookViewId="0">
      <selection pane="topLeft" activeCell="H11" activeCellId="0" sqref="H11"/>
    </sheetView>
  </sheetViews>
  <sheetFormatPr defaultColWidth="11.00390625" defaultRowHeight="12.75" zeroHeight="false" outlineLevelRow="0" outlineLevelCol="0"/>
  <cols>
    <col collapsed="false" customWidth="true" hidden="false" outlineLevel="0" max="2" min="2" style="0" width="32"/>
    <col collapsed="false" customWidth="true" hidden="false" outlineLevel="0" max="4" min="4" style="0" width="14.5"/>
    <col collapsed="false" customWidth="true" hidden="false" outlineLevel="0" max="7" min="5" style="0" width="7.66"/>
    <col collapsed="false" customWidth="true" hidden="false" outlineLevel="0" max="8" min="8" style="0" width="12.17"/>
    <col collapsed="false" customWidth="true" hidden="false" outlineLevel="0" max="9" min="9" style="0" width="1.17"/>
    <col collapsed="false" customWidth="true" hidden="false" outlineLevel="0" max="14" min="10" style="0" width="12.17"/>
    <col collapsed="false" customWidth="true" hidden="false" outlineLevel="0" max="15" min="15" style="0" width="1.17"/>
    <col collapsed="false" customWidth="true" hidden="false" outlineLevel="0" max="20" min="16" style="0" width="12.17"/>
    <col collapsed="false" customWidth="true" hidden="false" outlineLevel="0" max="28" min="27" style="0" width="12"/>
    <col collapsed="false" customWidth="true" hidden="false" outlineLevel="0" max="34" min="34" style="0" width="13.33"/>
    <col collapsed="false" customWidth="true" hidden="false" outlineLevel="0" max="35" min="35" style="0" width="13"/>
    <col collapsed="false" customWidth="true" hidden="false" outlineLevel="0" max="38" min="38" style="0" width="11.66"/>
    <col collapsed="false" customWidth="true" hidden="false" outlineLevel="0" max="44" min="44" style="0" width="12"/>
    <col collapsed="false" customWidth="true" hidden="false" outlineLevel="0" max="45" min="45" style="0" width="12.17"/>
    <col collapsed="false" customWidth="true" hidden="false" outlineLevel="0" max="52" min="51" style="0" width="12"/>
    <col collapsed="false" customWidth="true" hidden="false" outlineLevel="0" max="62" min="61" style="0" width="12"/>
    <col collapsed="false" customWidth="true" hidden="false" outlineLevel="0" max="69" min="68" style="0" width="12"/>
    <col collapsed="false" customWidth="true" hidden="false" outlineLevel="0" max="78" min="78" style="0" width="12"/>
    <col collapsed="false" customWidth="true" hidden="false" outlineLevel="0" max="85" min="85" style="0" width="12"/>
    <col collapsed="false" customWidth="true" hidden="false" outlineLevel="0" max="89" min="89" style="0" width="12.17"/>
    <col collapsed="false" customWidth="true" hidden="false" outlineLevel="0" max="90" min="90" style="0" width="13"/>
    <col collapsed="false" customWidth="true" hidden="false" outlineLevel="0" max="91" min="91" style="0" width="12.17"/>
    <col collapsed="false" customWidth="true" hidden="false" outlineLevel="0" max="92" min="92" style="0" width="13"/>
    <col collapsed="false" customWidth="true" hidden="false" outlineLevel="0" max="113" min="113" style="0" width="12.17"/>
    <col collapsed="false" customWidth="true" hidden="false" outlineLevel="0" max="159" min="159" style="0" width="12.5"/>
    <col collapsed="false" customWidth="true" hidden="false" outlineLevel="0" max="163" min="163" style="0" width="12.5"/>
    <col collapsed="false" customWidth="true" hidden="false" outlineLevel="0" max="164" min="164" style="0" width="12.17"/>
    <col collapsed="false" customWidth="true" hidden="false" outlineLevel="0" max="167" min="166" style="0" width="13"/>
  </cols>
  <sheetData>
    <row r="1" customFormat="false" ht="12.75" hidden="false" customHeight="false" outlineLevel="0" collapsed="false">
      <c r="A1" s="1" t="s">
        <v>0</v>
      </c>
      <c r="C1" s="2" t="s">
        <v>1</v>
      </c>
      <c r="AA1" s="0" t="s">
        <v>2</v>
      </c>
      <c r="AD1" s="0" t="s">
        <v>3</v>
      </c>
      <c r="AF1" s="0" t="s">
        <v>4</v>
      </c>
      <c r="AH1" s="0" t="s">
        <v>5</v>
      </c>
      <c r="AJ1" s="0" t="s">
        <v>6</v>
      </c>
      <c r="AM1" s="0" t="s">
        <v>7</v>
      </c>
      <c r="AT1" s="0" t="s">
        <v>8</v>
      </c>
      <c r="AV1" s="0" t="s">
        <v>3</v>
      </c>
      <c r="BC1" s="0" t="s">
        <v>9</v>
      </c>
      <c r="BJ1" s="0" t="s">
        <v>10</v>
      </c>
      <c r="BO1" s="0" t="s">
        <v>3</v>
      </c>
      <c r="CW1" s="1" t="s">
        <v>11</v>
      </c>
      <c r="CX1" s="3" t="s">
        <v>12</v>
      </c>
      <c r="DH1" s="1" t="s">
        <v>13</v>
      </c>
      <c r="DI1" s="0" t="s">
        <v>14</v>
      </c>
    </row>
    <row r="2" customFormat="false" ht="12.75" hidden="false" customHeight="false" outlineLevel="0" collapsed="false">
      <c r="A2" s="3" t="s">
        <v>15</v>
      </c>
      <c r="C2" s="1"/>
      <c r="AA2" s="0" t="s">
        <v>16</v>
      </c>
      <c r="AB2" s="0" t="s">
        <v>17</v>
      </c>
      <c r="AC2" s="0" t="s">
        <v>18</v>
      </c>
      <c r="AD2" s="0" t="s">
        <v>19</v>
      </c>
      <c r="AE2" s="0" t="s">
        <v>20</v>
      </c>
      <c r="AF2" s="0" t="s">
        <v>19</v>
      </c>
      <c r="AG2" s="0" t="s">
        <v>20</v>
      </c>
      <c r="AH2" s="0" t="s">
        <v>19</v>
      </c>
      <c r="AI2" s="0" t="s">
        <v>20</v>
      </c>
      <c r="AJ2" s="0" t="s">
        <v>21</v>
      </c>
      <c r="AK2" s="0" t="s">
        <v>22</v>
      </c>
      <c r="AL2" s="0" t="s">
        <v>23</v>
      </c>
      <c r="AM2" s="0" t="s">
        <v>21</v>
      </c>
      <c r="AN2" s="0" t="s">
        <v>24</v>
      </c>
      <c r="AO2" s="0" t="s">
        <v>25</v>
      </c>
      <c r="AP2" s="0" t="s">
        <v>26</v>
      </c>
      <c r="AQ2" s="0" t="s">
        <v>27</v>
      </c>
      <c r="AR2" s="0" t="s">
        <v>28</v>
      </c>
      <c r="AS2" s="0" t="s">
        <v>29</v>
      </c>
      <c r="AT2" s="0" t="s">
        <v>19</v>
      </c>
      <c r="AU2" s="0" t="s">
        <v>30</v>
      </c>
      <c r="AV2" s="0" t="s">
        <v>25</v>
      </c>
      <c r="AW2" s="0" t="s">
        <v>24</v>
      </c>
      <c r="AX2" s="0" t="s">
        <v>31</v>
      </c>
      <c r="AY2" s="0" t="s">
        <v>21</v>
      </c>
      <c r="AZ2" s="0" t="s">
        <v>32</v>
      </c>
      <c r="BC2" s="0" t="s">
        <v>33</v>
      </c>
      <c r="BD2" s="0" t="s">
        <v>34</v>
      </c>
      <c r="BE2" s="0" t="s">
        <v>35</v>
      </c>
      <c r="BF2" s="0" t="s">
        <v>18</v>
      </c>
      <c r="BG2" s="0" t="s">
        <v>36</v>
      </c>
      <c r="BH2" s="0" t="s">
        <v>37</v>
      </c>
      <c r="BI2" s="0" t="s">
        <v>19</v>
      </c>
      <c r="BJ2" s="0" t="s">
        <v>25</v>
      </c>
      <c r="BK2" s="0" t="s">
        <v>38</v>
      </c>
      <c r="BL2" s="0" t="s">
        <v>24</v>
      </c>
      <c r="BM2" s="0" t="s">
        <v>28</v>
      </c>
      <c r="BN2" s="0" t="s">
        <v>19</v>
      </c>
      <c r="BO2" s="0" t="s">
        <v>25</v>
      </c>
      <c r="BP2" s="0" t="s">
        <v>24</v>
      </c>
      <c r="BQ2" s="0" t="s">
        <v>31</v>
      </c>
      <c r="BR2" s="0" t="s">
        <v>21</v>
      </c>
      <c r="BS2" s="0" t="s">
        <v>32</v>
      </c>
      <c r="CW2" s="3" t="s">
        <v>39</v>
      </c>
      <c r="DA2" s="1" t="s">
        <v>40</v>
      </c>
      <c r="DB2" s="1" t="n">
        <f aca="false">DB54</f>
        <v>9.99999998363421E-005</v>
      </c>
      <c r="DC2" s="0" t="s">
        <v>41</v>
      </c>
    </row>
    <row r="3" customFormat="false" ht="12.75" hidden="false" customHeight="false" outlineLevel="0" collapsed="false">
      <c r="A3" s="1" t="s">
        <v>42</v>
      </c>
      <c r="B3" s="4" t="s">
        <v>43</v>
      </c>
      <c r="X3" s="0" t="s">
        <v>44</v>
      </c>
      <c r="Y3" s="0" t="s">
        <v>45</v>
      </c>
      <c r="AA3" s="0" t="n">
        <v>0</v>
      </c>
      <c r="AB3" s="0" t="n">
        <f aca="false">AC3/$X$16</f>
        <v>0</v>
      </c>
      <c r="AC3" s="0" t="n">
        <f aca="false">AA3*$X$15</f>
        <v>0</v>
      </c>
      <c r="AJ3" s="0" t="n">
        <f aca="false">$X$8+$X$9*AC3+$X$10*AC3^2+$X$11*AC3^3+$X$12*AC3^4+$X$13*AC3^5</f>
        <v>10</v>
      </c>
      <c r="AK3" s="0" t="n">
        <f aca="false">$X$17*AC3^2</f>
        <v>0</v>
      </c>
      <c r="AL3" s="0" t="n">
        <f aca="false">AY3/$AC$51</f>
        <v>0.000908144798430997</v>
      </c>
      <c r="AM3" s="0" t="n">
        <f aca="false">AZ3/AY3</f>
        <v>0</v>
      </c>
      <c r="AN3" s="0" t="n">
        <f aca="false">AX3/AW3</f>
        <v>0.562574617732002</v>
      </c>
      <c r="AO3" s="0" t="n">
        <f aca="false">AZ3/AV3</f>
        <v>0</v>
      </c>
      <c r="AP3" s="0" t="n">
        <f aca="false">AL3+$X$18</f>
        <v>0.00374261279461334</v>
      </c>
      <c r="AQ3" s="0" t="n">
        <f aca="false">AP3/$C$40</f>
        <v>0.225365823253108</v>
      </c>
      <c r="AR3" s="0" t="n">
        <f aca="false">AQ3*$C$39+$C$40*$AC$51</f>
        <v>3.09125851935632</v>
      </c>
      <c r="AS3" s="0" t="n">
        <f aca="false">AY3/$AC$51^3</f>
        <v>8.28128753060948E-008</v>
      </c>
      <c r="AU3" s="0" t="n">
        <f aca="false">(-$AV$32+SQRT($AV$32^2-4*AS3*$AV$33))/(2*AS3)*30/PI()</f>
        <v>1790.67720978309</v>
      </c>
      <c r="AV3" s="0" t="n">
        <f aca="false">AW3+$C$30</f>
        <v>2.49666402110292</v>
      </c>
      <c r="AW3" s="0" t="n">
        <f aca="false">AR3*AQ3</f>
        <v>0.69666402110292</v>
      </c>
      <c r="AX3" s="0" t="n">
        <f aca="false">AP3*$AC$51</f>
        <v>0.391925495359615</v>
      </c>
      <c r="AY3" s="0" t="n">
        <f aca="false">$AC$54*($AC$42+$AC$43*AB3+$AC$44*AB3^2+$AC$45*AB3^3)</f>
        <v>0.0951007009048868</v>
      </c>
      <c r="AZ3" s="0" t="n">
        <f aca="false">AJ3*AC3*1000</f>
        <v>0</v>
      </c>
      <c r="BC3" s="0" t="n">
        <v>0</v>
      </c>
      <c r="BD3" s="0" t="n">
        <f aca="false">BC3*$AU$28</f>
        <v>0</v>
      </c>
      <c r="BE3" s="0" t="n">
        <f aca="false">BD3*PI()/30</f>
        <v>0</v>
      </c>
      <c r="BF3" s="0" t="n">
        <f aca="false">$C$22*BD3/$C$20</f>
        <v>0</v>
      </c>
      <c r="BG3" s="0" t="n">
        <f aca="false">$X$17*BF3^2</f>
        <v>0</v>
      </c>
      <c r="BH3" s="0" t="n">
        <v>0</v>
      </c>
      <c r="BJ3" s="0" t="n">
        <f aca="false">BO3/$C$15</f>
        <v>0.3</v>
      </c>
      <c r="BK3" s="0" t="n">
        <f aca="false">BP3/$C$15</f>
        <v>0</v>
      </c>
      <c r="BL3" s="0" t="n">
        <f aca="false">BH3/$C$40</f>
        <v>0</v>
      </c>
      <c r="BM3" s="0" t="n">
        <f aca="false">BL3*$C$39+$C$40*BE3</f>
        <v>0</v>
      </c>
      <c r="BO3" s="0" t="n">
        <f aca="false">BP3+$C$30</f>
        <v>1.8</v>
      </c>
      <c r="BP3" s="0" t="n">
        <f aca="false">BL3*BM3</f>
        <v>0</v>
      </c>
      <c r="BQ3" s="0" t="n">
        <f aca="false">BR3+$AC$77*BE3^2</f>
        <v>0</v>
      </c>
      <c r="BR3" s="0" t="n">
        <f aca="false">$AC$54*$AC$56*(BD3/$C$20)^3</f>
        <v>0</v>
      </c>
      <c r="BS3" s="0" t="n">
        <f aca="false">BF3*BG3*1000</f>
        <v>0</v>
      </c>
      <c r="CW3" s="3" t="s">
        <v>46</v>
      </c>
      <c r="CX3" s="3" t="s">
        <v>47</v>
      </c>
      <c r="CY3" s="3" t="s">
        <v>48</v>
      </c>
      <c r="CZ3" s="3" t="s">
        <v>49</v>
      </c>
      <c r="DA3" s="3" t="s">
        <v>50</v>
      </c>
      <c r="DB3" s="3" t="s">
        <v>51</v>
      </c>
      <c r="DC3" s="3" t="s">
        <v>52</v>
      </c>
    </row>
    <row r="4" customFormat="false" ht="12.75" hidden="false" customHeight="false" outlineLevel="0" collapsed="false">
      <c r="B4" s="0" t="s">
        <v>53</v>
      </c>
      <c r="C4" s="5" t="n">
        <v>1000</v>
      </c>
      <c r="D4" s="0" t="s">
        <v>54</v>
      </c>
      <c r="V4" s="0" t="s">
        <v>55</v>
      </c>
      <c r="X4" s="0" t="n">
        <f aca="false">C17/C4</f>
        <v>1</v>
      </c>
      <c r="Y4" s="0" t="n">
        <f aca="false">X4</f>
        <v>1</v>
      </c>
      <c r="AA4" s="0" t="n">
        <f aca="false">AA3+0.05</f>
        <v>0.05</v>
      </c>
      <c r="AB4" s="0" t="n">
        <f aca="false">AC4/$X$16</f>
        <v>0.144310331073303</v>
      </c>
      <c r="AC4" s="0" t="n">
        <f aca="false">AA4*$X$15</f>
        <v>4.99999999181711E-006</v>
      </c>
      <c r="AJ4" s="0" t="n">
        <f aca="false">$X$8+$X$9*AC4+$X$10*AC4^2+$X$11*AC4^3+$X$12*AC4^4+$X$13*AC4^5</f>
        <v>9.50000000081829</v>
      </c>
      <c r="AK4" s="0" t="n">
        <f aca="false">$X$17*AC4^2</f>
        <v>0.0499999998363421</v>
      </c>
      <c r="AL4" s="0" t="n">
        <f aca="false">AY4/$AC$51</f>
        <v>0.00111849562459348</v>
      </c>
      <c r="AM4" s="0" t="n">
        <f aca="false">AZ4/AY4</f>
        <v>0.405537202949267</v>
      </c>
      <c r="AN4" s="0" t="n">
        <f aca="false">AX4/AW4</f>
        <v>0.549075500460321</v>
      </c>
      <c r="AO4" s="0" t="n">
        <f aca="false">AZ4/AV4</f>
        <v>0.0185989342883937</v>
      </c>
      <c r="AP4" s="0" t="n">
        <f aca="false">AL4+$X$18</f>
        <v>0.00395296362077582</v>
      </c>
      <c r="AQ4" s="0" t="n">
        <f aca="false">AP4/$C$40</f>
        <v>0.238032345202241</v>
      </c>
      <c r="AR4" s="0" t="n">
        <f aca="false">AQ4*$C$39+$C$40*$AC$51</f>
        <v>3.16725765105113</v>
      </c>
      <c r="AS4" s="0" t="n">
        <f aca="false">AY4/$AC$51^3</f>
        <v>1.01994570524329E-007</v>
      </c>
      <c r="AU4" s="0" t="n">
        <f aca="false">(-$AV$32+SQRT($AV$32^2-4*AS4*$AV$33))/(2*AS4)*30/PI()</f>
        <v>1732.47330548717</v>
      </c>
      <c r="AV4" s="0" t="n">
        <f aca="false">AW4+$C$30</f>
        <v>2.55390976653944</v>
      </c>
      <c r="AW4" s="0" t="n">
        <f aca="false">AR4*AQ4</f>
        <v>0.753909766539442</v>
      </c>
      <c r="AX4" s="0" t="n">
        <f aca="false">AP4*$AC$51</f>
        <v>0.413953382364568</v>
      </c>
      <c r="AY4" s="0" t="n">
        <f aca="false">$AC$54*($AC$42+$AC$43*AB4+$AC$44*AB4^2+$AC$45*AB4^3)</f>
        <v>0.11712858790984</v>
      </c>
      <c r="AZ4" s="0" t="n">
        <f aca="false">AJ4*AC4*1000</f>
        <v>0.047499999926354</v>
      </c>
      <c r="BC4" s="0" t="n">
        <f aca="false">BC3+0.05</f>
        <v>0.05</v>
      </c>
      <c r="BD4" s="0" t="n">
        <f aca="false">BC4*$AU$28</f>
        <v>72.90611253072</v>
      </c>
      <c r="BE4" s="0" t="n">
        <f aca="false">BD4*PI()/30</f>
        <v>7.63471025094335</v>
      </c>
      <c r="BF4" s="0" t="n">
        <f aca="false">$C$22*BD4/$C$20</f>
        <v>3.645305626536E-006</v>
      </c>
      <c r="BG4" s="0" t="n">
        <f aca="false">$X$17*BF4^2</f>
        <v>0.02657650622171</v>
      </c>
      <c r="BH4" s="0" t="n">
        <f aca="false">BQ4/BE4</f>
        <v>0.000220288347659854</v>
      </c>
      <c r="BJ4" s="0" t="n">
        <f aca="false">BO4/$C$15</f>
        <v>0.300456264426018</v>
      </c>
      <c r="BK4" s="0" t="n">
        <f aca="false">BP4/$C$15</f>
        <v>0.000456264426018386</v>
      </c>
      <c r="BL4" s="0" t="n">
        <f aca="false">BH4/$C$40</f>
        <v>0.0132649214727432</v>
      </c>
      <c r="BM4" s="0" t="n">
        <f aca="false">BL4*$C$39+$C$40*BE4</f>
        <v>0.206377893886181</v>
      </c>
      <c r="BO4" s="0" t="n">
        <f aca="false">BP4+$C$30</f>
        <v>1.80273758655611</v>
      </c>
      <c r="BP4" s="0" t="n">
        <f aca="false">BL4*BM4</f>
        <v>0.00273758655611031</v>
      </c>
      <c r="BQ4" s="0" t="n">
        <f aca="false">BR4+$AC$77*BE4^2</f>
        <v>0.00168183770604206</v>
      </c>
      <c r="BR4" s="0" t="n">
        <f aca="false">$AC$54*$AC$56*(BD4/$C$20)^3</f>
        <v>0.000104124506725287</v>
      </c>
      <c r="BS4" s="0" t="n">
        <f aca="false">BF4*BG4*1000</f>
        <v>9.68794876636684E-005</v>
      </c>
      <c r="CW4" s="0" t="n">
        <v>0</v>
      </c>
      <c r="CX4" s="0" t="n">
        <v>0</v>
      </c>
      <c r="CY4" s="0" t="n">
        <v>1000</v>
      </c>
      <c r="CZ4" s="0" t="n">
        <f aca="false">$C$6+$C$7*CX4+$C$8*CX4^2+$C$9*CX4^3+$C$10*CX4^4+$C$11*CX4^5</f>
        <v>10</v>
      </c>
      <c r="DA4" s="0" t="n">
        <f aca="false">$C$6+$C$7*CY4+$C$8*CY4^2+$C$9*CY4^3+$C$10*CY4^4+$C$11*CY4^5</f>
        <v>-99999990</v>
      </c>
      <c r="DB4" s="0" t="n">
        <f aca="false">(CX4+CY4)/2</f>
        <v>500</v>
      </c>
      <c r="DC4" s="0" t="n">
        <f aca="false">$C$6+$C$7*DB4+$C$8*DB4^2+$C$9*DB4^3+$C$10*DB4^4+$C$11*DB4^5</f>
        <v>-49999990</v>
      </c>
      <c r="FA4" s="3"/>
      <c r="FI4" s="3"/>
      <c r="FJ4" s="3"/>
      <c r="FK4" s="3"/>
      <c r="FL4" s="3"/>
      <c r="FM4" s="3"/>
      <c r="FN4" s="3"/>
      <c r="FO4" s="3"/>
      <c r="FP4" s="3"/>
      <c r="FQ4" s="3"/>
    </row>
    <row r="5" customFormat="false" ht="12.75" hidden="false" customHeight="false" outlineLevel="0" collapsed="false">
      <c r="B5" s="0" t="s">
        <v>56</v>
      </c>
      <c r="C5" s="5" t="n">
        <v>1000</v>
      </c>
      <c r="D5" s="0" t="s">
        <v>57</v>
      </c>
      <c r="E5" s="0" t="n">
        <f aca="false">C5*PI()/30</f>
        <v>104.71975511966</v>
      </c>
      <c r="F5" s="0" t="s">
        <v>58</v>
      </c>
      <c r="V5" s="0" t="s">
        <v>59</v>
      </c>
      <c r="X5" s="0" t="n">
        <f aca="false">AC52</f>
        <v>1</v>
      </c>
      <c r="Y5" s="0" t="n">
        <f aca="false">AD52</f>
        <v>0.5</v>
      </c>
      <c r="AA5" s="0" t="n">
        <f aca="false">AA4+0.05</f>
        <v>0.1</v>
      </c>
      <c r="AB5" s="0" t="n">
        <f aca="false">AC5/$X$16</f>
        <v>0.288620662146605</v>
      </c>
      <c r="AC5" s="0" t="n">
        <f aca="false">AA5*$X$15</f>
        <v>9.99999998363421E-006</v>
      </c>
      <c r="AJ5" s="0" t="n">
        <f aca="false">$X$8+$X$9*AC5+$X$10*AC5^2+$X$11*AC5^3+$X$12*AC5^4+$X$13*AC5^5</f>
        <v>9.00000000163658</v>
      </c>
      <c r="AK5" s="0" t="n">
        <f aca="false">$X$17*AC5^2</f>
        <v>0.199999999345368</v>
      </c>
      <c r="AL5" s="0" t="n">
        <f aca="false">AY5/$AC$51</f>
        <v>0.00131893988021612</v>
      </c>
      <c r="AM5" s="0" t="n">
        <f aca="false">AZ5/AY5</f>
        <v>0.651611725702886</v>
      </c>
      <c r="AN5" s="0" t="n">
        <f aca="false">AX5/AW5</f>
        <v>0.536801438811382</v>
      </c>
      <c r="AO5" s="0" t="n">
        <f aca="false">AZ5/AV5</f>
        <v>0.0344794438847391</v>
      </c>
      <c r="AP5" s="0" t="n">
        <f aca="false">AL5+$X$18</f>
        <v>0.00415340787639846</v>
      </c>
      <c r="AQ5" s="0" t="n">
        <f aca="false">AP5/$C$40</f>
        <v>0.25010233137601</v>
      </c>
      <c r="AR5" s="0" t="n">
        <f aca="false">AQ5*$C$39+$C$40*$AC$51</f>
        <v>3.23967756809374</v>
      </c>
      <c r="AS5" s="0" t="n">
        <f aca="false">AY5/$AC$51^3</f>
        <v>1.20272894834922E-007</v>
      </c>
      <c r="AU5" s="0" t="n">
        <f aca="false">(-$AV$32+SQRT($AV$32^2-4*AS5*$AV$33))/(2*AS5)*30/PI()</f>
        <v>1682.96741963982</v>
      </c>
      <c r="AV5" s="0" t="n">
        <f aca="false">AW5+$C$30</f>
        <v>2.61025091268681</v>
      </c>
      <c r="AW5" s="0" t="n">
        <f aca="false">AR5*AQ5</f>
        <v>0.810250912686806</v>
      </c>
      <c r="AX5" s="0" t="n">
        <f aca="false">AP5*$AC$51</f>
        <v>0.434943855728513</v>
      </c>
      <c r="AY5" s="0" t="n">
        <f aca="false">$AC$54*($AC$42+$AC$43*AB5+$AC$44*AB5^2+$AC$45*AB5^3)</f>
        <v>0.138119061273785</v>
      </c>
      <c r="AZ5" s="0" t="n">
        <f aca="false">AJ5*AC5*1000</f>
        <v>0.0899999998690737</v>
      </c>
      <c r="BC5" s="0" t="n">
        <f aca="false">BC4+0.05</f>
        <v>0.1</v>
      </c>
      <c r="BD5" s="0" t="n">
        <f aca="false">BC5*$AU$28</f>
        <v>145.81222506144</v>
      </c>
      <c r="BE5" s="0" t="n">
        <f aca="false">BD5*PI()/30</f>
        <v>15.2694205018867</v>
      </c>
      <c r="BF5" s="0" t="n">
        <f aca="false">$C$22*BD5/$C$20</f>
        <v>7.290611253072E-006</v>
      </c>
      <c r="BG5" s="0" t="n">
        <f aca="false">$X$17*BF5^2</f>
        <v>0.10630602488684</v>
      </c>
      <c r="BH5" s="0" t="n">
        <f aca="false">BQ5/BE5</f>
        <v>0.000467853305250627</v>
      </c>
      <c r="BJ5" s="0" t="n">
        <f aca="false">BO5/$C$15</f>
        <v>0.301984321992859</v>
      </c>
      <c r="BK5" s="0" t="n">
        <f aca="false">BP5/$C$15</f>
        <v>0.0019843219928586</v>
      </c>
      <c r="BL5" s="0" t="n">
        <f aca="false">BH5/$C$40</f>
        <v>0.0281723360352024</v>
      </c>
      <c r="BM5" s="0" t="n">
        <f aca="false">BL5*$C$39+$C$40*BE5</f>
        <v>0.422610746310659</v>
      </c>
      <c r="BO5" s="0" t="n">
        <f aca="false">BP5+$C$30</f>
        <v>1.81190593195715</v>
      </c>
      <c r="BP5" s="0" t="n">
        <f aca="false">BL5*BM5</f>
        <v>0.0119059319571516</v>
      </c>
      <c r="BQ5" s="0" t="n">
        <f aca="false">BR5+$AC$77*BE5^2</f>
        <v>0.00714384885106939</v>
      </c>
      <c r="BR5" s="0" t="n">
        <f aca="false">$AC$54*$AC$56*(BD5/$C$20)^3</f>
        <v>0.000832996053802292</v>
      </c>
      <c r="BS5" s="0" t="n">
        <f aca="false">BF5*BG5*1000</f>
        <v>0.000775035901309347</v>
      </c>
      <c r="CW5" s="0" t="n">
        <f aca="false">CW4+1</f>
        <v>1</v>
      </c>
      <c r="CX5" s="0" t="n">
        <f aca="false">IF(DC4&gt;0,DB4,CX4)</f>
        <v>0</v>
      </c>
      <c r="CY5" s="0" t="n">
        <f aca="false">IF(DC4&lt;0,DB4,CY4)</f>
        <v>500</v>
      </c>
      <c r="CZ5" s="0" t="n">
        <f aca="false">$C$6+$C$7*CX5+$C$8*CX5^2+$C$9*CX5^3+$C$10*CX5^4+$C$11*CX5^5</f>
        <v>10</v>
      </c>
      <c r="DA5" s="0" t="n">
        <f aca="false">$C$6+$C$7*CY5+$C$8*CY5^2+$C$9*CY5^3+$C$10*CY5^4+$C$11*CY5^5</f>
        <v>-49999990</v>
      </c>
      <c r="DB5" s="0" t="n">
        <f aca="false">(CX5+CY5)/2</f>
        <v>250</v>
      </c>
      <c r="DC5" s="0" t="n">
        <f aca="false">$C$6+$C$7*DB5+$C$8*DB5^2+$C$9*DB5^3+$C$10*DB5^4+$C$11*DB5^5</f>
        <v>-24999990</v>
      </c>
    </row>
    <row r="6" customFormat="false" ht="12.75" hidden="false" customHeight="false" outlineLevel="0" collapsed="false">
      <c r="B6" s="0" t="s">
        <v>60</v>
      </c>
      <c r="C6" s="5" t="n">
        <v>10</v>
      </c>
      <c r="D6" s="3" t="s">
        <v>61</v>
      </c>
      <c r="V6" s="0" t="s">
        <v>62</v>
      </c>
      <c r="X6" s="0" t="n">
        <f aca="false">X5^3</f>
        <v>1</v>
      </c>
      <c r="Y6" s="0" t="n">
        <f aca="false">Y5^3</f>
        <v>0.125</v>
      </c>
      <c r="AA6" s="0" t="n">
        <f aca="false">AA5+0.05</f>
        <v>0.15</v>
      </c>
      <c r="AB6" s="0" t="n">
        <f aca="false">AC6/$X$16</f>
        <v>0.432930993219908</v>
      </c>
      <c r="AC6" s="0" t="n">
        <f aca="false">AA6*$X$15</f>
        <v>1.49999999754513E-005</v>
      </c>
      <c r="AJ6" s="0" t="n">
        <f aca="false">$X$8+$X$9*AC6+$X$10*AC6^2+$X$11*AC6^3+$X$12*AC6^4+$X$13*AC6^5</f>
        <v>8.50000000245487</v>
      </c>
      <c r="AK6" s="0" t="n">
        <f aca="false">$X$17*AC6^2</f>
        <v>0.449999998527079</v>
      </c>
      <c r="AL6" s="0" t="n">
        <f aca="false">AY6/$AC$51</f>
        <v>0.0015094775652989</v>
      </c>
      <c r="AM6" s="0" t="n">
        <f aca="false">AZ6/AY6</f>
        <v>0.806593844785595</v>
      </c>
      <c r="AN6" s="0" t="n">
        <f aca="false">AX6/AW6</f>
        <v>0.525632152420664</v>
      </c>
      <c r="AO6" s="0" t="n">
        <f aca="false">AZ6/AV6</f>
        <v>0.0478347146200867</v>
      </c>
      <c r="AP6" s="0" t="n">
        <f aca="false">AL6+$X$18</f>
        <v>0.00434394556148125</v>
      </c>
      <c r="AQ6" s="0" t="n">
        <f aca="false">AP6/$C$40</f>
        <v>0.261575781774413</v>
      </c>
      <c r="AR6" s="0" t="n">
        <f aca="false">AQ6*$C$39+$C$40*$AC$51</f>
        <v>3.30851827048415</v>
      </c>
      <c r="AS6" s="0" t="n">
        <f aca="false">AY6/$AC$51^3</f>
        <v>1.37647848237875E-007</v>
      </c>
      <c r="AU6" s="0" t="n">
        <f aca="false">(-$AV$32+SQRT($AV$32^2-4*AS6*$AV$33))/(2*AS6)*30/PI()</f>
        <v>1640.3536595626</v>
      </c>
      <c r="AV6" s="0" t="n">
        <f aca="false">AW6+$C$30</f>
        <v>2.66542825311682</v>
      </c>
      <c r="AW6" s="0" t="n">
        <f aca="false">AR6*AQ6</f>
        <v>0.865428253116819</v>
      </c>
      <c r="AX6" s="0" t="n">
        <f aca="false">AP6*$AC$51</f>
        <v>0.454896915451449</v>
      </c>
      <c r="AY6" s="0" t="n">
        <f aca="false">$AC$54*($AC$42+$AC$43*AB6+$AC$44*AB6^2+$AC$45*AB6^3)</f>
        <v>0.158072120996721</v>
      </c>
      <c r="AZ6" s="0" t="n">
        <f aca="false">AJ6*AC6*1000</f>
        <v>0.127499999828159</v>
      </c>
      <c r="BC6" s="0" t="n">
        <f aca="false">BC5+0.05</f>
        <v>0.15</v>
      </c>
      <c r="BD6" s="0" t="n">
        <f aca="false">BC6*$AU$28</f>
        <v>218.71833759216</v>
      </c>
      <c r="BE6" s="0" t="n">
        <f aca="false">BD6*PI()/30</f>
        <v>22.9041307528301</v>
      </c>
      <c r="BF6" s="0" t="n">
        <f aca="false">$C$22*BD6/$C$20</f>
        <v>1.0935916879608E-005</v>
      </c>
      <c r="BG6" s="0" t="n">
        <f aca="false">$X$17*BF6^2</f>
        <v>0.23918855599539</v>
      </c>
      <c r="BH6" s="0" t="n">
        <f aca="false">BQ6/BE6</f>
        <v>0.00074269487277232</v>
      </c>
      <c r="BJ6" s="0" t="n">
        <f aca="false">BO6/$C$15</f>
        <v>0.304835209159672</v>
      </c>
      <c r="BK6" s="0" t="n">
        <f aca="false">BP6/$C$15</f>
        <v>0.00483520915967215</v>
      </c>
      <c r="BL6" s="0" t="n">
        <f aca="false">BH6/$C$40</f>
        <v>0.0447222436873778</v>
      </c>
      <c r="BM6" s="0" t="n">
        <f aca="false">BL6*$C$39+$C$40*BE6</f>
        <v>0.648698557273434</v>
      </c>
      <c r="BO6" s="0" t="n">
        <f aca="false">BP6+$C$30</f>
        <v>1.82901125495803</v>
      </c>
      <c r="BP6" s="0" t="n">
        <f aca="false">BL6*BM6</f>
        <v>0.0290112549580329</v>
      </c>
      <c r="BQ6" s="0" t="n">
        <f aca="false">BR6+$AC$77*BE6^2</f>
        <v>0.0170107804754337</v>
      </c>
      <c r="BR6" s="0" t="n">
        <f aca="false">$AC$54*$AC$56*(BD6/$C$20)^3</f>
        <v>0.00281136168158274</v>
      </c>
      <c r="BS6" s="0" t="n">
        <f aca="false">BF6*BG6*1000</f>
        <v>0.00261574616691905</v>
      </c>
      <c r="CW6" s="0" t="n">
        <f aca="false">CW5+1</f>
        <v>2</v>
      </c>
      <c r="CX6" s="0" t="n">
        <f aca="false">IF(DC5&gt;0,DB5,CX5)</f>
        <v>0</v>
      </c>
      <c r="CY6" s="0" t="n">
        <f aca="false">IF(DC5&lt;0,DB5,CY5)</f>
        <v>250</v>
      </c>
      <c r="CZ6" s="0" t="n">
        <f aca="false">$C$6+$C$7*CX6+$C$8*CX6^2+$C$9*CX6^3+$C$10*CX6^4+$C$11*CX6^5</f>
        <v>10</v>
      </c>
      <c r="DA6" s="0" t="n">
        <f aca="false">$C$6+$C$7*CY6+$C$8*CY6^2+$C$9*CY6^3+$C$10*CY6^4+$C$11*CY6^5</f>
        <v>-24999990</v>
      </c>
      <c r="DB6" s="0" t="n">
        <f aca="false">(CX6+CY6)/2</f>
        <v>125</v>
      </c>
      <c r="DC6" s="0" t="n">
        <f aca="false">$C$6+$C$7*DB6+$C$8*DB6^2+$C$9*DB6^3+$C$10*DB6^4+$C$11*DB6^5</f>
        <v>-12499990</v>
      </c>
      <c r="DH6" s="0" t="s">
        <v>63</v>
      </c>
      <c r="DI6" s="0" t="n">
        <f aca="false">DB2/100</f>
        <v>9.99999998363421E-007</v>
      </c>
      <c r="DJ6" s="0" t="s">
        <v>41</v>
      </c>
      <c r="FA6" s="3"/>
      <c r="FI6" s="3"/>
      <c r="FJ6" s="3"/>
      <c r="FK6" s="3"/>
      <c r="FL6" s="3"/>
      <c r="FM6" s="3"/>
      <c r="FN6" s="3"/>
      <c r="FO6" s="3"/>
      <c r="FP6" s="3"/>
    </row>
    <row r="7" customFormat="false" ht="12.75" hidden="false" customHeight="false" outlineLevel="0" collapsed="false">
      <c r="B7" s="0" t="s">
        <v>64</v>
      </c>
      <c r="C7" s="5" t="n">
        <v>-100000</v>
      </c>
      <c r="V7" s="0" t="s">
        <v>65</v>
      </c>
      <c r="W7" s="0" t="s">
        <v>66</v>
      </c>
      <c r="AA7" s="0" t="n">
        <f aca="false">AA6+0.05</f>
        <v>0.2</v>
      </c>
      <c r="AB7" s="0" t="n">
        <f aca="false">AC7/$X$16</f>
        <v>0.57724132429321</v>
      </c>
      <c r="AC7" s="0" t="n">
        <f aca="false">AA7*$X$15</f>
        <v>1.99999999672684E-005</v>
      </c>
      <c r="AJ7" s="0" t="n">
        <f aca="false">$X$8+$X$9*AC7+$X$10*AC7^2+$X$11*AC7^3+$X$12*AC7^4+$X$13*AC7^5</f>
        <v>8.00000000327316</v>
      </c>
      <c r="AK7" s="0" t="n">
        <f aca="false">$X$17*AC7^2</f>
        <v>0.799999997381474</v>
      </c>
      <c r="AL7" s="0" t="n">
        <f aca="false">AY7/$AC$51</f>
        <v>0.00169010867984184</v>
      </c>
      <c r="AM7" s="0" t="n">
        <f aca="false">AZ7/AY7</f>
        <v>0.90401728008982</v>
      </c>
      <c r="AN7" s="0" t="n">
        <f aca="false">AX7/AW7</f>
        <v>0.515464465515076</v>
      </c>
      <c r="AO7" s="0" t="n">
        <f aca="false">AZ7/AV7</f>
        <v>0.0588409351765658</v>
      </c>
      <c r="AP7" s="0" t="n">
        <f aca="false">AL7+$X$18</f>
        <v>0.00452457667602418</v>
      </c>
      <c r="AQ7" s="0" t="n">
        <f aca="false">AP7/$C$40</f>
        <v>0.272452696397449</v>
      </c>
      <c r="AR7" s="0" t="n">
        <f aca="false">AQ7*$C$39+$C$40*$AC$51</f>
        <v>3.37377975822237</v>
      </c>
      <c r="AS7" s="0" t="n">
        <f aca="false">AY7/$AC$51^3</f>
        <v>1.54119430733188E-007</v>
      </c>
      <c r="AU7" s="0" t="n">
        <f aca="false">(-$AV$32+SQRT($AV$32^2-4*AS7*$AV$33))/(2*AS7)*30/PI()</f>
        <v>1603.33665610766</v>
      </c>
      <c r="AV7" s="0" t="n">
        <f aca="false">AW7+$C$30</f>
        <v>2.71919539217882</v>
      </c>
      <c r="AW7" s="0" t="n">
        <f aca="false">AR7*AQ7</f>
        <v>0.919195392178821</v>
      </c>
      <c r="AX7" s="0" t="n">
        <f aca="false">AP7*$AC$51</f>
        <v>0.473812561533376</v>
      </c>
      <c r="AY7" s="0" t="n">
        <f aca="false">$AC$54*($AC$42+$AC$43*AB7+$AC$44*AB7^2+$AC$45*AB7^3)</f>
        <v>0.176987767078649</v>
      </c>
      <c r="AZ7" s="0" t="n">
        <f aca="false">AJ7*AC7*1000</f>
        <v>0.159999999803611</v>
      </c>
      <c r="BC7" s="0" t="n">
        <f aca="false">BC6+0.05</f>
        <v>0.2</v>
      </c>
      <c r="BD7" s="0" t="n">
        <f aca="false">BC7*$AU$28</f>
        <v>291.62445012288</v>
      </c>
      <c r="BE7" s="0" t="n">
        <f aca="false">BD7*PI()/30</f>
        <v>30.5388410037734</v>
      </c>
      <c r="BF7" s="0" t="n">
        <f aca="false">$C$22*BD7/$C$20</f>
        <v>1.4581222506144E-005</v>
      </c>
      <c r="BG7" s="0" t="n">
        <f aca="false">$X$17*BF7^2</f>
        <v>0.42522409954736</v>
      </c>
      <c r="BH7" s="0" t="n">
        <f aca="false">BQ7/BE7</f>
        <v>0.00104481305022493</v>
      </c>
      <c r="BJ7" s="0" t="n">
        <f aca="false">BO7/$C$15</f>
        <v>0.309276149086909</v>
      </c>
      <c r="BK7" s="0" t="n">
        <f aca="false">BP7/$C$15</f>
        <v>0.00927614908690917</v>
      </c>
      <c r="BL7" s="0" t="n">
        <f aca="false">BH7/$C$40</f>
        <v>0.0629146444292693</v>
      </c>
      <c r="BM7" s="0" t="n">
        <f aca="false">BL7*$C$39+$C$40*BE7</f>
        <v>0.884641326774505</v>
      </c>
      <c r="BO7" s="0" t="n">
        <f aca="false">BP7+$C$30</f>
        <v>1.85565689452146</v>
      </c>
      <c r="BP7" s="0" t="n">
        <f aca="false">BL7*BM7</f>
        <v>0.055656894521455</v>
      </c>
      <c r="BQ7" s="0" t="n">
        <f aca="false">BR7+$AC$77*BE7^2</f>
        <v>0.0319073796194867</v>
      </c>
      <c r="BR7" s="0" t="n">
        <f aca="false">$AC$54*$AC$56*(BD7/$C$20)^3</f>
        <v>0.00666396843041834</v>
      </c>
      <c r="BS7" s="0" t="n">
        <f aca="false">BF7*BG7*1000</f>
        <v>0.00620028721047478</v>
      </c>
      <c r="CW7" s="0" t="n">
        <f aca="false">CW6+1</f>
        <v>3</v>
      </c>
      <c r="CX7" s="0" t="n">
        <f aca="false">IF(DC6&gt;0,DB6,CX6)</f>
        <v>0</v>
      </c>
      <c r="CY7" s="0" t="n">
        <f aca="false">IF(DC6&lt;0,DB6,CY6)</f>
        <v>125</v>
      </c>
      <c r="CZ7" s="0" t="n">
        <f aca="false">$C$6+$C$7*CX7+$C$8*CX7^2+$C$9*CX7^3+$C$10*CX7^4+$C$11*CX7^5</f>
        <v>10</v>
      </c>
      <c r="DA7" s="0" t="n">
        <f aca="false">$C$6+$C$7*CY7+$C$8*CY7^2+$C$9*CY7^3+$C$10*CY7^4+$C$11*CY7^5</f>
        <v>-12499990</v>
      </c>
      <c r="DB7" s="0" t="n">
        <f aca="false">(CX7+CY7)/2</f>
        <v>62.5</v>
      </c>
      <c r="DC7" s="0" t="n">
        <f aca="false">$C$6+$C$7*DB7+$C$8*DB7^2+$C$9*DB7^3+$C$10*DB7^4+$C$11*DB7^5</f>
        <v>-6249990</v>
      </c>
      <c r="DH7" s="0" t="s">
        <v>67</v>
      </c>
      <c r="DI7" s="0" t="n">
        <f aca="false">MATCH(0,DV12:DV110,-1)</f>
        <v>65</v>
      </c>
      <c r="DJ7" s="0" t="n">
        <f aca="false">MATCH(1,DW12:DW110,1)</f>
        <v>65</v>
      </c>
      <c r="FI7" s="3"/>
      <c r="FJ7" s="3"/>
      <c r="FK7" s="3"/>
    </row>
    <row r="8" customFormat="false" ht="12.75" hidden="false" customHeight="false" outlineLevel="0" collapsed="false">
      <c r="B8" s="0" t="s">
        <v>68</v>
      </c>
      <c r="C8" s="5" t="n">
        <v>0</v>
      </c>
      <c r="W8" s="0" t="n">
        <v>0</v>
      </c>
      <c r="X8" s="0" t="n">
        <f aca="false">$C6*X$4*X$5^(2-$W8)</f>
        <v>10</v>
      </c>
      <c r="Y8" s="0" t="n">
        <f aca="false">$C6*Y$4*Y$5^(2-$W8)</f>
        <v>2.5</v>
      </c>
      <c r="AA8" s="0" t="n">
        <f aca="false">AA7+0.05</f>
        <v>0.25</v>
      </c>
      <c r="AB8" s="0" t="n">
        <f aca="false">AC8/$X$16</f>
        <v>0.721551655366513</v>
      </c>
      <c r="AC8" s="0" t="n">
        <f aca="false">AA8*$X$15</f>
        <v>2.49999999590855E-005</v>
      </c>
      <c r="AJ8" s="0" t="n">
        <f aca="false">$X$8+$X$9*AC8+$X$10*AC8^2+$X$11*AC8^3+$X$12*AC8^4+$X$13*AC8^5</f>
        <v>7.50000000409145</v>
      </c>
      <c r="AK8" s="0" t="n">
        <f aca="false">$X$17*AC8^2</f>
        <v>1.24999999590855</v>
      </c>
      <c r="AL8" s="0" t="n">
        <f aca="false">AY8/$AC$51</f>
        <v>0.00186083322384493</v>
      </c>
      <c r="AM8" s="0" t="n">
        <f aca="false">AZ8/AY8</f>
        <v>0.962199666733548</v>
      </c>
      <c r="AN8" s="0" t="n">
        <f aca="false">AX8/AW8</f>
        <v>0.50620951825084</v>
      </c>
      <c r="AO8" s="0" t="n">
        <f aca="false">AZ8/AV8</f>
        <v>0.0676573202320146</v>
      </c>
      <c r="AP8" s="0" t="n">
        <f aca="false">AL8+$X$18</f>
        <v>0.00469530122002727</v>
      </c>
      <c r="AQ8" s="0" t="n">
        <f aca="false">AP8/$C$40</f>
        <v>0.282733075245121</v>
      </c>
      <c r="AR8" s="0" t="n">
        <f aca="false">AQ8*$C$39+$C$40*$AC$51</f>
        <v>3.4354620313084</v>
      </c>
      <c r="AS8" s="0" t="n">
        <f aca="false">AY8/$AC$51^3</f>
        <v>1.6968764232086E-007</v>
      </c>
      <c r="AU8" s="0" t="n">
        <f aca="false">(-$AV$32+SQRT($AV$32^2-4*AS8*$AV$33))/(2*AS8)*30/PI()</f>
        <v>1570.95822725702</v>
      </c>
      <c r="AV8" s="0" t="n">
        <f aca="false">AW8+$C$30</f>
        <v>2.77131874499967</v>
      </c>
      <c r="AW8" s="0" t="n">
        <f aca="false">AR8*AQ8</f>
        <v>0.971318744999674</v>
      </c>
      <c r="AX8" s="0" t="n">
        <f aca="false">AP8*$AC$51</f>
        <v>0.491690793974295</v>
      </c>
      <c r="AY8" s="0" t="n">
        <f aca="false">$AC$54*($AC$42+$AC$43*AB8+$AC$44*AB8^2+$AC$45*AB8^3)</f>
        <v>0.194865999519568</v>
      </c>
      <c r="AZ8" s="0" t="n">
        <f aca="false">AJ8*AC8*1000</f>
        <v>0.187499999795428</v>
      </c>
      <c r="BC8" s="0" t="n">
        <f aca="false">BC7+0.05</f>
        <v>0.25</v>
      </c>
      <c r="BD8" s="0" t="n">
        <f aca="false">BC8*$AU$28</f>
        <v>364.5305626536</v>
      </c>
      <c r="BE8" s="0" t="n">
        <f aca="false">BD8*PI()/30</f>
        <v>38.1735512547168</v>
      </c>
      <c r="BF8" s="0" t="n">
        <f aca="false">$C$22*BD8/$C$20</f>
        <v>1.822652813268E-005</v>
      </c>
      <c r="BG8" s="0" t="n">
        <f aca="false">$X$17*BF8^2</f>
        <v>0.66441265554275</v>
      </c>
      <c r="BH8" s="0" t="n">
        <f aca="false">BQ8/BE8</f>
        <v>0.00137420783760846</v>
      </c>
      <c r="BJ8" s="0" t="n">
        <f aca="false">BO8/$C$15</f>
        <v>0.315590551636318</v>
      </c>
      <c r="BK8" s="0" t="n">
        <f aca="false">BP8/$C$15</f>
        <v>0.0155905516363184</v>
      </c>
      <c r="BL8" s="0" t="n">
        <f aca="false">BH8/$C$40</f>
        <v>0.0827495382608769</v>
      </c>
      <c r="BM8" s="0" t="n">
        <f aca="false">BL8*$C$39+$C$40*BE8</f>
        <v>1.13043905481387</v>
      </c>
      <c r="BO8" s="0" t="n">
        <f aca="false">BP8+$C$30</f>
        <v>1.89354330981791</v>
      </c>
      <c r="BP8" s="0" t="n">
        <f aca="false">BL8*BM8</f>
        <v>0.0935433098179101</v>
      </c>
      <c r="BQ8" s="0" t="n">
        <f aca="false">BR8+$AC$77*BE8^2</f>
        <v>0.0524583933235802</v>
      </c>
      <c r="BR8" s="0" t="n">
        <f aca="false">$AC$54*$AC$56*(BD8/$C$20)^3</f>
        <v>0.0130155633406608</v>
      </c>
      <c r="BS8" s="0" t="n">
        <f aca="false">BF8*BG8*1000</f>
        <v>0.0121099359579586</v>
      </c>
      <c r="CW8" s="0" t="n">
        <f aca="false">CW7+1</f>
        <v>4</v>
      </c>
      <c r="CX8" s="0" t="n">
        <f aca="false">IF(DC7&gt;0,DB7,CX7)</f>
        <v>0</v>
      </c>
      <c r="CY8" s="0" t="n">
        <f aca="false">IF(DC7&lt;0,DB7,CY7)</f>
        <v>62.5</v>
      </c>
      <c r="CZ8" s="0" t="n">
        <f aca="false">$C$6+$C$7*CX8+$C$8*CX8^2+$C$9*CX8^3+$C$10*CX8^4+$C$11*CX8^5</f>
        <v>10</v>
      </c>
      <c r="DA8" s="0" t="n">
        <f aca="false">$C$6+$C$7*CY8+$C$8*CY8^2+$C$9*CY8^3+$C$10*CY8^4+$C$11*CY8^5</f>
        <v>-6249990</v>
      </c>
      <c r="DB8" s="0" t="n">
        <f aca="false">(CX8+CY8)/2</f>
        <v>31.25</v>
      </c>
      <c r="DC8" s="0" t="n">
        <f aca="false">$C$6+$C$7*DB8+$C$8*DB8^2+$C$9*DB8^3+$C$10*DB8^4+$C$11*DB8^5</f>
        <v>-3124990</v>
      </c>
      <c r="DH8" s="1" t="s">
        <v>69</v>
      </c>
      <c r="DI8" s="1" t="n">
        <f aca="false">IF(DJ7=DI7+1,INDEX(DH12:DH110,DJ7),INDEX(DY12:DY110,DI7))</f>
        <v>3.46475540221535E-005</v>
      </c>
      <c r="DJ8" s="1" t="s">
        <v>41</v>
      </c>
    </row>
    <row r="9" customFormat="false" ht="12.75" hidden="false" customHeight="false" outlineLevel="0" collapsed="false">
      <c r="B9" s="0" t="s">
        <v>70</v>
      </c>
      <c r="C9" s="5" t="n">
        <v>0</v>
      </c>
      <c r="W9" s="0" t="n">
        <v>1</v>
      </c>
      <c r="X9" s="0" t="n">
        <f aca="false">$C7*X$4*X$5^(2-$W9)</f>
        <v>-100000</v>
      </c>
      <c r="Y9" s="0" t="n">
        <f aca="false">$C7*Y$4*Y$5^(2-$W9)</f>
        <v>-50000</v>
      </c>
      <c r="AA9" s="0" t="n">
        <f aca="false">AA8+0.05</f>
        <v>0.3</v>
      </c>
      <c r="AB9" s="0" t="n">
        <f aca="false">AC9/$X$16</f>
        <v>0.865861986439815</v>
      </c>
      <c r="AC9" s="0" t="n">
        <f aca="false">AA9*$X$15</f>
        <v>2.99999999509026E-005</v>
      </c>
      <c r="AJ9" s="0" t="n">
        <f aca="false">$X$8+$X$9*AC9+$X$10*AC9^2+$X$11*AC9^3+$X$12*AC9^4+$X$13*AC9^5</f>
        <v>7.00000000490974</v>
      </c>
      <c r="AK9" s="0" t="n">
        <f aca="false">$X$17*AC9^2</f>
        <v>1.79999999410832</v>
      </c>
      <c r="AL9" s="0" t="n">
        <f aca="false">AY9/$AC$51</f>
        <v>0.00202165119730816</v>
      </c>
      <c r="AM9" s="0" t="n">
        <f aca="false">AZ9/AY9</f>
        <v>0.991937819814137</v>
      </c>
      <c r="AN9" s="0" t="n">
        <f aca="false">AX9/AW9</f>
        <v>0.497790519187375</v>
      </c>
      <c r="AO9" s="0" t="n">
        <f aca="false">AZ9/AV9</f>
        <v>0.0744264501024078</v>
      </c>
      <c r="AP9" s="0" t="n">
        <f aca="false">AL9+$X$18</f>
        <v>0.00485611919349051</v>
      </c>
      <c r="AQ9" s="0" t="n">
        <f aca="false">AP9/$C$40</f>
        <v>0.292416918317427</v>
      </c>
      <c r="AR9" s="0" t="n">
        <f aca="false">AQ9*$C$39+$C$40*$AC$51</f>
        <v>3.49356508974224</v>
      </c>
      <c r="AS9" s="0" t="n">
        <f aca="false">AY9/$AC$51^3</f>
        <v>1.84352483000891E-007</v>
      </c>
      <c r="AU9" s="0" t="n">
        <f aca="false">(-$AV$32+SQRT($AV$32^2-4*AS9*$AV$33))/(2*AS9)*30/PI()</f>
        <v>1542.49176150358</v>
      </c>
      <c r="AV9" s="0" t="n">
        <f aca="false">AW9+$C$30</f>
        <v>2.82157753748377</v>
      </c>
      <c r="AW9" s="0" t="n">
        <f aca="false">AR9*AQ9</f>
        <v>1.02157753748377</v>
      </c>
      <c r="AX9" s="0" t="n">
        <f aca="false">AP9*$AC$51</f>
        <v>0.508531612774206</v>
      </c>
      <c r="AY9" s="0" t="n">
        <f aca="false">$AC$54*($AC$42+$AC$43*AB9+$AC$44*AB9^2+$AC$45*AB9^3)</f>
        <v>0.211706818319478</v>
      </c>
      <c r="AZ9" s="0" t="n">
        <f aca="false">AJ9*AC9*1000</f>
        <v>0.209999999803611</v>
      </c>
      <c r="BC9" s="0" t="n">
        <f aca="false">BC8+0.05</f>
        <v>0.3</v>
      </c>
      <c r="BD9" s="0" t="n">
        <f aca="false">BC9*$AU$28</f>
        <v>437.43667518432</v>
      </c>
      <c r="BE9" s="0" t="n">
        <f aca="false">BD9*PI()/30</f>
        <v>45.8082615056601</v>
      </c>
      <c r="BF9" s="0" t="n">
        <f aca="false">$C$22*BD9/$C$20</f>
        <v>2.1871833759216E-005</v>
      </c>
      <c r="BG9" s="0" t="n">
        <f aca="false">$X$17*BF9^2</f>
        <v>0.95675422398156</v>
      </c>
      <c r="BH9" s="0" t="n">
        <f aca="false">BQ9/BE9</f>
        <v>0.00173087923492291</v>
      </c>
      <c r="BJ9" s="0" t="n">
        <f aca="false">BO9/$C$15</f>
        <v>0.324078013370947</v>
      </c>
      <c r="BK9" s="0" t="n">
        <f aca="false">BP9/$C$15</f>
        <v>0.024078013370947</v>
      </c>
      <c r="BL9" s="0" t="n">
        <f aca="false">BH9/$C$40</f>
        <v>0.104226925182201</v>
      </c>
      <c r="BM9" s="0" t="n">
        <f aca="false">BL9*$C$39+$C$40*BE9</f>
        <v>1.38609174139154</v>
      </c>
      <c r="BO9" s="0" t="n">
        <f aca="false">BP9+$C$30</f>
        <v>1.94446808022568</v>
      </c>
      <c r="BP9" s="0" t="n">
        <f aca="false">BL9*BM9</f>
        <v>0.144468080225682</v>
      </c>
      <c r="BQ9" s="0" t="n">
        <f aca="false">BR9+$AC$77*BE9^2</f>
        <v>0.0792885686280657</v>
      </c>
      <c r="BR9" s="0" t="n">
        <f aca="false">$AC$54*$AC$56*(BD9/$C$20)^3</f>
        <v>0.0224908934526619</v>
      </c>
      <c r="BS9" s="0" t="n">
        <f aca="false">BF9*BG9*1000</f>
        <v>0.0209259693353524</v>
      </c>
      <c r="CW9" s="0" t="n">
        <f aca="false">CW8+1</f>
        <v>5</v>
      </c>
      <c r="CX9" s="0" t="n">
        <f aca="false">IF(DC8&gt;0,DB8,CX8)</f>
        <v>0</v>
      </c>
      <c r="CY9" s="0" t="n">
        <f aca="false">IF(DC8&lt;0,DB8,CY8)</f>
        <v>31.25</v>
      </c>
      <c r="CZ9" s="0" t="n">
        <f aca="false">$C$6+$C$7*CX9+$C$8*CX9^2+$C$9*CX9^3+$C$10*CX9^4+$C$11*CX9^5</f>
        <v>10</v>
      </c>
      <c r="DA9" s="0" t="n">
        <f aca="false">$C$6+$C$7*CY9+$C$8*CY9^2+$C$9*CY9^3+$C$10*CY9^4+$C$11*CY9^5</f>
        <v>-3124990</v>
      </c>
      <c r="DB9" s="0" t="n">
        <f aca="false">(CX9+CY9)/2</f>
        <v>15.625</v>
      </c>
      <c r="DC9" s="0" t="n">
        <f aca="false">$C$6+$C$7*DB9+$C$8*DB9^2+$C$9*DB9^3+$C$10*DB9^4+$C$11*DB9^5</f>
        <v>-1562490</v>
      </c>
    </row>
    <row r="10" customFormat="false" ht="12.75" hidden="false" customHeight="false" outlineLevel="0" collapsed="false">
      <c r="B10" s="0" t="s">
        <v>71</v>
      </c>
      <c r="C10" s="5" t="n">
        <v>0</v>
      </c>
      <c r="W10" s="0" t="n">
        <v>2</v>
      </c>
      <c r="X10" s="0" t="n">
        <f aca="false">$C8*X$4*X$5^(2-$W10)</f>
        <v>0</v>
      </c>
      <c r="Y10" s="0" t="n">
        <f aca="false">$C8*Y$4*Y$5^(2-$W10)</f>
        <v>0</v>
      </c>
      <c r="AA10" s="0" t="n">
        <f aca="false">AA9+0.05</f>
        <v>0.35</v>
      </c>
      <c r="AB10" s="0" t="n">
        <f aca="false">AC10/$X$16</f>
        <v>1.01017231751312</v>
      </c>
      <c r="AC10" s="0" t="n">
        <f aca="false">AA10*$X$15</f>
        <v>3.49999999427197E-005</v>
      </c>
      <c r="AJ10" s="0" t="n">
        <f aca="false">$X$8+$X$9*AC10+$X$10*AC10^2+$X$11*AC10^3+$X$12*AC10^4+$X$13*AC10^5</f>
        <v>6.50000000572803</v>
      </c>
      <c r="AK10" s="0" t="n">
        <f aca="false">$X$17*AC10^2</f>
        <v>2.44999999198076</v>
      </c>
      <c r="AL10" s="0" t="n">
        <f aca="false">AY10/$AC$51</f>
        <v>0.00217256260023155</v>
      </c>
      <c r="AM10" s="0" t="n">
        <f aca="false">AZ10/AY10</f>
        <v>0.999955062897553</v>
      </c>
      <c r="AN10" s="0" t="n">
        <f aca="false">AX10/AW10</f>
        <v>0.490140921611703</v>
      </c>
      <c r="AO10" s="0" t="n">
        <f aca="false">AZ10/AV10</f>
        <v>0.0792748167384701</v>
      </c>
      <c r="AP10" s="0" t="n">
        <f aca="false">AL10+$X$18</f>
        <v>0.0050070305964139</v>
      </c>
      <c r="AQ10" s="0" t="n">
        <f aca="false">AP10/$C$40</f>
        <v>0.301504225614367</v>
      </c>
      <c r="AR10" s="0" t="n">
        <f aca="false">AQ10*$C$39+$C$40*$AC$51</f>
        <v>3.54808893352388</v>
      </c>
      <c r="AS10" s="0" t="n">
        <f aca="false">AY10/$AC$51^3</f>
        <v>1.98113952773282E-007</v>
      </c>
      <c r="AU10" s="0" t="n">
        <f aca="false">(-$AV$32+SQRT($AV$32^2-4*AS10*$AV$33))/(2*AS10)*30/PI()</f>
        <v>1517.37491717304</v>
      </c>
      <c r="AV10" s="0" t="n">
        <f aca="false">AW10+$C$30</f>
        <v>2.86976380631302</v>
      </c>
      <c r="AW10" s="0" t="n">
        <f aca="false">AR10*AQ10</f>
        <v>1.06976380631302</v>
      </c>
      <c r="AX10" s="0" t="n">
        <f aca="false">AP10*$AC$51</f>
        <v>0.524335017933107</v>
      </c>
      <c r="AY10" s="0" t="n">
        <f aca="false">$AC$54*($AC$42+$AC$43*AB10+$AC$44*AB10^2+$AC$45*AB10^3)</f>
        <v>0.227510223478379</v>
      </c>
      <c r="AZ10" s="0" t="n">
        <f aca="false">AJ10*AC10*1000</f>
        <v>0.227499999828159</v>
      </c>
      <c r="BC10" s="0" t="n">
        <f aca="false">BC9+0.05</f>
        <v>0.35</v>
      </c>
      <c r="BD10" s="0" t="n">
        <f aca="false">BC10*$AU$28</f>
        <v>510.34278771504</v>
      </c>
      <c r="BE10" s="0" t="n">
        <f aca="false">BD10*PI()/30</f>
        <v>53.4429717566035</v>
      </c>
      <c r="BF10" s="0" t="n">
        <f aca="false">$C$22*BD10/$C$20</f>
        <v>2.5517139385752E-005</v>
      </c>
      <c r="BG10" s="0" t="n">
        <f aca="false">$X$17*BF10^2</f>
        <v>1.30224880486379</v>
      </c>
      <c r="BH10" s="0" t="n">
        <f aca="false">BQ10/BE10</f>
        <v>0.00211482724216828</v>
      </c>
      <c r="BJ10" s="0" t="n">
        <f aca="false">BO10/$C$15</f>
        <v>0.335054317555141</v>
      </c>
      <c r="BK10" s="0" t="n">
        <f aca="false">BP10/$C$15</f>
        <v>0.035054317555141</v>
      </c>
      <c r="BL10" s="0" t="n">
        <f aca="false">BH10/$C$40</f>
        <v>0.12734680519324</v>
      </c>
      <c r="BM10" s="0" t="n">
        <f aca="false">BL10*$C$39+$C$40*BE10</f>
        <v>1.6515993865075</v>
      </c>
      <c r="BO10" s="0" t="n">
        <f aca="false">BP10+$C$30</f>
        <v>2.01032590533085</v>
      </c>
      <c r="BP10" s="0" t="n">
        <f aca="false">BL10*BM10</f>
        <v>0.210325905330846</v>
      </c>
      <c r="BQ10" s="0" t="n">
        <f aca="false">BR10+$AC$77*BE10^2</f>
        <v>0.113022652573295</v>
      </c>
      <c r="BR10" s="0" t="n">
        <f aca="false">$AC$54*$AC$56*(BD10/$C$20)^3</f>
        <v>0.0357147058067733</v>
      </c>
      <c r="BS10" s="0" t="n">
        <f aca="false">BF10*BG10*1000</f>
        <v>0.0332296642686383</v>
      </c>
      <c r="CW10" s="0" t="n">
        <f aca="false">CW9+1</f>
        <v>6</v>
      </c>
      <c r="CX10" s="0" t="n">
        <f aca="false">IF(DC9&gt;0,DB9,CX9)</f>
        <v>0</v>
      </c>
      <c r="CY10" s="0" t="n">
        <f aca="false">IF(DC9&lt;0,DB9,CY9)</f>
        <v>15.625</v>
      </c>
      <c r="CZ10" s="0" t="n">
        <f aca="false">$C$6+$C$7*CX10+$C$8*CX10^2+$C$9*CX10^3+$C$10*CX10^4+$C$11*CX10^5</f>
        <v>10</v>
      </c>
      <c r="DA10" s="0" t="n">
        <f aca="false">$C$6+$C$7*CY10+$C$8*CY10^2+$C$9*CY10^3+$C$10*CY10^4+$C$11*CY10^5</f>
        <v>-1562490</v>
      </c>
      <c r="DB10" s="0" t="n">
        <f aca="false">(CX10+CY10)/2</f>
        <v>7.8125</v>
      </c>
      <c r="DC10" s="0" t="n">
        <f aca="false">$C$6+$C$7*DB10+$C$8*DB10^2+$C$9*DB10^3+$C$10*DB10^4+$C$11*DB10^5</f>
        <v>-781240</v>
      </c>
      <c r="DH10" s="0" t="s">
        <v>72</v>
      </c>
      <c r="DI10" s="0" t="s">
        <v>73</v>
      </c>
      <c r="DJ10" s="0" t="s">
        <v>74</v>
      </c>
      <c r="DK10" s="0" t="s">
        <v>75</v>
      </c>
      <c r="DL10" s="0" t="s">
        <v>76</v>
      </c>
      <c r="DM10" s="0" t="s">
        <v>77</v>
      </c>
      <c r="DN10" s="0" t="s">
        <v>78</v>
      </c>
      <c r="DO10" s="0" t="s">
        <v>79</v>
      </c>
      <c r="DP10" s="0" t="s">
        <v>80</v>
      </c>
      <c r="DQ10" s="0" t="s">
        <v>81</v>
      </c>
      <c r="DR10" s="0" t="s">
        <v>82</v>
      </c>
      <c r="DS10" s="0" t="s">
        <v>83</v>
      </c>
      <c r="DT10" s="0" t="s">
        <v>84</v>
      </c>
      <c r="DU10" s="0" t="s">
        <v>85</v>
      </c>
      <c r="DV10" s="0" t="s">
        <v>86</v>
      </c>
      <c r="DW10" s="0" t="s">
        <v>87</v>
      </c>
      <c r="DX10" s="0" t="s">
        <v>88</v>
      </c>
      <c r="DY10" s="0" t="s">
        <v>89</v>
      </c>
    </row>
    <row r="11" customFormat="false" ht="12.75" hidden="false" customHeight="false" outlineLevel="0" collapsed="false">
      <c r="B11" s="0" t="s">
        <v>90</v>
      </c>
      <c r="C11" s="5" t="n">
        <v>0</v>
      </c>
      <c r="W11" s="0" t="n">
        <v>3</v>
      </c>
      <c r="X11" s="0" t="n">
        <f aca="false">$C9*X$4*X$5^(2-$W11)</f>
        <v>0</v>
      </c>
      <c r="Y11" s="0" t="n">
        <f aca="false">$C9*Y$4*Y$5^(2-$W11)</f>
        <v>0</v>
      </c>
      <c r="AA11" s="0" t="n">
        <f aca="false">AA10+0.05</f>
        <v>0.4</v>
      </c>
      <c r="AB11" s="0" t="n">
        <f aca="false">AC11/$X$16</f>
        <v>1.15448264858642</v>
      </c>
      <c r="AC11" s="0" t="n">
        <f aca="false">AA11*$X$15</f>
        <v>3.99999999345368E-005</v>
      </c>
      <c r="AJ11" s="0" t="n">
        <f aca="false">$X$8+$X$9*AC11+$X$10*AC11^2+$X$11*AC11^3+$X$12*AC11^4+$X$13*AC11^5</f>
        <v>6.00000000654632</v>
      </c>
      <c r="AK11" s="0" t="n">
        <f aca="false">$X$17*AC11^2</f>
        <v>3.19999998952589</v>
      </c>
      <c r="AL11" s="0" t="n">
        <f aca="false">AY11/$AC$51</f>
        <v>0.00231356743261509</v>
      </c>
      <c r="AM11" s="0" t="n">
        <f aca="false">AZ11/AY11</f>
        <v>0.990604875814022</v>
      </c>
      <c r="AN11" s="0" t="n">
        <f aca="false">AX11/AW11</f>
        <v>0.483202934777742</v>
      </c>
      <c r="AO11" s="0" t="n">
        <f aca="false">AZ11/AV11</f>
        <v>0.0823134920167438</v>
      </c>
      <c r="AP11" s="0" t="n">
        <f aca="false">AL11+$X$18</f>
        <v>0.00514803542879744</v>
      </c>
      <c r="AQ11" s="0" t="n">
        <f aca="false">AP11/$C$40</f>
        <v>0.309994997135941</v>
      </c>
      <c r="AR11" s="0" t="n">
        <f aca="false">AQ11*$C$39+$C$40*$AC$51</f>
        <v>3.59903356265332</v>
      </c>
      <c r="AS11" s="0" t="n">
        <f aca="false">AY11/$AC$51^3</f>
        <v>2.10972051638033E-007</v>
      </c>
      <c r="AU11" s="0" t="n">
        <f aca="false">(-$AV$32+SQRT($AV$32^2-4*AS11*$AV$33))/(2*AS11)*30/PI()</f>
        <v>1495.16512264072</v>
      </c>
      <c r="AV11" s="0" t="n">
        <f aca="false">AW11+$C$30</f>
        <v>2.91568239894687</v>
      </c>
      <c r="AW11" s="0" t="n">
        <f aca="false">AR11*AQ11</f>
        <v>1.11568239894687</v>
      </c>
      <c r="AX11" s="0" t="n">
        <f aca="false">AP11*$AC$51</f>
        <v>0.539101009451</v>
      </c>
      <c r="AY11" s="0" t="n">
        <f aca="false">$AC$54*($AC$42+$AC$43*AB11+$AC$44*AB11^2+$AC$45*AB11^3)</f>
        <v>0.242276214996272</v>
      </c>
      <c r="AZ11" s="0" t="n">
        <f aca="false">AJ11*AC11*1000</f>
        <v>0.239999999869074</v>
      </c>
      <c r="BC11" s="0" t="n">
        <f aca="false">BC10+0.05</f>
        <v>0.4</v>
      </c>
      <c r="BD11" s="0" t="n">
        <f aca="false">BC11*$AU$28</f>
        <v>583.24890024576</v>
      </c>
      <c r="BE11" s="0" t="n">
        <f aca="false">BD11*PI()/30</f>
        <v>61.0776820075468</v>
      </c>
      <c r="BF11" s="0" t="n">
        <f aca="false">$C$22*BD11/$C$20</f>
        <v>2.9162445012288E-005</v>
      </c>
      <c r="BG11" s="0" t="n">
        <f aca="false">$X$17*BF11^2</f>
        <v>1.70089639818944</v>
      </c>
      <c r="BH11" s="0" t="n">
        <f aca="false">BQ11/BE11</f>
        <v>0.00252605185934457</v>
      </c>
      <c r="BJ11" s="0" t="n">
        <f aca="false">BO11/$C$15</f>
        <v>0.348851434154545</v>
      </c>
      <c r="BK11" s="0" t="n">
        <f aca="false">BP11/$C$15</f>
        <v>0.0488514341545448</v>
      </c>
      <c r="BL11" s="0" t="n">
        <f aca="false">BH11/$C$40</f>
        <v>0.152109178293996</v>
      </c>
      <c r="BM11" s="0" t="n">
        <f aca="false">BL11*$C$39+$C$40*BE11</f>
        <v>1.92696199016176</v>
      </c>
      <c r="BO11" s="0" t="n">
        <f aca="false">BP11+$C$30</f>
        <v>2.09310860492727</v>
      </c>
      <c r="BP11" s="0" t="n">
        <f aca="false">BL11*BM11</f>
        <v>0.293108604927269</v>
      </c>
      <c r="BQ11" s="0" t="n">
        <f aca="false">BR11+$AC$77*BE11^2</f>
        <v>0.15428539219962</v>
      </c>
      <c r="BR11" s="0" t="n">
        <f aca="false">$AC$54*$AC$56*(BD11/$C$20)^3</f>
        <v>0.0533117474433467</v>
      </c>
      <c r="BS11" s="0" t="n">
        <f aca="false">BF11*BG11*1000</f>
        <v>0.0496022976837982</v>
      </c>
      <c r="CW11" s="0" t="n">
        <f aca="false">CW10+1</f>
        <v>7</v>
      </c>
      <c r="CX11" s="0" t="n">
        <f aca="false">IF(DC10&gt;0,DB10,CX10)</f>
        <v>0</v>
      </c>
      <c r="CY11" s="0" t="n">
        <f aca="false">IF(DC10&lt;0,DB10,CY10)</f>
        <v>7.8125</v>
      </c>
      <c r="CZ11" s="0" t="n">
        <f aca="false">$C$6+$C$7*CX11+$C$8*CX11^2+$C$9*CX11^3+$C$10*CX11^4+$C$11*CX11^5</f>
        <v>10</v>
      </c>
      <c r="DA11" s="0" t="n">
        <f aca="false">$C$6+$C$7*CY11+$C$8*CY11^2+$C$9*CY11^3+$C$10*CY11^4+$C$11*CY11^5</f>
        <v>-781240</v>
      </c>
      <c r="DB11" s="0" t="n">
        <f aca="false">(CX11+CY11)/2</f>
        <v>3.90625</v>
      </c>
      <c r="DC11" s="0" t="n">
        <f aca="false">$C$6+$C$7*DB11+$C$8*DB11^2+$C$9*DB11^3+$C$10*DB11^4+$C$11*DB11^5</f>
        <v>-390615</v>
      </c>
      <c r="DH11" s="0" t="n">
        <f aca="false">DB2</f>
        <v>9.99999998363421E-005</v>
      </c>
      <c r="DI11" s="6" t="n">
        <f aca="false">$C$6+$C$7*DH11+$C$8*DH11^2+$C$9*DH11^3+$C$10*DH11^4+$C$11*DH11^5</f>
        <v>1.63657887242152E-008</v>
      </c>
      <c r="DJ11" s="0" t="n">
        <f aca="false">DH11*DI11*1000</f>
        <v>1.63657886974313E-009</v>
      </c>
      <c r="DK11" s="0" t="n">
        <f aca="false">MIN(MAX(0.2,$E$5*SQRT(DH11)*($C$4/DI11/1000)^0.75),5)</f>
        <v>5</v>
      </c>
      <c r="DL11" s="0" t="n">
        <f aca="false">$AH$42+($AI$42-$AH$42)*($DK11-$AH$41)/($AI$41-$AH$41)</f>
        <v>2</v>
      </c>
      <c r="DM11" s="0" t="n">
        <f aca="false">$AH$43+($AI$43-$AH$43)*($DK11-$AH$41)/($AI$41-$AH$41)</f>
        <v>-5.98</v>
      </c>
      <c r="DN11" s="0" t="n">
        <f aca="false">$AH$44+($AI$44-$AH$44)*($DK11-$AH$41)/($AI$41-$AH$41)</f>
        <v>8.78</v>
      </c>
      <c r="DO11" s="0" t="n">
        <f aca="false">$AH$45+($AI$45-$AH$45)*($DK11-$AH$41)/($AI$41-$AH$41)</f>
        <v>-3.8</v>
      </c>
    </row>
    <row r="12" customFormat="false" ht="12.75" hidden="false" customHeight="false" outlineLevel="0" collapsed="false">
      <c r="B12" s="0" t="s">
        <v>91</v>
      </c>
      <c r="C12" s="5" t="n">
        <v>1</v>
      </c>
      <c r="W12" s="0" t="n">
        <v>4</v>
      </c>
      <c r="X12" s="0" t="n">
        <f aca="false">$C10*X$4*X$5^(2-$W12)</f>
        <v>0</v>
      </c>
      <c r="Y12" s="0" t="n">
        <f aca="false">$C10*Y$4*Y$5^(2-$W12)</f>
        <v>0</v>
      </c>
      <c r="AA12" s="0" t="n">
        <f aca="false">AA11+0.05</f>
        <v>0.45</v>
      </c>
      <c r="AB12" s="0" t="n">
        <f aca="false">AC12/$X$16</f>
        <v>1.29879297965972</v>
      </c>
      <c r="AC12" s="0" t="n">
        <f aca="false">AA12*$X$15</f>
        <v>4.49999999263539E-005</v>
      </c>
      <c r="AJ12" s="0" t="n">
        <f aca="false">$X$8+$X$9*AC12+$X$10*AC12^2+$X$11*AC12^3+$X$12*AC12^4+$X$13*AC12^5</f>
        <v>5.50000000736461</v>
      </c>
      <c r="AK12" s="0" t="n">
        <f aca="false">$X$17*AC12^2</f>
        <v>4.04999998674371</v>
      </c>
      <c r="AL12" s="0" t="n">
        <f aca="false">AY12/$AC$51</f>
        <v>0.00244466569445878</v>
      </c>
      <c r="AM12" s="0" t="n">
        <f aca="false">AZ12/AY12</f>
        <v>0.966778774524676</v>
      </c>
      <c r="AN12" s="0" t="n">
        <f aca="false">AX12/AW12</f>
        <v>0.476926302015964</v>
      </c>
      <c r="AO12" s="0" t="n">
        <f aca="false">AZ12/AV12</f>
        <v>0.0836388552434651</v>
      </c>
      <c r="AP12" s="0" t="n">
        <f aca="false">AL12+$X$18</f>
        <v>0.00527913369064113</v>
      </c>
      <c r="AQ12" s="0" t="n">
        <f aca="false">AP12/$C$40</f>
        <v>0.31788923288215</v>
      </c>
      <c r="AR12" s="0" t="n">
        <f aca="false">AQ12*$C$39+$C$40*$AC$51</f>
        <v>3.64639897713058</v>
      </c>
      <c r="AS12" s="0" t="n">
        <f aca="false">AY12/$AC$51^3</f>
        <v>2.22926779595143E-007</v>
      </c>
      <c r="AU12" s="0" t="n">
        <f aca="false">(-$AV$32+SQRT($AV$32^2-4*AS12*$AV$33))/(2*AS12)*30/PI()</f>
        <v>1475.50922696381</v>
      </c>
      <c r="AV12" s="0" t="n">
        <f aca="false">AW12+$C$30</f>
        <v>2.95915097362229</v>
      </c>
      <c r="AW12" s="0" t="n">
        <f aca="false">AR12*AQ12</f>
        <v>1.15915097362229</v>
      </c>
      <c r="AX12" s="0" t="n">
        <f aca="false">AP12*$AC$51</f>
        <v>0.552829587327885</v>
      </c>
      <c r="AY12" s="0" t="n">
        <f aca="false">$AC$54*($AC$42+$AC$43*AB12+$AC$44*AB12^2+$AC$45*AB12^3)</f>
        <v>0.256004792873157</v>
      </c>
      <c r="AZ12" s="0" t="n">
        <f aca="false">AJ12*AC12*1000</f>
        <v>0.247499999926354</v>
      </c>
      <c r="BC12" s="0" t="n">
        <f aca="false">BC11+0.05</f>
        <v>0.45</v>
      </c>
      <c r="BD12" s="0" t="n">
        <f aca="false">BC12*$AU$28</f>
        <v>656.15501277648</v>
      </c>
      <c r="BE12" s="0" t="n">
        <f aca="false">BD12*PI()/30</f>
        <v>68.7123922584902</v>
      </c>
      <c r="BF12" s="0" t="n">
        <f aca="false">$C$22*BD12/$C$20</f>
        <v>3.2807750638824E-005</v>
      </c>
      <c r="BG12" s="0" t="n">
        <f aca="false">$X$17*BF12^2</f>
        <v>2.15269700395851</v>
      </c>
      <c r="BH12" s="0" t="n">
        <f aca="false">BQ12/BE12</f>
        <v>0.00296455308645178</v>
      </c>
      <c r="BJ12" s="0" t="n">
        <f aca="false">BO12/$C$15</f>
        <v>0.365817519836102</v>
      </c>
      <c r="BK12" s="0" t="n">
        <f aca="false">BP12/$C$15</f>
        <v>0.0658175198361015</v>
      </c>
      <c r="BL12" s="0" t="n">
        <f aca="false">BH12/$C$40</f>
        <v>0.178514044484468</v>
      </c>
      <c r="BM12" s="0" t="n">
        <f aca="false">BL12*$C$39+$C$40*BE12</f>
        <v>2.21217955235431</v>
      </c>
      <c r="BO12" s="0" t="n">
        <f aca="false">BP12+$C$30</f>
        <v>2.19490511901661</v>
      </c>
      <c r="BP12" s="0" t="n">
        <f aca="false">BL12*BM12</f>
        <v>0.394905119016609</v>
      </c>
      <c r="BQ12" s="0" t="n">
        <f aca="false">BR12+$AC$77*BE12^2</f>
        <v>0.203701534547392</v>
      </c>
      <c r="BR12" s="0" t="n">
        <f aca="false">$AC$54*$AC$56*(BD12/$C$20)^3</f>
        <v>0.0759067654027339</v>
      </c>
      <c r="BS12" s="0" t="n">
        <f aca="false">BF12*BG12*1000</f>
        <v>0.0706251465068143</v>
      </c>
      <c r="CW12" s="0" t="n">
        <f aca="false">CW11+1</f>
        <v>8</v>
      </c>
      <c r="CX12" s="0" t="n">
        <f aca="false">IF(DC11&gt;0,DB11,CX11)</f>
        <v>0</v>
      </c>
      <c r="CY12" s="0" t="n">
        <f aca="false">IF(DC11&lt;0,DB11,CY11)</f>
        <v>3.90625</v>
      </c>
      <c r="CZ12" s="0" t="n">
        <f aca="false">$C$6+$C$7*CX12+$C$8*CX12^2+$C$9*CX12^3+$C$10*CX12^4+$C$11*CX12^5</f>
        <v>10</v>
      </c>
      <c r="DA12" s="0" t="n">
        <f aca="false">$C$6+$C$7*CY12+$C$8*CY12^2+$C$9*CY12^3+$C$10*CY12^4+$C$11*CY12^5</f>
        <v>-390615</v>
      </c>
      <c r="DB12" s="0" t="n">
        <f aca="false">(CX12+CY12)/2</f>
        <v>1.953125</v>
      </c>
      <c r="DC12" s="0" t="n">
        <f aca="false">$C$6+$C$7*DB12+$C$8*DB12^2+$C$9*DB12^3+$C$10*DB12^4+$C$11*DB12^5</f>
        <v>-195302.5</v>
      </c>
      <c r="DH12" s="0" t="n">
        <f aca="false">DH11-$DI$6</f>
        <v>9.89999998379787E-005</v>
      </c>
      <c r="DI12" s="6" t="n">
        <f aca="false">$C$6+$C$7*DH12+$C$8*DH12^2+$C$9*DH12^3+$C$10*DH12^4+$C$11*DH12^5</f>
        <v>0.100000016202131</v>
      </c>
      <c r="DJ12" s="0" t="n">
        <f aca="false">DH12*DI12*1000</f>
        <v>0.00990000158780882</v>
      </c>
      <c r="DK12" s="0" t="n">
        <f aca="false">MIN(MAX(0.2,$E$5*SQRT(DH12)*($C$4/DI12/1000)^0.75),5)</f>
        <v>5</v>
      </c>
      <c r="DL12" s="0" t="n">
        <f aca="false">$AH$42+($AI$42-$AH$42)*($DK12-$AH$41)/($AI$41-$AH$41)</f>
        <v>2</v>
      </c>
      <c r="DM12" s="0" t="n">
        <f aca="false">$AH$43+($AI$43-$AH$43)*($DK12-$AH$41)/($AI$41-$AH$41)</f>
        <v>-5.98</v>
      </c>
      <c r="DN12" s="0" t="n">
        <f aca="false">$AH$44+($AI$44-$AH$44)*($DK12-$AH$41)/($AI$41-$AH$41)</f>
        <v>8.78</v>
      </c>
      <c r="DO12" s="0" t="n">
        <f aca="false">$AH$45+($AI$45-$AH$45)*($DK12-$AH$41)/($AI$41-$AH$41)</f>
        <v>-3.8</v>
      </c>
      <c r="DP12" s="0" t="n">
        <f aca="false">($DL12+$DM12*($DH11/$DH12)+$DN12*($DH11/$DH12)^2+$DO12*($DH11/$DH12)^3)</f>
        <v>1.00154694583834</v>
      </c>
      <c r="DQ12" s="0" t="n">
        <f aca="false">(DL12+DM12+DN12+DO12)</f>
        <v>0.999999999999999</v>
      </c>
      <c r="DR12" s="0" t="n">
        <f aca="false">($DL12+$DM12*($DH13/$DH12)+$DN12*($DH13/$DH12)^2+$DO12*($DH13/$DH12)^3)</f>
        <v>0.997918414839137</v>
      </c>
      <c r="DS12" s="0" t="n">
        <f aca="false">DJ11/DP12</f>
        <v>1.63405108122339E-009</v>
      </c>
      <c r="DT12" s="0" t="n">
        <f aca="false">DJ12/DQ12</f>
        <v>0.00990000158780883</v>
      </c>
      <c r="DU12" s="0" t="n">
        <f aca="false">DJ13/DR12</f>
        <v>0.0196408857159459</v>
      </c>
      <c r="DV12" s="0" t="n">
        <f aca="false">DU12-DS12</f>
        <v>0.0196408840818948</v>
      </c>
      <c r="DW12" s="0" t="n">
        <f aca="false">IF((DT12-DS12)*(DU12-DT12)&lt;0,1,0)</f>
        <v>0</v>
      </c>
      <c r="DX12" s="0" t="n">
        <f aca="false">ABS(DV12)/(ABS(DV12)+ABS(DV13))</f>
        <v>0.504218641554653</v>
      </c>
      <c r="DY12" s="0" t="n">
        <f aca="false">DH12+DX12*(DH13-DH12)</f>
        <v>9.84957811972492E-005</v>
      </c>
      <c r="FA12" s="3"/>
    </row>
    <row r="13" customFormat="false" ht="12.75" hidden="false" customHeight="false" outlineLevel="0" collapsed="false">
      <c r="W13" s="0" t="n">
        <v>5</v>
      </c>
      <c r="X13" s="0" t="n">
        <f aca="false">$C11*X$4*X$5^(2-$W13)</f>
        <v>0</v>
      </c>
      <c r="Y13" s="0" t="n">
        <f aca="false">$C11*Y$4*Y$5^(2-$W13)</f>
        <v>0</v>
      </c>
      <c r="AA13" s="0" t="n">
        <f aca="false">AA12+0.05</f>
        <v>0.5</v>
      </c>
      <c r="AB13" s="0" t="n">
        <f aca="false">AC13/$X$16</f>
        <v>1.44310331073303</v>
      </c>
      <c r="AC13" s="0" t="n">
        <f aca="false">AA13*$X$15</f>
        <v>4.99999999181711E-005</v>
      </c>
      <c r="AJ13" s="0" t="n">
        <f aca="false">$X$8+$X$9*AC13+$X$10*AC13^2+$X$11*AC13^3+$X$12*AC13^4+$X$13*AC13^5</f>
        <v>5.0000000081829</v>
      </c>
      <c r="AK13" s="0" t="n">
        <f aca="false">$X$17*AC13^2</f>
        <v>4.99999998363421</v>
      </c>
      <c r="AL13" s="0" t="n">
        <f aca="false">AY13/$AC$51</f>
        <v>0.00256585738576263</v>
      </c>
      <c r="AM13" s="0" t="n">
        <f aca="false">AZ13/AY13</f>
        <v>0.930419656067076</v>
      </c>
      <c r="AN13" s="0" t="n">
        <f aca="false">AX13/AW13</f>
        <v>0.471267293223585</v>
      </c>
      <c r="AO13" s="0" t="n">
        <f aca="false">AZ13/AV13</f>
        <v>0.0833333333512839</v>
      </c>
      <c r="AP13" s="0" t="n">
        <f aca="false">AL13+$X$18</f>
        <v>0.00540032538194497</v>
      </c>
      <c r="AQ13" s="0" t="n">
        <f aca="false">AP13/$C$40</f>
        <v>0.325186932852993</v>
      </c>
      <c r="AR13" s="0" t="n">
        <f aca="false">AQ13*$C$39+$C$40*$AC$51</f>
        <v>3.69018517695563</v>
      </c>
      <c r="AS13" s="0" t="n">
        <f aca="false">AY13/$AC$51^3</f>
        <v>2.33978136644613E-007</v>
      </c>
      <c r="AU13" s="0" t="n">
        <f aca="false">(-$AV$32+SQRT($AV$32^2-4*AS13*$AV$33))/(2*AS13)*30/PI()</f>
        <v>1458.12225088171</v>
      </c>
      <c r="AV13" s="0" t="n">
        <f aca="false">AW13+$C$30</f>
        <v>2.99999999935378</v>
      </c>
      <c r="AW13" s="0" t="n">
        <f aca="false">AR13*AQ13</f>
        <v>1.19999999935378</v>
      </c>
      <c r="AX13" s="0" t="n">
        <f aca="false">AP13*$AC$51</f>
        <v>0.56552075156376</v>
      </c>
      <c r="AY13" s="0" t="n">
        <f aca="false">$AC$54*($AC$42+$AC$43*AB13+$AC$44*AB13^2+$AC$45*AB13^3)</f>
        <v>0.268695957109033</v>
      </c>
      <c r="AZ13" s="0" t="n">
        <f aca="false">AJ13*AC13*1000</f>
        <v>0.25</v>
      </c>
      <c r="BC13" s="0" t="n">
        <f aca="false">BC12+0.05</f>
        <v>0.5</v>
      </c>
      <c r="BD13" s="0" t="n">
        <f aca="false">BC13*$AU$28</f>
        <v>729.061125307199</v>
      </c>
      <c r="BE13" s="0" t="n">
        <f aca="false">BD13*PI()/30</f>
        <v>76.3471025094335</v>
      </c>
      <c r="BF13" s="0" t="n">
        <f aca="false">$C$22*BD13/$C$20</f>
        <v>3.645305626536E-005</v>
      </c>
      <c r="BG13" s="0" t="n">
        <f aca="false">$X$17*BF13^2</f>
        <v>2.657650622171</v>
      </c>
      <c r="BH13" s="0" t="n">
        <f aca="false">BQ13/BE13</f>
        <v>0.00343033092348991</v>
      </c>
      <c r="BJ13" s="0" t="n">
        <f aca="false">BO13/$C$15</f>
        <v>0.386316917968053</v>
      </c>
      <c r="BK13" s="0" t="n">
        <f aca="false">BP13/$C$15</f>
        <v>0.0863169179680528</v>
      </c>
      <c r="BL13" s="0" t="n">
        <f aca="false">BH13/$C$40</f>
        <v>0.206561403764657</v>
      </c>
      <c r="BM13" s="0" t="n">
        <f aca="false">BL13*$C$39+$C$40*BE13</f>
        <v>2.50725207308516</v>
      </c>
      <c r="BO13" s="0" t="n">
        <f aca="false">BP13+$C$30</f>
        <v>2.31790150780832</v>
      </c>
      <c r="BP13" s="0" t="n">
        <f aca="false">BL13*BM13</f>
        <v>0.517901507808317</v>
      </c>
      <c r="BQ13" s="0" t="n">
        <f aca="false">BR13+$AC$77*BE13^2</f>
        <v>0.261895826656964</v>
      </c>
      <c r="BR13" s="0" t="n">
        <f aca="false">$AC$54*$AC$56*(BD13/$C$20)^3</f>
        <v>0.104124506725287</v>
      </c>
      <c r="BS13" s="0" t="n">
        <f aca="false">BF13*BG13*1000</f>
        <v>0.0968794876636684</v>
      </c>
      <c r="CW13" s="0" t="n">
        <f aca="false">CW12+1</f>
        <v>9</v>
      </c>
      <c r="CX13" s="0" t="n">
        <f aca="false">IF(DC12&gt;0,DB12,CX12)</f>
        <v>0</v>
      </c>
      <c r="CY13" s="0" t="n">
        <f aca="false">IF(DC12&lt;0,DB12,CY12)</f>
        <v>1.953125</v>
      </c>
      <c r="CZ13" s="0" t="n">
        <f aca="false">$C$6+$C$7*CX13+$C$8*CX13^2+$C$9*CX13^3+$C$10*CX13^4+$C$11*CX13^5</f>
        <v>10</v>
      </c>
      <c r="DA13" s="0" t="n">
        <f aca="false">$C$6+$C$7*CY13+$C$8*CY13^2+$C$9*CY13^3+$C$10*CY13^4+$C$11*CY13^5</f>
        <v>-195302.5</v>
      </c>
      <c r="DB13" s="0" t="n">
        <f aca="false">(CX13+CY13)/2</f>
        <v>0.9765625</v>
      </c>
      <c r="DC13" s="0" t="n">
        <f aca="false">$C$6+$C$7*DB13+$C$8*DB13^2+$C$9*DB13^3+$C$10*DB13^4+$C$11*DB13^5</f>
        <v>-97646.25</v>
      </c>
      <c r="DH13" s="0" t="n">
        <f aca="false">DH12-$DI$6</f>
        <v>9.79999998396153E-005</v>
      </c>
      <c r="DI13" s="6" t="n">
        <f aca="false">$C$6+$C$7*DH13+$C$8*DH13^2+$C$9*DH13^3+$C$10*DH13^4+$C$11*DH13^5</f>
        <v>0.200000016038473</v>
      </c>
      <c r="DJ13" s="0" t="n">
        <f aca="false">DH13*DI13*1000</f>
        <v>0.0196000015396934</v>
      </c>
      <c r="DK13" s="0" t="n">
        <f aca="false">MIN(MAX(0.2,$E$5*SQRT(DH13)*($C$4/DI13/1000)^0.75),5)</f>
        <v>3.46632382822901</v>
      </c>
      <c r="DL13" s="0" t="n">
        <f aca="false">$AH$42+($AI$42-$AH$42)*($DK13-$AH$41)/($AI$41-$AH$41)</f>
        <v>1.49516492679205</v>
      </c>
      <c r="DM13" s="0" t="n">
        <f aca="false">$AH$43+($AI$43-$AH$43)*($DK13-$AH$41)/($AI$41-$AH$41)</f>
        <v>-3.84882915297656</v>
      </c>
      <c r="DN13" s="0" t="n">
        <f aca="false">$AH$44+($AI$44-$AH$44)*($DK13-$AH$41)/($AI$41-$AH$41)</f>
        <v>5.93950392353248</v>
      </c>
      <c r="DO13" s="0" t="n">
        <f aca="false">$AH$45+($AI$45-$AH$45)*($DK13-$AH$41)/($AI$41-$AH$41)</f>
        <v>-2.58583969734797</v>
      </c>
      <c r="DP13" s="0" t="n">
        <f aca="false">($DL13+$DM13*($DH12/$DH13)+$DN13*($DH12/$DH13)^2+$DO13*($DH12/$DH13)^3)</f>
        <v>1.00259019572183</v>
      </c>
      <c r="DQ13" s="0" t="n">
        <f aca="false">(DL13+DM13+DN13+DO13)</f>
        <v>0.999999999999998</v>
      </c>
      <c r="DR13" s="0" t="n">
        <f aca="false">($DL13+$DM13*($DH14/$DH13)+$DN13*($DH14/$DH13)^2+$DO13*($DH14/$DH13)^3)</f>
        <v>0.997031208866146</v>
      </c>
      <c r="DS13" s="0" t="n">
        <f aca="false">DJ12/DP13</f>
        <v>0.00987442489469104</v>
      </c>
      <c r="DT13" s="0" t="n">
        <f aca="false">DJ13/DQ13</f>
        <v>0.0196000015396934</v>
      </c>
      <c r="DU13" s="0" t="n">
        <f aca="false">DJ14/DR13</f>
        <v>0.0291866505616469</v>
      </c>
      <c r="DV13" s="0" t="n">
        <f aca="false">DU13-DS13</f>
        <v>0.0193122256669559</v>
      </c>
      <c r="DW13" s="0" t="n">
        <f aca="false">IF((DT13-DS13)*(DU13-DT13)&lt;0,1,0)</f>
        <v>0</v>
      </c>
      <c r="DX13" s="0" t="n">
        <f aca="false">ABS(DV13)/(ABS(DV13)+ABS(DV14))</f>
        <v>0.504085728115159</v>
      </c>
      <c r="DY13" s="0" t="n">
        <f aca="false">DH13+DX13*(DH14-DH13)</f>
        <v>9.74959141123251E-005</v>
      </c>
    </row>
    <row r="14" customFormat="false" ht="12.75" hidden="false" customHeight="false" outlineLevel="0" collapsed="false">
      <c r="A14" s="1" t="s">
        <v>92</v>
      </c>
      <c r="B14" s="4" t="s">
        <v>93</v>
      </c>
      <c r="AA14" s="0" t="n">
        <f aca="false">AA13+0.05</f>
        <v>0.55</v>
      </c>
      <c r="AB14" s="0" t="n">
        <f aca="false">AC14/$X$16</f>
        <v>1.58741364180633</v>
      </c>
      <c r="AC14" s="0" t="n">
        <f aca="false">AA14*$X$15</f>
        <v>5.49999999099882E-005</v>
      </c>
      <c r="AJ14" s="0" t="n">
        <f aca="false">$X$8+$X$9*AC14+$X$10*AC14^2+$X$11*AC14^3+$X$12*AC14^4+$X$13*AC14^5</f>
        <v>4.50000000900119</v>
      </c>
      <c r="AK14" s="0" t="n">
        <f aca="false">$X$17*AC14^2</f>
        <v>6.04999998019739</v>
      </c>
      <c r="AL14" s="0" t="n">
        <f aca="false">AY14/$AC$51</f>
        <v>0.00267714250652662</v>
      </c>
      <c r="AM14" s="0" t="n">
        <f aca="false">AZ14/AY14</f>
        <v>0.882825960893874</v>
      </c>
      <c r="AN14" s="0" t="n">
        <f aca="false">AX14/AW14</f>
        <v>0.466187870941</v>
      </c>
      <c r="AO14" s="0" t="n">
        <f aca="false">AZ14/AV14</f>
        <v>0.0814661201271906</v>
      </c>
      <c r="AP14" s="0" t="n">
        <f aca="false">AL14+$X$18</f>
        <v>0.00551161050270896</v>
      </c>
      <c r="AQ14" s="0" t="n">
        <f aca="false">AP14/$C$40</f>
        <v>0.33188809704847</v>
      </c>
      <c r="AR14" s="0" t="n">
        <f aca="false">AQ14*$C$39+$C$40*$AC$51</f>
        <v>3.7303921621285</v>
      </c>
      <c r="AS14" s="0" t="n">
        <f aca="false">AY14/$AC$51^3</f>
        <v>2.44126122786443E-007</v>
      </c>
      <c r="AU14" s="0" t="n">
        <f aca="false">(-$AV$32+SQRT($AV$32^2-4*AS14*$AV$33))/(2*AS14)*30/PI()</f>
        <v>1442.77217290761</v>
      </c>
      <c r="AV14" s="0" t="n">
        <f aca="false">AW14+$C$30</f>
        <v>3.03807275593336</v>
      </c>
      <c r="AW14" s="0" t="n">
        <f aca="false">AR14*AQ14</f>
        <v>1.23807275593336</v>
      </c>
      <c r="AX14" s="0" t="n">
        <f aca="false">AP14*$AC$51</f>
        <v>0.577174502158627</v>
      </c>
      <c r="AY14" s="0" t="n">
        <f aca="false">$AC$54*($AC$42+$AC$43*AB14+$AC$44*AB14^2+$AC$45*AB14^3)</f>
        <v>0.2803497077039</v>
      </c>
      <c r="AZ14" s="0" t="n">
        <f aca="false">AJ14*AC14*1000</f>
        <v>0.247500000090012</v>
      </c>
      <c r="BC14" s="0" t="n">
        <f aca="false">BC13+0.05</f>
        <v>0.55</v>
      </c>
      <c r="BD14" s="0" t="n">
        <f aca="false">BC14*$AU$28</f>
        <v>801.967237837919</v>
      </c>
      <c r="BE14" s="0" t="n">
        <f aca="false">BD14*PI()/30</f>
        <v>83.9818127603769</v>
      </c>
      <c r="BF14" s="0" t="n">
        <f aca="false">$C$22*BD14/$C$20</f>
        <v>4.0098361891896E-005</v>
      </c>
      <c r="BG14" s="0" t="n">
        <f aca="false">$X$17*BF14^2</f>
        <v>3.21575725282691</v>
      </c>
      <c r="BH14" s="0" t="n">
        <f aca="false">BQ14/BE14</f>
        <v>0.00392338537045896</v>
      </c>
      <c r="BJ14" s="0" t="n">
        <f aca="false">BO14/$C$15</f>
        <v>0.410730158619939</v>
      </c>
      <c r="BK14" s="0" t="n">
        <f aca="false">BP14/$C$15</f>
        <v>0.110730158619939</v>
      </c>
      <c r="BL14" s="0" t="n">
        <f aca="false">BH14/$C$40</f>
        <v>0.236251256134561</v>
      </c>
      <c r="BM14" s="0" t="n">
        <f aca="false">BL14*$C$39+$C$40*BE14</f>
        <v>2.81217955235431</v>
      </c>
      <c r="BO14" s="0" t="n">
        <f aca="false">BP14+$C$30</f>
        <v>2.46438095171963</v>
      </c>
      <c r="BP14" s="0" t="n">
        <f aca="false">BL14*BM14</f>
        <v>0.664380951719633</v>
      </c>
      <c r="BQ14" s="0" t="n">
        <f aca="false">BR14+$AC$77*BE14^2</f>
        <v>0.329493015568686</v>
      </c>
      <c r="BR14" s="0" t="n">
        <f aca="false">$AC$54*$AC$56*(BD14/$C$20)^3</f>
        <v>0.138589718451356</v>
      </c>
      <c r="BS14" s="0" t="n">
        <f aca="false">BF14*BG14*1000</f>
        <v>0.128946598080343</v>
      </c>
      <c r="CW14" s="0" t="n">
        <f aca="false">CW13+1</f>
        <v>10</v>
      </c>
      <c r="CX14" s="0" t="n">
        <f aca="false">IF(DC13&gt;0,DB13,CX13)</f>
        <v>0</v>
      </c>
      <c r="CY14" s="0" t="n">
        <f aca="false">IF(DC13&lt;0,DB13,CY13)</f>
        <v>0.9765625</v>
      </c>
      <c r="CZ14" s="0" t="n">
        <f aca="false">$C$6+$C$7*CX14+$C$8*CX14^2+$C$9*CX14^3+$C$10*CX14^4+$C$11*CX14^5</f>
        <v>10</v>
      </c>
      <c r="DA14" s="0" t="n">
        <f aca="false">$C$6+$C$7*CY14+$C$8*CY14^2+$C$9*CY14^3+$C$10*CY14^4+$C$11*CY14^5</f>
        <v>-97646.25</v>
      </c>
      <c r="DB14" s="0" t="n">
        <f aca="false">(CX14+CY14)/2</f>
        <v>0.48828125</v>
      </c>
      <c r="DC14" s="0" t="n">
        <f aca="false">$C$6+$C$7*DB14+$C$8*DB14^2+$C$9*DB14^3+$C$10*DB14^4+$C$11*DB14^5</f>
        <v>-48818.125</v>
      </c>
      <c r="DE14" s="6"/>
      <c r="DH14" s="0" t="n">
        <f aca="false">DH13-$DI$6</f>
        <v>9.69999998412519E-005</v>
      </c>
      <c r="DI14" s="6" t="n">
        <f aca="false">$C$6+$C$7*DH14+$C$8*DH14^2+$C$9*DH14^3+$C$10*DH14^4+$C$11*DH14^5</f>
        <v>0.300000015874815</v>
      </c>
      <c r="DJ14" s="0" t="n">
        <f aca="false">DH14*DI14*1000</f>
        <v>0.0291000014922326</v>
      </c>
      <c r="DK14" s="0" t="n">
        <f aca="false">MIN(MAX(0.2,$E$5*SQRT(DH14)*($C$4/DI14/1000)^0.75),5)</f>
        <v>2.54433051428948</v>
      </c>
      <c r="DL14" s="0" t="n">
        <f aca="false">$AH$42+($AI$42-$AH$42)*($DK14-$AH$41)/($AI$41-$AH$41)</f>
        <v>1.19167546095362</v>
      </c>
      <c r="DM14" s="0" t="n">
        <f aca="false">$AH$43+($AI$43-$AH$43)*($DK14-$AH$41)/($AI$41-$AH$41)</f>
        <v>-2.56764261048142</v>
      </c>
      <c r="DN14" s="0" t="n">
        <f aca="false">$AH$44+($AI$44-$AH$44)*($DK14-$AH$41)/($AI$41-$AH$41)</f>
        <v>4.23189547334031</v>
      </c>
      <c r="DO14" s="0" t="n">
        <f aca="false">$AH$45+($AI$45-$AH$45)*($DK14-$AH$41)/($AI$41-$AH$41)</f>
        <v>-1.85592832381251</v>
      </c>
      <c r="DP14" s="0" t="n">
        <f aca="false">($DL14+$DM14*($DH13/$DH14)+$DN14*($DH13/$DH14)^2+$DO14*($DH13/$DH14)^3)</f>
        <v>1.00324117585313</v>
      </c>
      <c r="DQ14" s="0" t="n">
        <f aca="false">(DL14+DM14+DN14+DO14)</f>
        <v>1</v>
      </c>
      <c r="DR14" s="0" t="n">
        <f aca="false">($DL14+$DM14*($DH15/$DH14)+$DN14*($DH15/$DH14)^2+$DO14*($DH15/$DH14)^3)</f>
        <v>0.996474864215295</v>
      </c>
      <c r="DS14" s="0" t="n">
        <f aca="false">DJ13/DP14</f>
        <v>0.019536679725118</v>
      </c>
      <c r="DT14" s="0" t="n">
        <f aca="false">DJ14/DQ14</f>
        <v>0.0291000014922326</v>
      </c>
      <c r="DU14" s="0" t="n">
        <f aca="false">DJ15/DR14</f>
        <v>0.0385358455335105</v>
      </c>
      <c r="DV14" s="0" t="n">
        <f aca="false">DU14-DS14</f>
        <v>0.0189991658083925</v>
      </c>
      <c r="DW14" s="0" t="n">
        <f aca="false">IF((DT14-DS14)*(DU14-DT14)&lt;0,1,0)</f>
        <v>0</v>
      </c>
      <c r="DX14" s="0" t="n">
        <f aca="false">ABS(DV14)/(ABS(DV14)+ABS(DV15))</f>
        <v>0.504119394557057</v>
      </c>
      <c r="DY14" s="0" t="n">
        <f aca="false">DH14+DX14*(DH15-DH14)</f>
        <v>9.64958804475198E-005</v>
      </c>
    </row>
    <row r="15" customFormat="false" ht="12.8" hidden="false" customHeight="false" outlineLevel="0" collapsed="false">
      <c r="B15" s="0" t="s">
        <v>94</v>
      </c>
      <c r="C15" s="5" t="n">
        <v>6</v>
      </c>
      <c r="D15" s="0" t="s">
        <v>95</v>
      </c>
      <c r="V15" s="0" t="s">
        <v>96</v>
      </c>
      <c r="X15" s="0" t="n">
        <f aca="false">DB2*X5</f>
        <v>9.99999998363421E-005</v>
      </c>
      <c r="Y15" s="0" t="n">
        <f aca="false">DB2*Y5</f>
        <v>4.99999999181711E-005</v>
      </c>
      <c r="AA15" s="0" t="n">
        <f aca="false">AA14+0.05</f>
        <v>0.6</v>
      </c>
      <c r="AB15" s="0" t="n">
        <f aca="false">AC15/$X$16</f>
        <v>1.73172397287963</v>
      </c>
      <c r="AC15" s="0" t="n">
        <f aca="false">AA15*$X$15</f>
        <v>5.99999999018053E-005</v>
      </c>
      <c r="AJ15" s="0" t="n">
        <f aca="false">$X$8+$X$9*AC15+$X$10*AC15^2+$X$11*AC15^3+$X$12*AC15^4+$X$13*AC15^5</f>
        <v>4.00000000981947</v>
      </c>
      <c r="AK15" s="0" t="n">
        <f aca="false">$X$17*AC15^2</f>
        <v>7.19999997643326</v>
      </c>
      <c r="AL15" s="0" t="n">
        <f aca="false">AY15/$AC$51</f>
        <v>0.00277852105675076</v>
      </c>
      <c r="AM15" s="0" t="n">
        <f aca="false">AZ15/AY15</f>
        <v>0.824838515018767</v>
      </c>
      <c r="AN15" s="0" t="n">
        <f aca="false">AX15/AW15</f>
        <v>0.461654998096778</v>
      </c>
      <c r="AO15" s="0" t="n">
        <f aca="false">AZ15/AV15</f>
        <v>0.0780938506352335</v>
      </c>
      <c r="AP15" s="0" t="n">
        <f aca="false">AL15+$X$18</f>
        <v>0.00561298905293311</v>
      </c>
      <c r="AQ15" s="0" t="n">
        <f aca="false">AP15/$C$40</f>
        <v>0.337992725468582</v>
      </c>
      <c r="AR15" s="0" t="n">
        <f aca="false">AQ15*$C$39+$C$40*$AC$51</f>
        <v>3.76701993264917</v>
      </c>
      <c r="AS15" s="0" t="n">
        <f aca="false">AY15/$AC$51^3</f>
        <v>2.53370738020632E-007</v>
      </c>
      <c r="AU15" s="0" t="n">
        <f aca="false">(-$AV$32+SQRT($AV$32^2-4*AS15*$AV$33))/(2*AS15)*30/PI()</f>
        <v>1429.26882674294</v>
      </c>
      <c r="AV15" s="0" t="n">
        <f aca="false">AW15+$C$30</f>
        <v>3.07322533393057</v>
      </c>
      <c r="AW15" s="0" t="n">
        <f aca="false">AR15*AQ15</f>
        <v>1.27322533393057</v>
      </c>
      <c r="AX15" s="0" t="n">
        <f aca="false">AP15*$AC$51</f>
        <v>0.587790839112486</v>
      </c>
      <c r="AY15" s="0" t="n">
        <f aca="false">$AC$54*($AC$42+$AC$43*AB15+$AC$44*AB15^2+$AC$45*AB15^3)</f>
        <v>0.290966044657758</v>
      </c>
      <c r="AZ15" s="0" t="n">
        <f aca="false">AJ15*AC15*1000</f>
        <v>0.240000000196389</v>
      </c>
      <c r="BC15" s="0" t="n">
        <f aca="false">BC14+0.05</f>
        <v>0.6</v>
      </c>
      <c r="BD15" s="0" t="n">
        <f aca="false">BC15*$AU$28</f>
        <v>874.873350368639</v>
      </c>
      <c r="BE15" s="0" t="n">
        <f aca="false">BD15*PI()/30</f>
        <v>91.6165230113202</v>
      </c>
      <c r="BF15" s="0" t="n">
        <f aca="false">$C$22*BD15/$C$20</f>
        <v>4.3743667518432E-005</v>
      </c>
      <c r="BG15" s="0" t="n">
        <f aca="false">$X$17*BF15^2</f>
        <v>3.82701689592624</v>
      </c>
      <c r="BH15" s="0" t="n">
        <f aca="false">BQ15/BE15</f>
        <v>0.00444371642735892</v>
      </c>
      <c r="BJ15" s="0" t="n">
        <f aca="false">BO15/$C$15</f>
        <v>0.439453958562599</v>
      </c>
      <c r="BK15" s="0" t="n">
        <f aca="false">BP15/$C$15</f>
        <v>0.139453958562599</v>
      </c>
      <c r="BL15" s="0" t="n">
        <f aca="false">BH15/$C$40</f>
        <v>0.267583601594181</v>
      </c>
      <c r="BM15" s="0" t="n">
        <f aca="false">BL15*$C$39+$C$40*BE15</f>
        <v>3.12696199016176</v>
      </c>
      <c r="BO15" s="0" t="n">
        <f aca="false">BP15+$C$30</f>
        <v>2.63672375137559</v>
      </c>
      <c r="BP15" s="0" t="n">
        <f aca="false">BL15*BM15</f>
        <v>0.836723751375592</v>
      </c>
      <c r="BQ15" s="0" t="n">
        <f aca="false">BR15+$AC$77*BE15^2</f>
        <v>0.407117848322911</v>
      </c>
      <c r="BR15" s="0" t="n">
        <f aca="false">$AC$54*$AC$56*(BD15/$C$20)^3</f>
        <v>0.179927147621295</v>
      </c>
      <c r="BS15" s="0" t="n">
        <f aca="false">BF15*BG15*1000</f>
        <v>0.167407754682819</v>
      </c>
      <c r="CW15" s="0" t="n">
        <f aca="false">CW14+1</f>
        <v>11</v>
      </c>
      <c r="CX15" s="0" t="n">
        <f aca="false">IF(DC14&gt;0,DB14,CX14)</f>
        <v>0</v>
      </c>
      <c r="CY15" s="0" t="n">
        <f aca="false">IF(DC14&lt;0,DB14,CY14)</f>
        <v>0.48828125</v>
      </c>
      <c r="CZ15" s="0" t="n">
        <f aca="false">$C$6+$C$7*CX15+$C$8*CX15^2+$C$9*CX15^3+$C$10*CX15^4+$C$11*CX15^5</f>
        <v>10</v>
      </c>
      <c r="DA15" s="0" t="n">
        <f aca="false">$C$6+$C$7*CY15+$C$8*CY15^2+$C$9*CY15^3+$C$10*CY15^4+$C$11*CY15^5</f>
        <v>-48818.125</v>
      </c>
      <c r="DB15" s="0" t="n">
        <f aca="false">(CX15+CY15)/2</f>
        <v>0.244140625</v>
      </c>
      <c r="DC15" s="0" t="n">
        <f aca="false">$C$6+$C$7*DB15+$C$8*DB15^2+$C$9*DB15^3+$C$10*DB15^4+$C$11*DB15^5</f>
        <v>-24404.0625</v>
      </c>
      <c r="DE15" s="6"/>
      <c r="DH15" s="0" t="n">
        <f aca="false">DH14-$DI$6</f>
        <v>9.59999998428884E-005</v>
      </c>
      <c r="DI15" s="6" t="n">
        <f aca="false">$C$6+$C$7*DH15+$C$8*DH15^2+$C$9*DH15^3+$C$10*DH15^4+$C$11*DH15^5</f>
        <v>0.400000015711157</v>
      </c>
      <c r="DJ15" s="0" t="n">
        <f aca="false">DH15*DI15*1000</f>
        <v>0.0384000014454265</v>
      </c>
      <c r="DK15" s="0" t="n">
        <f aca="false">MIN(MAX(0.2,$E$5*SQRT(DH15)*($C$4/DI15/1000)^0.75),5)</f>
        <v>2.03994861446283</v>
      </c>
      <c r="DL15" s="0" t="n">
        <f aca="false">$AH$42+($AI$42-$AH$42)*($DK15-$AH$41)/($AI$41-$AH$41)</f>
        <v>1.02564975226068</v>
      </c>
      <c r="DM15" s="0" t="n">
        <f aca="false">$AH$43+($AI$43-$AH$43)*($DK15-$AH$41)/($AI$41-$AH$41)</f>
        <v>-1.86676192884731</v>
      </c>
      <c r="DN15" s="0" t="n">
        <f aca="false">$AH$44+($AI$44-$AH$44)*($DK15-$AH$41)/($AI$41-$AH$41)</f>
        <v>3.29773816303637</v>
      </c>
      <c r="DO15" s="0" t="n">
        <f aca="false">$AH$45+($AI$45-$AH$45)*($DK15-$AH$41)/($AI$41-$AH$41)</f>
        <v>-1.45662598644974</v>
      </c>
      <c r="DP15" s="0" t="n">
        <f aca="false">($DL15+$DM15*($DH14/$DH15)+$DN15*($DH14/$DH15)^2+$DO15*($DH14/$DH15)^3)</f>
        <v>1.0036198985517</v>
      </c>
      <c r="DQ15" s="0" t="n">
        <f aca="false">(DL15+DM15+DN15+DO15)</f>
        <v>1</v>
      </c>
      <c r="DR15" s="0" t="n">
        <f aca="false">($DL15+$DM15*($DH16/$DH15)+$DN15*($DH16/$DH15)^2+$DO15*($DH16/$DH15)^3)</f>
        <v>0.996147432221672</v>
      </c>
      <c r="DS15" s="0" t="n">
        <f aca="false">DJ14/DP15</f>
        <v>0.0289950423803137</v>
      </c>
      <c r="DT15" s="0" t="n">
        <f aca="false">DJ15/DQ15</f>
        <v>0.0384000014454265</v>
      </c>
      <c r="DU15" s="0" t="n">
        <f aca="false">DJ16/DR15</f>
        <v>0.0476837061089816</v>
      </c>
      <c r="DV15" s="0" t="n">
        <f aca="false">DU15-DS15</f>
        <v>0.0186886637286679</v>
      </c>
      <c r="DW15" s="0" t="n">
        <f aca="false">IF((DT15-DS15)*(DU15-DT15)&lt;0,1,0)</f>
        <v>0</v>
      </c>
      <c r="DX15" s="0" t="n">
        <f aca="false">ABS(DV15)/(ABS(DV15)+ABS(DV16))</f>
        <v>0.504168677141552</v>
      </c>
      <c r="DY15" s="0" t="n">
        <f aca="false">DH15+DX15*(DH16-DH15)</f>
        <v>9.5495831166572E-005</v>
      </c>
    </row>
    <row r="16" customFormat="false" ht="12.8" hidden="false" customHeight="false" outlineLevel="0" collapsed="false">
      <c r="B16" s="0" t="s">
        <v>97</v>
      </c>
      <c r="C16" s="5" t="n">
        <v>1</v>
      </c>
      <c r="D16" s="0" t="s">
        <v>98</v>
      </c>
      <c r="V16" s="0" t="s">
        <v>69</v>
      </c>
      <c r="X16" s="0" t="n">
        <f aca="false">AC53</f>
        <v>3.46475540221535E-005</v>
      </c>
      <c r="Y16" s="0" t="n">
        <f aca="false">AD53</f>
        <v>1.73237770110767E-005</v>
      </c>
      <c r="AA16" s="0" t="n">
        <f aca="false">AA15+0.05</f>
        <v>0.65</v>
      </c>
      <c r="AB16" s="0" t="n">
        <f aca="false">AC16/$X$16</f>
        <v>1.87603430395293</v>
      </c>
      <c r="AC16" s="0" t="n">
        <f aca="false">AA16*$X$15</f>
        <v>6.49999998936224E-005</v>
      </c>
      <c r="AJ16" s="0" t="n">
        <f aca="false">$X$8+$X$9*AC16+$X$10*AC16^2+$X$11*AC16^3+$X$12*AC16^4+$X$13*AC16^5</f>
        <v>3.50000001063776</v>
      </c>
      <c r="AK16" s="0" t="n">
        <f aca="false">$X$17*AC16^2</f>
        <v>8.44999997234182</v>
      </c>
      <c r="AL16" s="0" t="n">
        <f aca="false">AY16/$AC$51</f>
        <v>0.00286999303643506</v>
      </c>
      <c r="AM16" s="0" t="n">
        <f aca="false">AZ16/AY16</f>
        <v>0.756958274348421</v>
      </c>
      <c r="AN16" s="0" t="n">
        <f aca="false">AX16/AW16</f>
        <v>0.457640062302157</v>
      </c>
      <c r="AO16" s="0" t="n">
        <f aca="false">AZ16/AV16</f>
        <v>0.0732612143848312</v>
      </c>
      <c r="AP16" s="0" t="n">
        <f aca="false">AL16+$X$18</f>
        <v>0.0057044610326174</v>
      </c>
      <c r="AQ16" s="0" t="n">
        <f aca="false">AP16/$C$40</f>
        <v>0.343500818113328</v>
      </c>
      <c r="AR16" s="0" t="n">
        <f aca="false">AQ16*$C$39+$C$40*$AC$51</f>
        <v>3.80006848851765</v>
      </c>
      <c r="AS16" s="0" t="n">
        <f aca="false">AY16/$AC$51^3</f>
        <v>2.6171198234718E-007</v>
      </c>
      <c r="AU16" s="0" t="n">
        <f aca="false">(-$AV$32+SQRT($AV$32^2-4*AS16*$AV$33))/(2*AS16)*30/PI()</f>
        <v>1417.45566726305</v>
      </c>
      <c r="AV16" s="0" t="n">
        <f aca="false">AW16+$C$30</f>
        <v>3.10532663469249</v>
      </c>
      <c r="AW16" s="0" t="n">
        <f aca="false">AR16*AQ16</f>
        <v>1.30532663469249</v>
      </c>
      <c r="AX16" s="0" t="n">
        <f aca="false">AP16*$AC$51</f>
        <v>0.597369762425336</v>
      </c>
      <c r="AY16" s="0" t="n">
        <f aca="false">$AC$54*($AC$42+$AC$43*AB16+$AC$44*AB16^2+$AC$45*AB16^3)</f>
        <v>0.300544967970608</v>
      </c>
      <c r="AZ16" s="0" t="n">
        <f aca="false">AJ16*AC16*1000</f>
        <v>0.227500000319133</v>
      </c>
      <c r="BC16" s="0" t="n">
        <f aca="false">BC15+0.05</f>
        <v>0.65</v>
      </c>
      <c r="BD16" s="0" t="n">
        <f aca="false">BC16*$AU$28</f>
        <v>947.779462899359</v>
      </c>
      <c r="BE16" s="0" t="n">
        <f aca="false">BD16*PI()/30</f>
        <v>99.2512332622636</v>
      </c>
      <c r="BF16" s="0" t="n">
        <f aca="false">$C$22*BD16/$C$20</f>
        <v>4.7388973144968E-005</v>
      </c>
      <c r="BG16" s="0" t="n">
        <f aca="false">$X$17*BF16^2</f>
        <v>4.49142955146899</v>
      </c>
      <c r="BH16" s="0" t="n">
        <f aca="false">BQ16/BE16</f>
        <v>0.00499132409418981</v>
      </c>
      <c r="BJ16" s="0" t="n">
        <f aca="false">BO16/$C$15</f>
        <v>0.47290122126817</v>
      </c>
      <c r="BK16" s="0" t="n">
        <f aca="false">BP16/$C$15</f>
        <v>0.172901221268169</v>
      </c>
      <c r="BL16" s="0" t="n">
        <f aca="false">BH16/$C$40</f>
        <v>0.300558440143518</v>
      </c>
      <c r="BM16" s="0" t="n">
        <f aca="false">BL16*$C$39+$C$40*BE16</f>
        <v>3.4515993865075</v>
      </c>
      <c r="BO16" s="0" t="n">
        <f aca="false">BP16+$C$30</f>
        <v>2.83740732760902</v>
      </c>
      <c r="BP16" s="0" t="n">
        <f aca="false">BL16*BM16</f>
        <v>1.03740732760902</v>
      </c>
      <c r="BQ16" s="0" t="n">
        <f aca="false">BR16+$AC$77*BE16^2</f>
        <v>0.495395071959989</v>
      </c>
      <c r="BR16" s="0" t="n">
        <f aca="false">$AC$54*$AC$56*(BD16/$C$20)^3</f>
        <v>0.228761541275455</v>
      </c>
      <c r="BS16" s="0" t="n">
        <f aca="false">BF16*BG16*1000</f>
        <v>0.21284423439708</v>
      </c>
      <c r="CW16" s="0" t="n">
        <f aca="false">CW15+1</f>
        <v>12</v>
      </c>
      <c r="CX16" s="0" t="n">
        <f aca="false">IF(DC15&gt;0,DB15,CX15)</f>
        <v>0</v>
      </c>
      <c r="CY16" s="0" t="n">
        <f aca="false">IF(DC15&lt;0,DB15,CY15)</f>
        <v>0.244140625</v>
      </c>
      <c r="CZ16" s="0" t="n">
        <f aca="false">$C$6+$C$7*CX16+$C$8*CX16^2+$C$9*CX16^3+$C$10*CX16^4+$C$11*CX16^5</f>
        <v>10</v>
      </c>
      <c r="DA16" s="0" t="n">
        <f aca="false">$C$6+$C$7*CY16+$C$8*CY16^2+$C$9*CY16^3+$C$10*CY16^4+$C$11*CY16^5</f>
        <v>-24404.0625</v>
      </c>
      <c r="DB16" s="0" t="n">
        <f aca="false">(CX16+CY16)/2</f>
        <v>0.1220703125</v>
      </c>
      <c r="DC16" s="0" t="n">
        <f aca="false">$C$6+$C$7*DB16+$C$8*DB16^2+$C$9*DB16^3+$C$10*DB16^4+$C$11*DB16^5</f>
        <v>-12197.03125</v>
      </c>
      <c r="DE16" s="6"/>
      <c r="DH16" s="0" t="n">
        <f aca="false">DH15-$DI$6</f>
        <v>9.4999999844525E-005</v>
      </c>
      <c r="DI16" s="6" t="n">
        <f aca="false">$C$6+$C$7*DH16+$C$8*DH16^2+$C$9*DH16^3+$C$10*DH16^4+$C$11*DH16^5</f>
        <v>0.500000015547499</v>
      </c>
      <c r="DJ16" s="0" t="n">
        <f aca="false">DH16*DI16*1000</f>
        <v>0.0475000013992749</v>
      </c>
      <c r="DK16" s="0" t="n">
        <f aca="false">MIN(MAX(0.2,$E$5*SQRT(DH16)*($C$4/DI16/1000)^0.75),5)</f>
        <v>1.71657548878515</v>
      </c>
      <c r="DL16" s="0" t="n">
        <f aca="false">$AH$42+($AI$42-$AH$42)*($DK16-$AH$41)/($AI$41-$AH$41)</f>
        <v>0.91920609839178</v>
      </c>
      <c r="DM16" s="0" t="n">
        <f aca="false">$AH$43+($AI$43-$AH$43)*($DK16-$AH$41)/($AI$41-$AH$41)</f>
        <v>-1.4174080229577</v>
      </c>
      <c r="DN16" s="0" t="n">
        <f aca="false">$AH$44+($AI$44-$AH$44)*($DK16-$AH$41)/($AI$41-$AH$41)</f>
        <v>2.69882418652084</v>
      </c>
      <c r="DO16" s="0" t="n">
        <f aca="false">$AH$45+($AI$45-$AH$45)*($DK16-$AH$41)/($AI$41-$AH$41)</f>
        <v>-1.20062226195491</v>
      </c>
      <c r="DP16" s="0" t="n">
        <f aca="false">($DL16+$DM16*($DH15/$DH16)+$DN16*($DH15/$DH16)^2+$DO16*($DH15/$DH16)^3)</f>
        <v>1.00388141915484</v>
      </c>
      <c r="DQ16" s="0" t="n">
        <f aca="false">(DL16+DM16+DN16+DO16)</f>
        <v>1</v>
      </c>
      <c r="DR16" s="0" t="n">
        <f aca="false">($DL16+$DM16*($DH17/$DH16)+$DN16*($DH17/$DH16)^2+$DO16*($DH17/$DH16)^3)</f>
        <v>0.995918460601541</v>
      </c>
      <c r="DS16" s="0" t="n">
        <f aca="false">DJ15/DP16</f>
        <v>0.0382515312194494</v>
      </c>
      <c r="DT16" s="0" t="n">
        <f aca="false">DJ16/DQ16</f>
        <v>0.0475000013992749</v>
      </c>
      <c r="DU16" s="0" t="n">
        <f aca="false">DJ17/DR16</f>
        <v>0.0566311435975512</v>
      </c>
      <c r="DV16" s="0" t="n">
        <f aca="false">DU16-DS16</f>
        <v>0.0183796123781018</v>
      </c>
      <c r="DW16" s="0" t="n">
        <f aca="false">IF((DT16-DS16)*(DU16-DT16)&lt;0,1,0)</f>
        <v>0</v>
      </c>
      <c r="DX16" s="0" t="n">
        <f aca="false">ABS(DV16)/(ABS(DV16)+ABS(DV17))</f>
        <v>0.504226190091402</v>
      </c>
      <c r="DY16" s="0" t="n">
        <f aca="false">DH16+DX16*(DH17-DH16)</f>
        <v>9.44957736552588E-005</v>
      </c>
    </row>
    <row r="17" customFormat="false" ht="12.8" hidden="false" customHeight="false" outlineLevel="0" collapsed="false">
      <c r="B17" s="0" t="s">
        <v>99</v>
      </c>
      <c r="C17" s="5" t="n">
        <v>1000</v>
      </c>
      <c r="D17" s="0" t="s">
        <v>54</v>
      </c>
      <c r="N17" s="7" t="s">
        <v>100</v>
      </c>
      <c r="P17" s="1" t="s">
        <v>101</v>
      </c>
      <c r="V17" s="0" t="s">
        <v>102</v>
      </c>
      <c r="X17" s="0" t="n">
        <f aca="false">AJ28/AC28^2</f>
        <v>2000000000</v>
      </c>
      <c r="Z17" s="0" t="s">
        <v>103</v>
      </c>
      <c r="AA17" s="0" t="n">
        <f aca="false">AA16+0.05</f>
        <v>0.7</v>
      </c>
      <c r="AB17" s="0" t="n">
        <f aca="false">AC17/$X$16</f>
        <v>2.02034463502624</v>
      </c>
      <c r="AC17" s="0" t="n">
        <f aca="false">AA17*$X$15</f>
        <v>6.99999998854395E-005</v>
      </c>
      <c r="AJ17" s="0" t="n">
        <f aca="false">$X$8+$X$9*AC17+$X$10*AC17^2+$X$11*AC17^3+$X$12*AC17^4+$X$13*AC17^5</f>
        <v>3.00000001145605</v>
      </c>
      <c r="AK17" s="0" t="n">
        <f aca="false">$X$17*AC17^2</f>
        <v>9.79999996792305</v>
      </c>
      <c r="AL17" s="0" t="n">
        <f aca="false">AY17/$AC$51</f>
        <v>0.0029515584455795</v>
      </c>
      <c r="AM17" s="0" t="n">
        <f aca="false">AZ17/AY17</f>
        <v>0.679421507081167</v>
      </c>
      <c r="AN17" s="0" t="n">
        <f aca="false">AX17/AW17</f>
        <v>0.454118396829757</v>
      </c>
      <c r="AO17" s="0" t="n">
        <f aca="false">AZ17/AV17</f>
        <v>0.0670014962535497</v>
      </c>
      <c r="AP17" s="0" t="n">
        <f aca="false">AL17+$X$18</f>
        <v>0.00578602644176185</v>
      </c>
      <c r="AQ17" s="0" t="n">
        <f aca="false">AP17/$C$40</f>
        <v>0.348412374982709</v>
      </c>
      <c r="AR17" s="0" t="n">
        <f aca="false">AQ17*$C$39+$C$40*$AC$51</f>
        <v>3.82953782973393</v>
      </c>
      <c r="AS17" s="0" t="n">
        <f aca="false">AY17/$AC$51^3</f>
        <v>2.69149855766088E-007</v>
      </c>
      <c r="AU17" s="0" t="n">
        <f aca="false">(-$AV$32+SQRT($AV$32^2-4*AS17*$AV$33))/(2*AS17)*30/PI()</f>
        <v>1407.203581853</v>
      </c>
      <c r="AV17" s="0" t="n">
        <f aca="false">AW17+$C$30</f>
        <v>3.13425837034373</v>
      </c>
      <c r="AW17" s="0" t="n">
        <f aca="false">AR17*AQ17</f>
        <v>1.33425837034373</v>
      </c>
      <c r="AX17" s="0" t="n">
        <f aca="false">AP17*$AC$51</f>
        <v>0.605911272097177</v>
      </c>
      <c r="AY17" s="0" t="n">
        <f aca="false">$AC$54*($AC$42+$AC$43*AB17+$AC$44*AB17^2+$AC$45*AB17^3)</f>
        <v>0.309086477642449</v>
      </c>
      <c r="AZ17" s="0" t="n">
        <f aca="false">AJ17*AC17*1000</f>
        <v>0.210000000458242</v>
      </c>
      <c r="BC17" s="0" t="n">
        <f aca="false">BC16+0.05</f>
        <v>0.7</v>
      </c>
      <c r="BD17" s="0" t="n">
        <f aca="false">BC17*$AU$28</f>
        <v>1020.68557543008</v>
      </c>
      <c r="BE17" s="0" t="n">
        <f aca="false">BD17*PI()/30</f>
        <v>106.885943513207</v>
      </c>
      <c r="BF17" s="0" t="n">
        <f aca="false">$C$22*BD17/$C$20</f>
        <v>5.1034278771504E-005</v>
      </c>
      <c r="BG17" s="0" t="n">
        <f aca="false">$X$17*BF17^2</f>
        <v>5.20899521945516</v>
      </c>
      <c r="BH17" s="0" t="n">
        <f aca="false">BQ17/BE17</f>
        <v>0.00556620837095162</v>
      </c>
      <c r="BJ17" s="0" t="n">
        <f aca="false">BO17/$C$15</f>
        <v>0.511501036910088</v>
      </c>
      <c r="BK17" s="0" t="n">
        <f aca="false">BP17/$C$15</f>
        <v>0.211501036910087</v>
      </c>
      <c r="BL17" s="0" t="n">
        <f aca="false">BH17/$C$40</f>
        <v>0.335175771782571</v>
      </c>
      <c r="BM17" s="0" t="n">
        <f aca="false">BL17*$C$39+$C$40*BE17</f>
        <v>3.78609174139154</v>
      </c>
      <c r="BO17" s="0" t="n">
        <f aca="false">BP17+$C$30</f>
        <v>3.06900622146052</v>
      </c>
      <c r="BP17" s="0" t="n">
        <f aca="false">BL17*BM17</f>
        <v>1.26900622146052</v>
      </c>
      <c r="BQ17" s="0" t="n">
        <f aca="false">BR17+$AC$77*BE17^2</f>
        <v>0.594949433520274</v>
      </c>
      <c r="BR17" s="0" t="n">
        <f aca="false">$AC$54*$AC$56*(BD17/$C$20)^3</f>
        <v>0.285717646454186</v>
      </c>
      <c r="BS17" s="0" t="n">
        <f aca="false">BF17*BG17*1000</f>
        <v>0.265837314149106</v>
      </c>
      <c r="CW17" s="0" t="n">
        <f aca="false">CW16+1</f>
        <v>13</v>
      </c>
      <c r="CX17" s="0" t="n">
        <f aca="false">IF(DC16&gt;0,DB16,CX16)</f>
        <v>0</v>
      </c>
      <c r="CY17" s="0" t="n">
        <f aca="false">IF(DC16&lt;0,DB16,CY16)</f>
        <v>0.1220703125</v>
      </c>
      <c r="CZ17" s="0" t="n">
        <f aca="false">$C$6+$C$7*CX17+$C$8*CX17^2+$C$9*CX17^3+$C$10*CX17^4+$C$11*CX17^5</f>
        <v>10</v>
      </c>
      <c r="DA17" s="0" t="n">
        <f aca="false">$C$6+$C$7*CY17+$C$8*CY17^2+$C$9*CY17^3+$C$10*CY17^4+$C$11*CY17^5</f>
        <v>-12197.03125</v>
      </c>
      <c r="DB17" s="0" t="n">
        <f aca="false">(CX17+CY17)/2</f>
        <v>0.06103515625</v>
      </c>
      <c r="DC17" s="0" t="n">
        <f aca="false">$C$6+$C$7*DB17+$C$8*DB17^2+$C$9*DB17^3+$C$10*DB17^4+$C$11*DB17^5</f>
        <v>-6093.515625</v>
      </c>
      <c r="DE17" s="6"/>
      <c r="DH17" s="0" t="n">
        <f aca="false">DH16-$DI$6</f>
        <v>9.39999998461616E-005</v>
      </c>
      <c r="DI17" s="6" t="n">
        <f aca="false">$C$6+$C$7*DH17+$C$8*DH17^2+$C$9*DH17^3+$C$10*DH17^4+$C$11*DH17^5</f>
        <v>0.600000015383841</v>
      </c>
      <c r="DJ17" s="0" t="n">
        <f aca="false">DH17*DI17*1000</f>
        <v>0.056400001353778</v>
      </c>
      <c r="DK17" s="0" t="n">
        <f aca="false">MIN(MAX(0.2,$E$5*SQRT(DH17)*($C$4/DI17/1000)^0.75),5)</f>
        <v>1.48928939948175</v>
      </c>
      <c r="DL17" s="0" t="n">
        <f aca="false">$AH$42+($AI$42-$AH$42)*($DK17-$AH$41)/($AI$41-$AH$41)</f>
        <v>0.844391093996076</v>
      </c>
      <c r="DM17" s="0" t="n">
        <f aca="false">$AH$43+($AI$43-$AH$43)*($DK17-$AH$41)/($AI$41-$AH$41)</f>
        <v>-1.10157506136318</v>
      </c>
      <c r="DN17" s="0" t="n">
        <f aca="false">$AH$44+($AI$44-$AH$44)*($DK17-$AH$41)/($AI$41-$AH$41)</f>
        <v>2.27787140862349</v>
      </c>
      <c r="DO17" s="0" t="n">
        <f aca="false">$AH$45+($AI$45-$AH$45)*($DK17-$AH$41)/($AI$41-$AH$41)</f>
        <v>-1.02068744125639</v>
      </c>
      <c r="DP17" s="0" t="n">
        <f aca="false">($DL17+$DM17*($DH16/$DH17)+$DN17*($DH16/$DH17)^2+$DO17*($DH16/$DH17)^3)</f>
        <v>1.00408135596725</v>
      </c>
      <c r="DQ17" s="0" t="n">
        <f aca="false">(DL17+DM17+DN17+DO17)</f>
        <v>1</v>
      </c>
      <c r="DR17" s="0" t="n">
        <f aca="false">($DL17+$DM17*($DH18/$DH17)+$DN17*($DH18/$DH17)^2+$DO17*($DH18/$DH17)^3)</f>
        <v>0.995741144957346</v>
      </c>
      <c r="DS17" s="0" t="n">
        <f aca="false">DJ16/DP17</f>
        <v>0.0473069249986396</v>
      </c>
      <c r="DT17" s="0" t="n">
        <f aca="false">DJ17/DQ17</f>
        <v>0.056400001353778</v>
      </c>
      <c r="DU17" s="0" t="n">
        <f aca="false">DJ18/DR17</f>
        <v>0.0653784386018561</v>
      </c>
      <c r="DV17" s="0" t="n">
        <f aca="false">DU17-DS17</f>
        <v>0.0180715136032165</v>
      </c>
      <c r="DW17" s="0" t="n">
        <f aca="false">IF((DT17-DS17)*(DU17-DT17)&lt;0,1,0)</f>
        <v>0</v>
      </c>
      <c r="DX17" s="0" t="n">
        <f aca="false">ABS(DV17)/(ABS(DV17)+ABS(DV18))</f>
        <v>0.504289264475138</v>
      </c>
      <c r="DY17" s="0" t="n">
        <f aca="false">DH17+DX17*(DH18-DH17)</f>
        <v>9.34957105825118E-005</v>
      </c>
    </row>
    <row r="18" customFormat="false" ht="12.75" hidden="false" customHeight="false" outlineLevel="0" collapsed="false">
      <c r="V18" s="0" t="s">
        <v>104</v>
      </c>
      <c r="X18" s="0" t="n">
        <f aca="false">AC77*AC51</f>
        <v>0.00283446799618234</v>
      </c>
      <c r="Z18" s="0" t="s">
        <v>105</v>
      </c>
      <c r="AA18" s="0" t="n">
        <f aca="false">AA17+0.05</f>
        <v>0.75</v>
      </c>
      <c r="AB18" s="0" t="n">
        <f aca="false">AC18/$X$16</f>
        <v>2.16465496609954</v>
      </c>
      <c r="AC18" s="0" t="n">
        <f aca="false">AA18*$X$15</f>
        <v>7.49999998772566E-005</v>
      </c>
      <c r="AJ18" s="0" t="n">
        <f aca="false">$X$8+$X$9*AC18+$X$10*AC18^2+$X$11*AC18^3+$X$12*AC18^4+$X$13*AC18^5</f>
        <v>2.50000001227434</v>
      </c>
      <c r="AK18" s="0" t="n">
        <f aca="false">$X$17*AC18^2</f>
        <v>11.249999963177</v>
      </c>
      <c r="AL18" s="0" t="n">
        <f aca="false">AY18/$AC$51</f>
        <v>0.0030232172841841</v>
      </c>
      <c r="AM18" s="0" t="n">
        <f aca="false">AZ18/AY18</f>
        <v>0.592247578436164</v>
      </c>
      <c r="AN18" s="0" t="n">
        <f aca="false">AX18/AW18</f>
        <v>0.451068882508059</v>
      </c>
      <c r="AO18" s="0" t="n">
        <f aca="false">AZ18/AV18</f>
        <v>0.0593370381256523</v>
      </c>
      <c r="AP18" s="0" t="n">
        <f aca="false">AL18+$X$18</f>
        <v>0.00585768528036644</v>
      </c>
      <c r="AQ18" s="0" t="n">
        <f aca="false">AP18/$C$40</f>
        <v>0.352727396076724</v>
      </c>
      <c r="AR18" s="0" t="n">
        <f aca="false">AQ18*$C$39+$C$40*$AC$51</f>
        <v>3.85542795629802</v>
      </c>
      <c r="AS18" s="0" t="n">
        <f aca="false">AY18/$AC$51^3</f>
        <v>2.75684358277356E-007</v>
      </c>
      <c r="AU18" s="0" t="n">
        <f aca="false">(-$AV$32+SQRT($AV$32^2-4*AS18*$AV$33))/(2*AS18)*30/PI()</f>
        <v>1398.4061897777</v>
      </c>
      <c r="AV18" s="0" t="n">
        <f aca="false">AW18+$C$30</f>
        <v>3.1599150637864</v>
      </c>
      <c r="AW18" s="0" t="n">
        <f aca="false">AR18*AQ18</f>
        <v>1.3599150637864</v>
      </c>
      <c r="AX18" s="0" t="n">
        <f aca="false">AP18*$AC$51</f>
        <v>0.613415368128009</v>
      </c>
      <c r="AY18" s="0" t="n">
        <f aca="false">$AC$54*($AC$42+$AC$43*AB18+$AC$44*AB18^2+$AC$45*AB18^3)</f>
        <v>0.316590573673282</v>
      </c>
      <c r="AZ18" s="0" t="n">
        <f aca="false">AJ18*AC18*1000</f>
        <v>0.187500000613717</v>
      </c>
      <c r="BC18" s="0" t="n">
        <f aca="false">BC17+0.05</f>
        <v>0.75</v>
      </c>
      <c r="BD18" s="0" t="n">
        <f aca="false">BC18*$AU$28</f>
        <v>1093.5916879608</v>
      </c>
      <c r="BE18" s="0" t="n">
        <f aca="false">BD18*PI()/30</f>
        <v>114.52065376415</v>
      </c>
      <c r="BF18" s="0" t="n">
        <f aca="false">$C$22*BD18/$C$20</f>
        <v>5.467958439804E-005</v>
      </c>
      <c r="BG18" s="0" t="n">
        <f aca="false">$X$17*BF18^2</f>
        <v>5.97971389988475</v>
      </c>
      <c r="BH18" s="0" t="n">
        <f aca="false">BQ18/BE18</f>
        <v>0.00616836925764434</v>
      </c>
      <c r="BJ18" s="0" t="n">
        <f aca="false">BO18/$C$15</f>
        <v>0.555698682363087</v>
      </c>
      <c r="BK18" s="0" t="n">
        <f aca="false">BP18/$C$15</f>
        <v>0.255698682363087</v>
      </c>
      <c r="BL18" s="0" t="n">
        <f aca="false">BH18/$C$40</f>
        <v>0.371435596511339</v>
      </c>
      <c r="BM18" s="0" t="n">
        <f aca="false">BL18*$C$39+$C$40*BE18</f>
        <v>4.13043905481387</v>
      </c>
      <c r="BO18" s="0" t="n">
        <f aca="false">BP18+$C$30</f>
        <v>3.33419209417852</v>
      </c>
      <c r="BP18" s="0" t="n">
        <f aca="false">BL18*BM18</f>
        <v>1.53419209417852</v>
      </c>
      <c r="BQ18" s="0" t="n">
        <f aca="false">BR18+$AC$77*BE18^2</f>
        <v>0.706405680044116</v>
      </c>
      <c r="BR18" s="0" t="n">
        <f aca="false">$AC$54*$AC$56*(BD18/$C$20)^3</f>
        <v>0.351420210197842</v>
      </c>
      <c r="BS18" s="0" t="n">
        <f aca="false">BF18*BG18*1000</f>
        <v>0.326968270864881</v>
      </c>
      <c r="CW18" s="0" t="n">
        <f aca="false">CW17+1</f>
        <v>14</v>
      </c>
      <c r="CX18" s="0" t="n">
        <f aca="false">IF(DC17&gt;0,DB17,CX17)</f>
        <v>0</v>
      </c>
      <c r="CY18" s="0" t="n">
        <f aca="false">IF(DC17&lt;0,DB17,CY17)</f>
        <v>0.06103515625</v>
      </c>
      <c r="CZ18" s="0" t="n">
        <f aca="false">$C$6+$C$7*CX18+$C$8*CX18^2+$C$9*CX18^3+$C$10*CX18^4+$C$11*CX18^5</f>
        <v>10</v>
      </c>
      <c r="DA18" s="0" t="n">
        <f aca="false">$C$6+$C$7*CY18+$C$8*CY18^2+$C$9*CY18^3+$C$10*CY18^4+$C$11*CY18^5</f>
        <v>-6093.515625</v>
      </c>
      <c r="DB18" s="0" t="n">
        <f aca="false">(CX18+CY18)/2</f>
        <v>0.030517578125</v>
      </c>
      <c r="DC18" s="0" t="n">
        <f aca="false">$C$6+$C$7*DB18+$C$8*DB18^2+$C$9*DB18^3+$C$10*DB18^4+$C$11*DB18^5</f>
        <v>-3041.7578125</v>
      </c>
      <c r="DE18" s="6"/>
      <c r="DH18" s="0" t="n">
        <f aca="false">DH17-$DI$6</f>
        <v>9.29999998477982E-005</v>
      </c>
      <c r="DI18" s="6" t="n">
        <f aca="false">$C$6+$C$7*DH18+$C$8*DH18^2+$C$9*DH18^3+$C$10*DH18^4+$C$11*DH18^5</f>
        <v>0.700000015220184</v>
      </c>
      <c r="DJ18" s="0" t="n">
        <f aca="false">DH18*DI18*1000</f>
        <v>0.0651000013089358</v>
      </c>
      <c r="DK18" s="0" t="n">
        <f aca="false">MIN(MAX(0.2,$E$5*SQRT(DH18)*($C$4/DI18/1000)^0.75),5)</f>
        <v>1.31961290736104</v>
      </c>
      <c r="DL18" s="0" t="n">
        <f aca="false">$AH$42+($AI$42-$AH$42)*($DK18-$AH$41)/($AI$41-$AH$41)</f>
        <v>0.78853924867301</v>
      </c>
      <c r="DM18" s="0" t="n">
        <f aca="false">$AH$43+($AI$43-$AH$43)*($DK18-$AH$41)/($AI$41-$AH$41)</f>
        <v>-0.865795435853782</v>
      </c>
      <c r="DN18" s="0" t="n">
        <f aca="false">$AH$44+($AI$44-$AH$44)*($DK18-$AH$41)/($AI$41-$AH$41)</f>
        <v>1.96361640550826</v>
      </c>
      <c r="DO18" s="0" t="n">
        <f aca="false">$AH$45+($AI$45-$AH$45)*($DK18-$AH$41)/($AI$41-$AH$41)</f>
        <v>-0.886360218327492</v>
      </c>
      <c r="DP18" s="0" t="n">
        <f aca="false">($DL18+$DM18*($DH17/$DH18)+$DN18*($DH17/$DH18)^2+$DO18*($DH17/$DH18)^3)</f>
        <v>1.00424490461004</v>
      </c>
      <c r="DQ18" s="0" t="n">
        <f aca="false">(DL18+DM18+DN18+DO18)</f>
        <v>1</v>
      </c>
      <c r="DR18" s="0" t="n">
        <f aca="false">($DL18+$DM18*($DH19/$DH18)+$DN18*($DH19/$DH18)^2+$DO18*($DH19/$DH18)^3)</f>
        <v>0.995594275815562</v>
      </c>
      <c r="DS18" s="0" t="n">
        <f aca="false">DJ17/DP18</f>
        <v>0.0561616007159914</v>
      </c>
      <c r="DT18" s="0" t="n">
        <f aca="false">DJ18/DQ18</f>
        <v>0.0651000013089358</v>
      </c>
      <c r="DU18" s="0" t="n">
        <f aca="false">DJ19/DR18</f>
        <v>0.0739256974980669</v>
      </c>
      <c r="DV18" s="0" t="n">
        <f aca="false">DU18-DS18</f>
        <v>0.0177640967820755</v>
      </c>
      <c r="DW18" s="0" t="n">
        <f aca="false">IF((DT18-DS18)*(DU18-DT18)&lt;0,1,0)</f>
        <v>0</v>
      </c>
      <c r="DX18" s="0" t="n">
        <f aca="false">ABS(DV18)/(ABS(DV18)+ABS(DV19))</f>
        <v>0.504356735844201</v>
      </c>
      <c r="DY18" s="0" t="n">
        <f aca="false">DH18+DX18*(DH19-DH18)</f>
        <v>9.24956431127794E-005</v>
      </c>
    </row>
    <row r="19" customFormat="false" ht="12.75" hidden="false" customHeight="false" outlineLevel="0" collapsed="false">
      <c r="A19" s="1" t="s">
        <v>106</v>
      </c>
      <c r="B19" s="4" t="s">
        <v>107</v>
      </c>
      <c r="AA19" s="0" t="n">
        <f aca="false">AA18+0.05</f>
        <v>0.8</v>
      </c>
      <c r="AB19" s="0" t="n">
        <f aca="false">AC19/$X$16</f>
        <v>2.30896529717284</v>
      </c>
      <c r="AC19" s="0" t="n">
        <f aca="false">AA19*$X$15</f>
        <v>7.99999998690737E-005</v>
      </c>
      <c r="AJ19" s="0" t="n">
        <f aca="false">$X$8+$X$9*AC19+$X$10*AC19^2+$X$11*AC19^3+$X$12*AC19^4+$X$13*AC19^5</f>
        <v>2.00000001309263</v>
      </c>
      <c r="AK19" s="0" t="n">
        <f aca="false">$X$17*AC19^2</f>
        <v>12.7999999581036</v>
      </c>
      <c r="AL19" s="0" t="n">
        <f aca="false">AY19/$AC$51</f>
        <v>0.00308496955224885</v>
      </c>
      <c r="AM19" s="0" t="n">
        <f aca="false">AZ19/AY19</f>
        <v>0.495268246673598</v>
      </c>
      <c r="AN19" s="0" t="n">
        <f aca="false">AX19/AW19</f>
        <v>0.448473617987712</v>
      </c>
      <c r="AO19" s="0" t="n">
        <f aca="false">AZ19/AV19</f>
        <v>0.0502796170003342</v>
      </c>
      <c r="AP19" s="0" t="n">
        <f aca="false">AL19+$X$18</f>
        <v>0.00591943754843119</v>
      </c>
      <c r="AQ19" s="0" t="n">
        <f aca="false">AP19/$C$40</f>
        <v>0.356445881395373</v>
      </c>
      <c r="AR19" s="0" t="n">
        <f aca="false">AQ19*$C$39+$C$40*$AC$51</f>
        <v>3.87773886820991</v>
      </c>
      <c r="AS19" s="0" t="n">
        <f aca="false">AY19/$AC$51^3</f>
        <v>2.81315489880983E-007</v>
      </c>
      <c r="AU19" s="0" t="n">
        <f aca="false">(-$AV$32+SQRT($AV$32^2-4*AS19*$AV$33))/(2*AS19)*30/PI()</f>
        <v>1390.97624518237</v>
      </c>
      <c r="AV19" s="0" t="n">
        <f aca="false">AW19+$C$30</f>
        <v>3.18220404870018</v>
      </c>
      <c r="AW19" s="0" t="n">
        <f aca="false">AR19*AQ19</f>
        <v>1.38220404870018</v>
      </c>
      <c r="AX19" s="0" t="n">
        <f aca="false">AP19*$AC$51</f>
        <v>0.619882050517833</v>
      </c>
      <c r="AY19" s="0" t="n">
        <f aca="false">$AC$54*($AC$42+$AC$43*AB19+$AC$44*AB19^2+$AC$45*AB19^3)</f>
        <v>0.323057256063106</v>
      </c>
      <c r="AZ19" s="0" t="n">
        <f aca="false">AJ19*AC19*1000</f>
        <v>0.160000000785558</v>
      </c>
      <c r="BC19" s="0" t="n">
        <f aca="false">BC18+0.05</f>
        <v>0.8</v>
      </c>
      <c r="BD19" s="0" t="n">
        <f aca="false">BC19*$AU$28</f>
        <v>1166.49780049152</v>
      </c>
      <c r="BE19" s="0" t="n">
        <f aca="false">BD19*PI()/30</f>
        <v>122.155364015094</v>
      </c>
      <c r="BF19" s="0" t="n">
        <f aca="false">$C$22*BD19/$C$20</f>
        <v>5.8324890024576E-005</v>
      </c>
      <c r="BG19" s="0" t="n">
        <f aca="false">$X$17*BF19^2</f>
        <v>6.80358559275776</v>
      </c>
      <c r="BH19" s="0" t="n">
        <f aca="false">BQ19/BE19</f>
        <v>0.00679780675426799</v>
      </c>
      <c r="BJ19" s="0" t="n">
        <f aca="false">BO19/$C$15</f>
        <v>0.605955621203202</v>
      </c>
      <c r="BK19" s="0" t="n">
        <f aca="false">BP19/$C$15</f>
        <v>0.305955621203202</v>
      </c>
      <c r="BL19" s="0" t="n">
        <f aca="false">BH19/$C$40</f>
        <v>0.409337914329824</v>
      </c>
      <c r="BM19" s="0" t="n">
        <f aca="false">BL19*$C$39+$C$40*BE19</f>
        <v>4.4846413267745</v>
      </c>
      <c r="BO19" s="0" t="n">
        <f aca="false">BP19+$C$30</f>
        <v>3.63573372721921</v>
      </c>
      <c r="BP19" s="0" t="n">
        <f aca="false">BL19*BM19</f>
        <v>1.83573372721921</v>
      </c>
      <c r="BQ19" s="0" t="n">
        <f aca="false">BR19+$AC$77*BE19^2</f>
        <v>0.830388558571868</v>
      </c>
      <c r="BR19" s="0" t="n">
        <f aca="false">$AC$54*$AC$56*(BD19/$C$20)^3</f>
        <v>0.426493979546774</v>
      </c>
      <c r="BS19" s="0" t="n">
        <f aca="false">BF19*BG19*1000</f>
        <v>0.396818381470386</v>
      </c>
      <c r="CW19" s="0" t="n">
        <f aca="false">CW18+1</f>
        <v>15</v>
      </c>
      <c r="CX19" s="0" t="n">
        <f aca="false">IF(DC18&gt;0,DB18,CX18)</f>
        <v>0</v>
      </c>
      <c r="CY19" s="0" t="n">
        <f aca="false">IF(DC18&lt;0,DB18,CY18)</f>
        <v>0.030517578125</v>
      </c>
      <c r="CZ19" s="0" t="n">
        <f aca="false">$C$6+$C$7*CX19+$C$8*CX19^2+$C$9*CX19^3+$C$10*CX19^4+$C$11*CX19^5</f>
        <v>10</v>
      </c>
      <c r="DA19" s="0" t="n">
        <f aca="false">$C$6+$C$7*CY19+$C$8*CY19^2+$C$9*CY19^3+$C$10*CY19^4+$C$11*CY19^5</f>
        <v>-3041.7578125</v>
      </c>
      <c r="DB19" s="0" t="n">
        <f aca="false">(CX19+CY19)/2</f>
        <v>0.0152587890625</v>
      </c>
      <c r="DC19" s="0" t="n">
        <f aca="false">$C$6+$C$7*DB19+$C$8*DB19^2+$C$9*DB19^3+$C$10*DB19^4+$C$11*DB19^5</f>
        <v>-1515.87890625</v>
      </c>
      <c r="DE19" s="6"/>
      <c r="DH19" s="0" t="n">
        <f aca="false">DH18-$DI$6</f>
        <v>9.19999998494347E-005</v>
      </c>
      <c r="DI19" s="6" t="n">
        <f aca="false">$C$6+$C$7*DH19+$C$8*DH19^2+$C$9*DH19^3+$C$10*DH19^4+$C$11*DH19^5</f>
        <v>0.800000015056526</v>
      </c>
      <c r="DJ19" s="0" t="n">
        <f aca="false">DH19*DI19*1000</f>
        <v>0.0736000012647482</v>
      </c>
      <c r="DK19" s="0" t="n">
        <f aca="false">MIN(MAX(0.2,$E$5*SQRT(DH19)*($C$4/DI19/1000)^0.75),5)</f>
        <v>1.18742184647206</v>
      </c>
      <c r="DL19" s="0" t="n">
        <f aca="false">$AH$42+($AI$42-$AH$42)*($DK19-$AH$41)/($AI$41-$AH$41)</f>
        <v>0.745026357797052</v>
      </c>
      <c r="DM19" s="0" t="n">
        <f aca="false">$AH$43+($AI$43-$AH$43)*($DK19-$AH$41)/($AI$41-$AH$41)</f>
        <v>-0.682104940826795</v>
      </c>
      <c r="DN19" s="0" t="n">
        <f aca="false">$AH$44+($AI$44-$AH$44)*($DK19-$AH$41)/($AI$41-$AH$41)</f>
        <v>1.71878754482012</v>
      </c>
      <c r="DO19" s="0" t="n">
        <f aca="false">$AH$45+($AI$45-$AH$45)*($DK19-$AH$41)/($AI$41-$AH$41)</f>
        <v>-0.781708961790378</v>
      </c>
      <c r="DP19" s="0" t="n">
        <f aca="false">($DL19+$DM19*($DH18/$DH19)+$DN19*($DH18/$DH19)^2+$DO19*($DH18/$DH19)^3)</f>
        <v>1.00438524858927</v>
      </c>
      <c r="DQ19" s="0" t="n">
        <f aca="false">(DL19+DM19+DN19+DO19)</f>
        <v>1</v>
      </c>
      <c r="DR19" s="0" t="n">
        <f aca="false">($DL19+$DM19*($DH20/$DH19)+$DN19*($DH20/$DH19)^2+$DO19*($DH20/$DH19)^3)</f>
        <v>0.995466750621372</v>
      </c>
      <c r="DS19" s="0" t="n">
        <f aca="false">DJ18/DP19</f>
        <v>0.0648157680535165</v>
      </c>
      <c r="DT19" s="0" t="n">
        <f aca="false">DJ19/DQ19</f>
        <v>0.0736000012647482</v>
      </c>
      <c r="DU19" s="0" t="n">
        <f aca="false">DJ20/DR19</f>
        <v>0.0822729650890831</v>
      </c>
      <c r="DV19" s="0" t="n">
        <f aca="false">DU19-DS19</f>
        <v>0.0174571970355666</v>
      </c>
      <c r="DW19" s="0" t="n">
        <f aca="false">IF((DT19-DS19)*(DU19-DT19)&lt;0,1,0)</f>
        <v>0</v>
      </c>
      <c r="DX19" s="0" t="n">
        <f aca="false">ABS(DV19)/(ABS(DV19)+ABS(DV20))</f>
        <v>0.504428052934465</v>
      </c>
      <c r="DY19" s="0" t="n">
        <f aca="false">DH19+DX19*(DH20-DH19)</f>
        <v>9.14955717973258E-005</v>
      </c>
    </row>
    <row r="20" customFormat="false" ht="12.75" hidden="false" customHeight="false" outlineLevel="0" collapsed="false">
      <c r="B20" s="0" t="s">
        <v>108</v>
      </c>
      <c r="C20" s="5" t="n">
        <v>1000</v>
      </c>
      <c r="D20" s="0" t="s">
        <v>57</v>
      </c>
      <c r="AA20" s="0" t="n">
        <f aca="false">AA19+0.05</f>
        <v>0.85</v>
      </c>
      <c r="AB20" s="0" t="n">
        <f aca="false">AC20/$X$16</f>
        <v>2.45327562824614</v>
      </c>
      <c r="AC20" s="0" t="n">
        <f aca="false">AA20*$X$15</f>
        <v>8.49999998608908E-005</v>
      </c>
      <c r="AJ20" s="0" t="n">
        <f aca="false">$X$8+$X$9*AC20+$X$10*AC20^2+$X$11*AC20^3+$X$12*AC20^4+$X$13*AC20^5</f>
        <v>1.50000001391092</v>
      </c>
      <c r="AK20" s="0" t="n">
        <f aca="false">$X$17*AC20^2</f>
        <v>14.4499999527029</v>
      </c>
      <c r="AL20" s="0" t="n">
        <f aca="false">AY20/$AC$51</f>
        <v>0.00313681524977374</v>
      </c>
      <c r="AM20" s="0" t="n">
        <f aca="false">AZ20/AY20</f>
        <v>0.388143778642872</v>
      </c>
      <c r="AN20" s="0" t="n">
        <f aca="false">AX20/AW20</f>
        <v>0.446317648399348</v>
      </c>
      <c r="AO20" s="0" t="n">
        <f aca="false">AZ20/AV20</f>
        <v>0.0398307372347315</v>
      </c>
      <c r="AP20" s="0" t="n">
        <f aca="false">AL20+$X$18</f>
        <v>0.00597128324595609</v>
      </c>
      <c r="AQ20" s="0" t="n">
        <f aca="false">AP20/$C$40</f>
        <v>0.359567830938656</v>
      </c>
      <c r="AR20" s="0" t="n">
        <f aca="false">AQ20*$C$39+$C$40*$AC$51</f>
        <v>3.89647056546961</v>
      </c>
      <c r="AS20" s="0" t="n">
        <f aca="false">AY20/$AC$51^3</f>
        <v>2.8604325057697E-007</v>
      </c>
      <c r="AU20" s="0" t="n">
        <f aca="false">(-$AV$32+SQRT($AV$32^2-4*AS20*$AV$33))/(2*AS20)*30/PI()</f>
        <v>1384.84287444591</v>
      </c>
      <c r="AV20" s="0" t="n">
        <f aca="false">AW20+$C$30</f>
        <v>3.20104546954223</v>
      </c>
      <c r="AW20" s="0" t="n">
        <f aca="false">AR20*AQ20</f>
        <v>1.40104546954223</v>
      </c>
      <c r="AX20" s="0" t="n">
        <f aca="false">AP20*$AC$51</f>
        <v>0.625311319266648</v>
      </c>
      <c r="AY20" s="0" t="n">
        <f aca="false">$AC$54*($AC$42+$AC$43*AB20+$AC$44*AB20^2+$AC$45*AB20^3)</f>
        <v>0.328486524811921</v>
      </c>
      <c r="AZ20" s="0" t="n">
        <f aca="false">AJ20*AC20*1000</f>
        <v>0.127500000973764</v>
      </c>
      <c r="BC20" s="0" t="n">
        <f aca="false">BC19+0.05</f>
        <v>0.85</v>
      </c>
      <c r="BD20" s="0" t="n">
        <f aca="false">BC20*$AU$28</f>
        <v>1239.40391302224</v>
      </c>
      <c r="BE20" s="0" t="n">
        <f aca="false">BD20*PI()/30</f>
        <v>129.790074266037</v>
      </c>
      <c r="BF20" s="0" t="n">
        <f aca="false">$C$22*BD20/$C$20</f>
        <v>6.1970195651112E-005</v>
      </c>
      <c r="BG20" s="0" t="n">
        <f aca="false">$X$17*BF20^2</f>
        <v>7.6806102980742</v>
      </c>
      <c r="BH20" s="0" t="n">
        <f aca="false">BQ20/BE20</f>
        <v>0.00745452086082255</v>
      </c>
      <c r="BJ20" s="0" t="n">
        <f aca="false">BO20/$C$15</f>
        <v>0.662749503707763</v>
      </c>
      <c r="BK20" s="0" t="n">
        <f aca="false">BP20/$C$15</f>
        <v>0.362749503707763</v>
      </c>
      <c r="BL20" s="0" t="n">
        <f aca="false">BH20/$C$40</f>
        <v>0.448882725238025</v>
      </c>
      <c r="BM20" s="0" t="n">
        <f aca="false">BL20*$C$39+$C$40*BE20</f>
        <v>4.84869855727343</v>
      </c>
      <c r="BO20" s="0" t="n">
        <f aca="false">BP20+$C$30</f>
        <v>3.97649702224658</v>
      </c>
      <c r="BP20" s="0" t="n">
        <f aca="false">BL20*BM20</f>
        <v>2.17649702224658</v>
      </c>
      <c r="BQ20" s="0" t="n">
        <f aca="false">BR20+$AC$77*BE20^2</f>
        <v>0.967522816143881</v>
      </c>
      <c r="BR20" s="0" t="n">
        <f aca="false">$AC$54*$AC$56*(BD20/$C$20)^3</f>
        <v>0.511563701541333</v>
      </c>
      <c r="BS20" s="0" t="n">
        <f aca="false">BF20*BG20*1000</f>
        <v>0.475968922891603</v>
      </c>
      <c r="CW20" s="0" t="n">
        <f aca="false">CW19+1</f>
        <v>16</v>
      </c>
      <c r="CX20" s="0" t="n">
        <f aca="false">IF(DC19&gt;0,DB19,CX19)</f>
        <v>0</v>
      </c>
      <c r="CY20" s="0" t="n">
        <f aca="false">IF(DC19&lt;0,DB19,CY19)</f>
        <v>0.0152587890625</v>
      </c>
      <c r="CZ20" s="0" t="n">
        <f aca="false">$C$6+$C$7*CX20+$C$8*CX20^2+$C$9*CX20^3+$C$10*CX20^4+$C$11*CX20^5</f>
        <v>10</v>
      </c>
      <c r="DA20" s="0" t="n">
        <f aca="false">$C$6+$C$7*CY20+$C$8*CY20^2+$C$9*CY20^3+$C$10*CY20^4+$C$11*CY20^5</f>
        <v>-1515.87890625</v>
      </c>
      <c r="DB20" s="0" t="n">
        <f aca="false">(CX20+CY20)/2</f>
        <v>0.00762939453125</v>
      </c>
      <c r="DC20" s="0" t="n">
        <f aca="false">$C$6+$C$7*DB20+$C$8*DB20^2+$C$9*DB20^3+$C$10*DB20^4+$C$11*DB20^5</f>
        <v>-752.939453125</v>
      </c>
      <c r="DE20" s="6"/>
      <c r="DH20" s="0" t="n">
        <f aca="false">DH19-$DI$6</f>
        <v>9.09999998510713E-005</v>
      </c>
      <c r="DI20" s="6" t="n">
        <f aca="false">$C$6+$C$7*DH20+$C$8*DH20^2+$C$9*DH20^3+$C$10*DH20^4+$C$11*DH20^5</f>
        <v>0.900000014892868</v>
      </c>
      <c r="DJ20" s="0" t="n">
        <f aca="false">DH20*DI20*1000</f>
        <v>0.0819000012212152</v>
      </c>
      <c r="DK20" s="0" t="n">
        <f aca="false">MIN(MAX(0.2,$E$5*SQRT(DH20)*($C$4/DI20/1000)^0.75),5)</f>
        <v>1.08110388077049</v>
      </c>
      <c r="DL20" s="0" t="n">
        <f aca="false">$AH$42+($AI$42-$AH$42)*($DK20-$AH$41)/($AI$41-$AH$41)</f>
        <v>0.710030027420285</v>
      </c>
      <c r="DM20" s="0" t="n">
        <f aca="false">$AH$43+($AI$43-$AH$43)*($DK20-$AH$41)/($AI$41-$AH$41)</f>
        <v>-0.534367267653989</v>
      </c>
      <c r="DN20" s="0" t="n">
        <f aca="false">$AH$44+($AI$44-$AH$44)*($DK20-$AH$41)/($AI$41-$AH$41)</f>
        <v>1.52187781251034</v>
      </c>
      <c r="DO20" s="0" t="n">
        <f aca="false">$AH$45+($AI$45-$AH$45)*($DK20-$AH$41)/($AI$41-$AH$41)</f>
        <v>-0.697540572276635</v>
      </c>
      <c r="DP20" s="0" t="n">
        <f aca="false">($DL20+$DM20*($DH19/$DH20)+$DN20*($DH19/$DH20)^2+$DO20*($DH19/$DH20)^3)</f>
        <v>1.00451000544663</v>
      </c>
      <c r="DQ20" s="0" t="n">
        <f aca="false">(DL20+DM20+DN20+DO20)</f>
        <v>1</v>
      </c>
      <c r="DR20" s="0" t="n">
        <f aca="false">($DL20+$DM20*($DH21/$DH20)+$DN20*($DH21/$DH20)^2+$DO20*($DH21/$DH20)^3)</f>
        <v>0.995352150354769</v>
      </c>
      <c r="DS20" s="0" t="n">
        <f aca="false">DJ19/DP20</f>
        <v>0.0732695551718512</v>
      </c>
      <c r="DT20" s="0" t="n">
        <f aca="false">DJ20/DQ20</f>
        <v>0.0819000012212152</v>
      </c>
      <c r="DU20" s="0" t="n">
        <f aca="false">DJ21/DR20</f>
        <v>0.0904202609561435</v>
      </c>
      <c r="DV20" s="0" t="n">
        <f aca="false">DU20-DS20</f>
        <v>0.0171507057842922</v>
      </c>
      <c r="DW20" s="0" t="n">
        <f aca="false">IF((DT20-DS20)*(DU20-DT20)&lt;0,1,0)</f>
        <v>0</v>
      </c>
      <c r="DX20" s="0" t="n">
        <f aca="false">ABS(DV20)/(ABS(DV20)+ABS(DV21))</f>
        <v>0.504502958216731</v>
      </c>
      <c r="DY20" s="0" t="n">
        <f aca="false">DH20+DX20*(DH21-DH20)</f>
        <v>9.04954968936803E-005</v>
      </c>
    </row>
    <row r="21" customFormat="false" ht="12.75" hidden="false" customHeight="false" outlineLevel="0" collapsed="false">
      <c r="B21" s="0" t="s">
        <v>109</v>
      </c>
      <c r="C21" s="5" t="n">
        <v>3</v>
      </c>
      <c r="D21" s="0" t="s">
        <v>110</v>
      </c>
      <c r="AA21" s="0" t="n">
        <f aca="false">AA20+0.05</f>
        <v>0.9</v>
      </c>
      <c r="AB21" s="0" t="n">
        <f aca="false">AC21/$X$16</f>
        <v>2.59758595931945</v>
      </c>
      <c r="AC21" s="0" t="n">
        <f aca="false">AA21*$X$15</f>
        <v>8.99999998527079E-005</v>
      </c>
      <c r="AJ21" s="0" t="n">
        <f aca="false">$X$8+$X$9*AC21+$X$10*AC21^2+$X$11*AC21^3+$X$12*AC21^4+$X$13*AC21^5</f>
        <v>1.00000001472921</v>
      </c>
      <c r="AK21" s="0" t="n">
        <f aca="false">$X$17*AC21^2</f>
        <v>16.1999999469749</v>
      </c>
      <c r="AL21" s="0" t="n">
        <f aca="false">AY21/$AC$51</f>
        <v>0.00317875437675879</v>
      </c>
      <c r="AM21" s="0" t="n">
        <f aca="false">AZ21/AY21</f>
        <v>0.270369019460019</v>
      </c>
      <c r="AN21" s="0" t="n">
        <f aca="false">AX21/AW21</f>
        <v>0.444588744483589</v>
      </c>
      <c r="AO21" s="0" t="n">
        <f aca="false">AZ21/AV21</f>
        <v>0.0279818358386801</v>
      </c>
      <c r="AP21" s="0" t="n">
        <f aca="false">AL21+$X$18</f>
        <v>0.00601322237294114</v>
      </c>
      <c r="AQ21" s="0" t="n">
        <f aca="false">AP21/$C$40</f>
        <v>0.362093244706574</v>
      </c>
      <c r="AR21" s="0" t="n">
        <f aca="false">AQ21*$C$39+$C$40*$AC$51</f>
        <v>3.91162304807712</v>
      </c>
      <c r="AS21" s="0" t="n">
        <f aca="false">AY21/$AC$51^3</f>
        <v>2.89867640365316E-007</v>
      </c>
      <c r="AU21" s="0" t="n">
        <f aca="false">(-$AV$32+SQRT($AV$32^2-4*AS21*$AV$33))/(2*AS21)*30/PI()</f>
        <v>1379.9494569999</v>
      </c>
      <c r="AV21" s="0" t="n">
        <f aca="false">AW21+$C$30</f>
        <v>3.21637228154727</v>
      </c>
      <c r="AW21" s="0" t="n">
        <f aca="false">AR21*AQ21</f>
        <v>1.41637228154727</v>
      </c>
      <c r="AX21" s="0" t="n">
        <f aca="false">AP21*$AC$51</f>
        <v>0.629703174374455</v>
      </c>
      <c r="AY21" s="0" t="n">
        <f aca="false">$AC$54*($AC$42+$AC$43*AB21+$AC$44*AB21^2+$AC$45*AB21^3)</f>
        <v>0.332878379919727</v>
      </c>
      <c r="AZ21" s="0" t="n">
        <f aca="false">AJ21*AC21*1000</f>
        <v>0.0900000011783365</v>
      </c>
      <c r="BC21" s="0" t="n">
        <f aca="false">BC20+0.05</f>
        <v>0.9</v>
      </c>
      <c r="BD21" s="0" t="n">
        <f aca="false">BC21*$AU$28</f>
        <v>1312.31002555296</v>
      </c>
      <c r="BE21" s="0" t="n">
        <f aca="false">BD21*PI()/30</f>
        <v>137.42478451698</v>
      </c>
      <c r="BF21" s="0" t="n">
        <f aca="false">$C$22*BD21/$C$20</f>
        <v>6.5615501277648E-005</v>
      </c>
      <c r="BG21" s="0" t="n">
        <f aca="false">$X$17*BF21^2</f>
        <v>8.61078801583405</v>
      </c>
      <c r="BH21" s="0" t="n">
        <f aca="false">BQ21/BE21</f>
        <v>0.00813851157730804</v>
      </c>
      <c r="BJ21" s="0" t="n">
        <f aca="false">BO21/$C$15</f>
        <v>0.726574166855402</v>
      </c>
      <c r="BK21" s="0" t="n">
        <f aca="false">BP21/$C$15</f>
        <v>0.426574166855402</v>
      </c>
      <c r="BL21" s="0" t="n">
        <f aca="false">BH21/$C$40</f>
        <v>0.490070029235942</v>
      </c>
      <c r="BM21" s="0" t="n">
        <f aca="false">BL21*$C$39+$C$40*BE21</f>
        <v>5.22261074631066</v>
      </c>
      <c r="BO21" s="0" t="n">
        <f aca="false">BP21+$C$30</f>
        <v>4.35944500113241</v>
      </c>
      <c r="BP21" s="0" t="n">
        <f aca="false">BL21*BM21</f>
        <v>2.55944500113241</v>
      </c>
      <c r="BQ21" s="0" t="n">
        <f aca="false">BR21+$AC$77*BE21^2</f>
        <v>1.11843319980051</v>
      </c>
      <c r="BR21" s="0" t="n">
        <f aca="false">$AC$54*$AC$56*(BD21/$C$20)^3</f>
        <v>0.607254123221872</v>
      </c>
      <c r="BS21" s="0" t="n">
        <f aca="false">BF21*BG21*1000</f>
        <v>0.565001172054515</v>
      </c>
      <c r="CW21" s="0" t="n">
        <f aca="false">CW20+1</f>
        <v>17</v>
      </c>
      <c r="CX21" s="0" t="n">
        <f aca="false">IF(DC20&gt;0,DB20,CX20)</f>
        <v>0</v>
      </c>
      <c r="CY21" s="0" t="n">
        <f aca="false">IF(DC20&lt;0,DB20,CY20)</f>
        <v>0.00762939453125</v>
      </c>
      <c r="CZ21" s="0" t="n">
        <f aca="false">$C$6+$C$7*CX21+$C$8*CX21^2+$C$9*CX21^3+$C$10*CX21^4+$C$11*CX21^5</f>
        <v>10</v>
      </c>
      <c r="DA21" s="0" t="n">
        <f aca="false">$C$6+$C$7*CY21+$C$8*CY21^2+$C$9*CY21^3+$C$10*CY21^4+$C$11*CY21^5</f>
        <v>-752.939453125</v>
      </c>
      <c r="DB21" s="0" t="n">
        <f aca="false">(CX21+CY21)/2</f>
        <v>0.003814697265625</v>
      </c>
      <c r="DC21" s="0" t="n">
        <f aca="false">$C$6+$C$7*DB21+$C$8*DB21^2+$C$9*DB21^3+$C$10*DB21^4+$C$11*DB21^5</f>
        <v>-371.4697265625</v>
      </c>
      <c r="DE21" s="6"/>
      <c r="DH21" s="0" t="n">
        <f aca="false">DH20-$DI$6</f>
        <v>8.99999998527079E-005</v>
      </c>
      <c r="DI21" s="6" t="n">
        <f aca="false">$C$6+$C$7*DH21+$C$8*DH21^2+$C$9*DH21^3+$C$10*DH21^4+$C$11*DH21^5</f>
        <v>1.00000001472921</v>
      </c>
      <c r="DJ21" s="0" t="n">
        <f aca="false">DH21*DI21*1000</f>
        <v>0.0900000011783368</v>
      </c>
      <c r="DK21" s="0" t="n">
        <f aca="false">MIN(MAX(0.2,$E$5*SQRT(DH21)*($C$4/DI21/1000)^0.75),5)</f>
        <v>0.993458814792026</v>
      </c>
      <c r="DL21" s="0" t="n">
        <f aca="false">$AH$42+($AI$42-$AH$42)*($DK21-$AH$41)/($AI$41-$AH$41)</f>
        <v>0.681180193202375</v>
      </c>
      <c r="DM21" s="0" t="n">
        <f aca="false">$AH$43+($AI$43-$AH$43)*($DK21-$AH$41)/($AI$41-$AH$41)</f>
        <v>-0.412577144721419</v>
      </c>
      <c r="DN21" s="0" t="n">
        <f aca="false">$AH$44+($AI$44-$AH$44)*($DK21-$AH$41)/($AI$41-$AH$41)</f>
        <v>1.35955184656273</v>
      </c>
      <c r="DO21" s="0" t="n">
        <f aca="false">$AH$45+($AI$45-$AH$45)*($DK21-$AH$41)/($AI$41-$AH$41)</f>
        <v>-0.628154895043687</v>
      </c>
      <c r="DP21" s="0" t="n">
        <f aca="false">($DL21+$DM21*($DH20/$DH21)+$DN21*($DH20/$DH21)^2+$DO21*($DH20/$DH21)^3)</f>
        <v>1.00462391053792</v>
      </c>
      <c r="DQ21" s="0" t="n">
        <f aca="false">(DL21+DM21+DN21+DO21)</f>
        <v>1</v>
      </c>
      <c r="DR21" s="0" t="n">
        <f aca="false">($DL21+$DM21*($DH22/$DH21)+$DN21*($DH22/$DH21)^2+$DO21*($DH22/$DH21)^3)</f>
        <v>0.995246481353789</v>
      </c>
      <c r="DS21" s="0" t="n">
        <f aca="false">DJ20/DP21</f>
        <v>0.0815230459499637</v>
      </c>
      <c r="DT21" s="0" t="n">
        <f aca="false">DJ21/DQ21</f>
        <v>0.0900000011783368</v>
      </c>
      <c r="DU21" s="0" t="n">
        <f aca="false">DJ22/DR21</f>
        <v>0.0983675933251671</v>
      </c>
      <c r="DV21" s="0" t="n">
        <f aca="false">DU21-DS21</f>
        <v>0.0168445473752034</v>
      </c>
      <c r="DW21" s="0" t="n">
        <f aca="false">IF((DT21-DS21)*(DU21-DT21)&lt;0,1,0)</f>
        <v>0</v>
      </c>
      <c r="DX21" s="0" t="n">
        <f aca="false">ABS(DV21)/(ABS(DV21)+ABS(DV22))</f>
        <v>0.504581353132265</v>
      </c>
      <c r="DY21" s="0" t="n">
        <f aca="false">DH21+DX21*(DH22-DH21)</f>
        <v>8.94954185004014E-005</v>
      </c>
    </row>
    <row r="22" customFormat="false" ht="12.75" hidden="false" customHeight="false" outlineLevel="0" collapsed="false">
      <c r="B22" s="0" t="s">
        <v>111</v>
      </c>
      <c r="C22" s="5" t="n">
        <v>5E-005</v>
      </c>
      <c r="D22" s="3" t="s">
        <v>112</v>
      </c>
      <c r="F22" s="3" t="s">
        <v>113</v>
      </c>
      <c r="G22" s="8" t="n">
        <f aca="false">X15</f>
        <v>9.99999998363421E-005</v>
      </c>
      <c r="H22" s="3" t="s">
        <v>41</v>
      </c>
      <c r="AA22" s="0" t="n">
        <f aca="false">AA21+0.05</f>
        <v>0.95</v>
      </c>
      <c r="AB22" s="0" t="n">
        <f aca="false">AC22/$X$16</f>
        <v>2.74189629039275</v>
      </c>
      <c r="AC22" s="0" t="n">
        <f aca="false">AA22*$X$15</f>
        <v>9.4999999844525E-005</v>
      </c>
      <c r="AJ22" s="0" t="n">
        <f aca="false">$X$8+$X$9*AC22+$X$10*AC22^2+$X$11*AC22^3+$X$12*AC22^4+$X$13*AC22^5</f>
        <v>0.500000015547496</v>
      </c>
      <c r="AK22" s="0" t="n">
        <f aca="false">$X$17*AC22^2</f>
        <v>18.0499999409195</v>
      </c>
      <c r="AL22" s="0" t="n">
        <f aca="false">AY22/$AC$51</f>
        <v>0.00321078693320399</v>
      </c>
      <c r="AM22" s="0" t="n">
        <f aca="false">AZ22/AY22</f>
        <v>0.141271162057882</v>
      </c>
      <c r="AN22" s="0" t="n">
        <f aca="false">AX22/AW22</f>
        <v>0.443277225952437</v>
      </c>
      <c r="AO22" s="0" t="n">
        <f aca="false">AZ22/AV22</f>
        <v>0.0147144005074051</v>
      </c>
      <c r="AP22" s="0" t="n">
        <f aca="false">AL22+$X$18</f>
        <v>0.00604525492938634</v>
      </c>
      <c r="AQ22" s="0" t="n">
        <f aca="false">AP22/$C$40</f>
        <v>0.364022122699126</v>
      </c>
      <c r="AR22" s="0" t="n">
        <f aca="false">AQ22*$C$39+$C$40*$AC$51</f>
        <v>3.92319631603244</v>
      </c>
      <c r="AS22" s="0" t="n">
        <f aca="false">AY22/$AC$51^3</f>
        <v>2.92788659246022E-007</v>
      </c>
      <c r="AU22" s="0" t="n">
        <f aca="false">(-$AV$32+SQRT($AV$32^2-4*AS22*$AV$33))/(2*AS22)*30/PI()</f>
        <v>1376.25201330577</v>
      </c>
      <c r="AV22" s="0" t="n">
        <f aca="false">AW22+$C$30</f>
        <v>3.22813025072752</v>
      </c>
      <c r="AW22" s="0" t="n">
        <f aca="false">AR22*AQ22</f>
        <v>1.42813025072752</v>
      </c>
      <c r="AX22" s="0" t="n">
        <f aca="false">AP22*$AC$51</f>
        <v>0.633057615841253</v>
      </c>
      <c r="AY22" s="0" t="n">
        <f aca="false">$AC$54*($AC$42+$AC$43*AB22+$AC$44*AB22^2+$AC$45*AB22^3)</f>
        <v>0.336232821386525</v>
      </c>
      <c r="AZ22" s="0" t="n">
        <f aca="false">AJ22*AC22*1000</f>
        <v>0.0475000013992746</v>
      </c>
      <c r="BC22" s="0" t="n">
        <f aca="false">BC21+0.05</f>
        <v>0.95</v>
      </c>
      <c r="BD22" s="0" t="n">
        <f aca="false">BC22*$AU$28</f>
        <v>1385.21613808368</v>
      </c>
      <c r="BE22" s="0" t="n">
        <f aca="false">BD22*PI()/30</f>
        <v>145.059494767924</v>
      </c>
      <c r="BF22" s="0" t="n">
        <f aca="false">$C$22*BD22/$C$20</f>
        <v>6.9260806904184E-005</v>
      </c>
      <c r="BG22" s="0" t="n">
        <f aca="false">$X$17*BF22^2</f>
        <v>9.59411874603732</v>
      </c>
      <c r="BH22" s="0" t="n">
        <f aca="false">BQ22/BE22</f>
        <v>0.00884977890372444</v>
      </c>
      <c r="BJ22" s="0" t="n">
        <f aca="false">BO22/$C$15</f>
        <v>0.797939634326046</v>
      </c>
      <c r="BK22" s="0" t="n">
        <f aca="false">BP22/$C$15</f>
        <v>0.497939634326046</v>
      </c>
      <c r="BL22" s="0" t="n">
        <f aca="false">BH22/$C$40</f>
        <v>0.532899826323576</v>
      </c>
      <c r="BM22" s="0" t="n">
        <f aca="false">BL22*$C$39+$C$40*BE22</f>
        <v>5.60637789388618</v>
      </c>
      <c r="BO22" s="0" t="n">
        <f aca="false">BP22+$C$30</f>
        <v>4.78763780595628</v>
      </c>
      <c r="BP22" s="0" t="n">
        <f aca="false">BL22*BM22</f>
        <v>2.98763780595628</v>
      </c>
      <c r="BQ22" s="0" t="n">
        <f aca="false">BR22+$AC$77*BE22^2</f>
        <v>1.2837444565821</v>
      </c>
      <c r="BR22" s="0" t="n">
        <f aca="false">$AC$54*$AC$56*(BD22/$C$20)^3</f>
        <v>0.714189991628741</v>
      </c>
      <c r="BS22" s="0" t="n">
        <f aca="false">BF22*BG22*1000</f>
        <v>0.664496405885102</v>
      </c>
      <c r="CW22" s="0" t="n">
        <f aca="false">CW21+1</f>
        <v>18</v>
      </c>
      <c r="CX22" s="0" t="n">
        <f aca="false">IF(DC21&gt;0,DB21,CX21)</f>
        <v>0</v>
      </c>
      <c r="CY22" s="0" t="n">
        <f aca="false">IF(DC21&lt;0,DB21,CY21)</f>
        <v>0.003814697265625</v>
      </c>
      <c r="CZ22" s="0" t="n">
        <f aca="false">$C$6+$C$7*CX22+$C$8*CX22^2+$C$9*CX22^3+$C$10*CX22^4+$C$11*CX22^5</f>
        <v>10</v>
      </c>
      <c r="DA22" s="0" t="n">
        <f aca="false">$C$6+$C$7*CY22+$C$8*CY22^2+$C$9*CY22^3+$C$10*CY22^4+$C$11*CY22^5</f>
        <v>-371.4697265625</v>
      </c>
      <c r="DB22" s="0" t="n">
        <f aca="false">(CX22+CY22)/2</f>
        <v>0.0019073486328125</v>
      </c>
      <c r="DC22" s="0" t="n">
        <f aca="false">$C$6+$C$7*DB22+$C$8*DB22^2+$C$9*DB22^3+$C$10*DB22^4+$C$11*DB22^5</f>
        <v>-180.73486328125</v>
      </c>
      <c r="DE22" s="6"/>
      <c r="DH22" s="0" t="n">
        <f aca="false">DH21-$DI$6</f>
        <v>8.89999998543445E-005</v>
      </c>
      <c r="DI22" s="6" t="n">
        <f aca="false">$C$6+$C$7*DH22+$C$8*DH22^2+$C$9*DH22^3+$C$10*DH22^4+$C$11*DH22^5</f>
        <v>1.10000001456555</v>
      </c>
      <c r="DJ22" s="0" t="n">
        <f aca="false">DH22*DI22*1000</f>
        <v>0.097900001136113</v>
      </c>
      <c r="DK22" s="0" t="n">
        <f aca="false">MIN(MAX(0.2,$E$5*SQRT(DH22)*($C$4/DI22/1000)^0.75),5)</f>
        <v>0.919769709026193</v>
      </c>
      <c r="DL22" s="0" t="n">
        <f aca="false">$AH$42+($AI$42-$AH$42)*($DK22-$AH$41)/($AI$41-$AH$41)</f>
        <v>0.656924195887788</v>
      </c>
      <c r="DM22" s="0" t="n">
        <f aca="false">$AH$43+($AI$43-$AH$43)*($DK22-$AH$41)/($AI$41-$AH$41)</f>
        <v>-0.31017999150098</v>
      </c>
      <c r="DN22" s="0" t="n">
        <f aca="false">$AH$44+($AI$44-$AH$44)*($DK22-$AH$41)/($AI$41-$AH$41)</f>
        <v>1.22307348192559</v>
      </c>
      <c r="DO22" s="0" t="n">
        <f aca="false">$AH$45+($AI$45-$AH$45)*($DK22-$AH$41)/($AI$41-$AH$41)</f>
        <v>-0.569817686312403</v>
      </c>
      <c r="DP22" s="0" t="n">
        <f aca="false">($DL22+$DM22*($DH21/$DH22)+$DN22*($DH21/$DH22)^2+$DO22*($DH21/$DH22)^3)</f>
        <v>1.00473007906462</v>
      </c>
      <c r="DQ22" s="0" t="n">
        <f aca="false">(DL22+DM22+DN22+DO22)</f>
        <v>1</v>
      </c>
      <c r="DR22" s="0" t="n">
        <f aca="false">($DL22+$DM22*($DH23/$DH22)+$DN22*($DH23/$DH22)^2+$DO22*($DH23/$DH22)^3)</f>
        <v>0.995147113315887</v>
      </c>
      <c r="DS22" s="0" t="n">
        <f aca="false">DJ21/DP22</f>
        <v>0.0895762982055091</v>
      </c>
      <c r="DT22" s="0" t="n">
        <f aca="false">DJ22/DQ22</f>
        <v>0.0979000011361131</v>
      </c>
      <c r="DU22" s="0" t="n">
        <f aca="false">DJ23/DR22</f>
        <v>0.106114964995154</v>
      </c>
      <c r="DV22" s="0" t="n">
        <f aca="false">DU22-DS22</f>
        <v>0.016538666789645</v>
      </c>
      <c r="DW22" s="0" t="n">
        <f aca="false">IF((DT22-DS22)*(DU22-DT22)&lt;0,1,0)</f>
        <v>0</v>
      </c>
      <c r="DX22" s="0" t="n">
        <f aca="false">ABS(DV22)/(ABS(DV22)+ABS(DV23))</f>
        <v>0.50466323447359</v>
      </c>
      <c r="DY22" s="0" t="n">
        <f aca="false">DH22+DX22*(DH23-DH22)</f>
        <v>8.84953366206968E-005</v>
      </c>
    </row>
    <row r="23" customFormat="false" ht="12.75" hidden="false" customHeight="false" outlineLevel="0" collapsed="false">
      <c r="B23" s="0" t="s">
        <v>114</v>
      </c>
      <c r="C23" s="5" t="n">
        <v>5</v>
      </c>
      <c r="D23" s="0" t="s">
        <v>115</v>
      </c>
      <c r="AA23" s="0" t="n">
        <f aca="false">AA22+0.05</f>
        <v>1</v>
      </c>
      <c r="AB23" s="0" t="n">
        <f aca="false">AC23/$X$16</f>
        <v>2.88620662146605</v>
      </c>
      <c r="AC23" s="0" t="n">
        <f aca="false">AA23*$X$15</f>
        <v>9.99999998363421E-005</v>
      </c>
      <c r="AJ23" s="0" t="n">
        <f aca="false">$X$8+$X$9*AC23+$X$10*AC23^2+$X$11*AC23^3+$X$12*AC23^4+$X$13*AC23^5</f>
        <v>1.63657851715016E-008</v>
      </c>
      <c r="AK23" s="0" t="n">
        <f aca="false">$X$17*AC23^2</f>
        <v>19.9999999345369</v>
      </c>
      <c r="AL23" s="0" t="n">
        <f aca="false">AY23/$AC$51</f>
        <v>0.00323291291910934</v>
      </c>
      <c r="AM23" s="0" t="n">
        <f aca="false">AZ23/AY23</f>
        <v>4.83408431071378E-009</v>
      </c>
      <c r="AN23" s="0" t="n">
        <f aca="false">AX23/AW23</f>
        <v>0.442375824229446</v>
      </c>
      <c r="AO23" s="0" t="n">
        <f aca="false">AZ23/AV23</f>
        <v>5.0569776076042E-010</v>
      </c>
      <c r="AP23" s="0" t="n">
        <f aca="false">AL23+$X$18</f>
        <v>0.00606738091529169</v>
      </c>
      <c r="AQ23" s="0" t="n">
        <f aca="false">AP23/$C$40</f>
        <v>0.365354464916313</v>
      </c>
      <c r="AR23" s="0" t="n">
        <f aca="false">AQ23*$C$39+$C$40*$AC$51</f>
        <v>3.93119036933556</v>
      </c>
      <c r="AS23" s="0" t="n">
        <f aca="false">AY23/$AC$51^3</f>
        <v>2.94806307219088E-007</v>
      </c>
      <c r="AU23" s="0" t="n">
        <f aca="false">(-$AV$32+SQRT($AV$32^2-4*AS23*$AV$33))/(2*AS23)*30/PI()</f>
        <v>1373.71800259408</v>
      </c>
      <c r="AV23" s="0" t="n">
        <f aca="false">AW23+$C$30</f>
        <v>3.23627795387275</v>
      </c>
      <c r="AW23" s="0" t="n">
        <f aca="false">AR23*AQ23</f>
        <v>1.43627795387275</v>
      </c>
      <c r="AX23" s="0" t="n">
        <f aca="false">AP23*$AC$51</f>
        <v>0.635374643667042</v>
      </c>
      <c r="AY23" s="0" t="n">
        <f aca="false">$AC$54*($AC$42+$AC$43*AB23+$AC$44*AB23^2+$AC$45*AB23^3)</f>
        <v>0.338549849212315</v>
      </c>
      <c r="AZ23" s="0" t="n">
        <f aca="false">AJ23*AC23*1000</f>
        <v>1.63657851447177E-009</v>
      </c>
      <c r="BC23" s="0" t="n">
        <f aca="false">BC22+0.05</f>
        <v>1</v>
      </c>
      <c r="BD23" s="0" t="n">
        <f aca="false">BC23*$AU$28</f>
        <v>1458.1222506144</v>
      </c>
      <c r="BE23" s="0" t="n">
        <f aca="false">BD23*PI()/30</f>
        <v>152.694205018867</v>
      </c>
      <c r="BF23" s="0" t="n">
        <f aca="false">$C$22*BD23/$C$20</f>
        <v>7.290611253072E-005</v>
      </c>
      <c r="BG23" s="0" t="n">
        <f aca="false">$X$17*BF23^2</f>
        <v>10.630602488684</v>
      </c>
      <c r="BH23" s="0" t="n">
        <f aca="false">BQ23/BE23</f>
        <v>0.00958832284007176</v>
      </c>
      <c r="BJ23" s="0" t="n">
        <f aca="false">BO23/$C$15</f>
        <v>0.877372116500925</v>
      </c>
      <c r="BK23" s="0" t="n">
        <f aca="false">BP23/$C$15</f>
        <v>0.577372116500925</v>
      </c>
      <c r="BL23" s="0" t="n">
        <f aca="false">BH23/$C$40</f>
        <v>0.577372116500925</v>
      </c>
      <c r="BM23" s="0" t="n">
        <f aca="false">BL23*$C$39+$C$40*BE23</f>
        <v>6</v>
      </c>
      <c r="BO23" s="0" t="n">
        <f aca="false">BP23+$C$30</f>
        <v>5.26423269900555</v>
      </c>
      <c r="BP23" s="0" t="n">
        <f aca="false">BL23*BM23</f>
        <v>3.46423269900555</v>
      </c>
      <c r="BQ23" s="0" t="n">
        <f aca="false">BR23+$AC$77*BE23^2</f>
        <v>1.464081333529</v>
      </c>
      <c r="BR23" s="0" t="n">
        <f aca="false">$AC$54*$AC$56*(BD23/$C$20)^3</f>
        <v>0.832996053802293</v>
      </c>
      <c r="BS23" s="0" t="n">
        <f aca="false">BF23*BG23*1000</f>
        <v>0.775035901309348</v>
      </c>
      <c r="CW23" s="0" t="n">
        <f aca="false">CW22+1</f>
        <v>19</v>
      </c>
      <c r="CX23" s="0" t="n">
        <f aca="false">IF(DC22&gt;0,DB22,CX22)</f>
        <v>0</v>
      </c>
      <c r="CY23" s="0" t="n">
        <f aca="false">IF(DC22&lt;0,DB22,CY22)</f>
        <v>0.0019073486328125</v>
      </c>
      <c r="CZ23" s="0" t="n">
        <f aca="false">$C$6+$C$7*CX23+$C$8*CX23^2+$C$9*CX23^3+$C$10*CX23^4+$C$11*CX23^5</f>
        <v>10</v>
      </c>
      <c r="DA23" s="0" t="n">
        <f aca="false">$C$6+$C$7*CY23+$C$8*CY23^2+$C$9*CY23^3+$C$10*CY23^4+$C$11*CY23^5</f>
        <v>-180.73486328125</v>
      </c>
      <c r="DB23" s="0" t="n">
        <f aca="false">(CX23+CY23)/2</f>
        <v>0.00095367431640625</v>
      </c>
      <c r="DC23" s="0" t="n">
        <f aca="false">$C$6+$C$7*DB23+$C$8*DB23^2+$C$9*DB23^3+$C$10*DB23^4+$C$11*DB23^5</f>
        <v>-85.367431640625</v>
      </c>
      <c r="DE23" s="6"/>
      <c r="DH23" s="0" t="n">
        <f aca="false">DH22-$DI$6</f>
        <v>8.79999998559811E-005</v>
      </c>
      <c r="DI23" s="6" t="n">
        <f aca="false">$C$6+$C$7*DH23+$C$8*DH23^2+$C$9*DH23^3+$C$10*DH23^4+$C$11*DH23^5</f>
        <v>1.20000001440189</v>
      </c>
      <c r="DJ23" s="0" t="n">
        <f aca="false">DH23*DI23*1000</f>
        <v>0.105600001094544</v>
      </c>
      <c r="DK23" s="0" t="n">
        <f aca="false">MIN(MAX(0.2,$E$5*SQRT(DH23)*($C$4/DI23/1000)^0.75),5)</f>
        <v>0.85680899118643</v>
      </c>
      <c r="DL23" s="0" t="n">
        <f aca="false">$AH$42+($AI$42-$AH$42)*($DK23-$AH$41)/($AI$41-$AH$41)</f>
        <v>0.636199626265533</v>
      </c>
      <c r="DM23" s="0" t="n">
        <f aca="false">$AH$43+($AI$43-$AH$43)*($DK23-$AH$41)/($AI$41-$AH$41)</f>
        <v>-0.222690827336143</v>
      </c>
      <c r="DN23" s="0" t="n">
        <f aca="false">$AH$44+($AI$44-$AH$44)*($DK23-$AH$41)/($AI$41-$AH$41)</f>
        <v>1.10646498575987</v>
      </c>
      <c r="DO23" s="0" t="n">
        <f aca="false">$AH$45+($AI$45-$AH$45)*($DK23-$AH$41)/($AI$41-$AH$41)</f>
        <v>-0.519973784689257</v>
      </c>
      <c r="DP23" s="0" t="n">
        <f aca="false">($DL23+$DM23*($DH22/$DH23)+$DN23*($DH22/$DH23)^2+$DO23*($DH22/$DH23)^3)</f>
        <v>1.00483065603937</v>
      </c>
      <c r="DQ23" s="0" t="n">
        <f aca="false">(DL23+DM23+DN23+DO23)</f>
        <v>1</v>
      </c>
      <c r="DR23" s="0" t="n">
        <f aca="false">($DL23+$DM23*($DH24/$DH23)+$DN23*($DH24/$DH23)^2+$DO23*($DH24/$DH23)^3)</f>
        <v>0.995052232295262</v>
      </c>
      <c r="DS23" s="0" t="n">
        <f aca="false">DJ22/DP23</f>
        <v>0.097429353441499</v>
      </c>
      <c r="DT23" s="0" t="n">
        <f aca="false">DJ23/DQ23</f>
        <v>0.105600001094544</v>
      </c>
      <c r="DU23" s="0" t="n">
        <f aca="false">DJ24/DR23</f>
        <v>0.113662376087278</v>
      </c>
      <c r="DV23" s="0" t="n">
        <f aca="false">DU23-DS23</f>
        <v>0.0162330226457789</v>
      </c>
      <c r="DW23" s="0" t="n">
        <f aca="false">IF((DT23-DS23)*(DU23-DT23)&lt;0,1,0)</f>
        <v>0</v>
      </c>
      <c r="DX23" s="0" t="n">
        <f aca="false">ABS(DV23)/(ABS(DV23)+ABS(DV24))</f>
        <v>0.504748661873687</v>
      </c>
      <c r="DY23" s="0" t="n">
        <f aca="false">DH23+DX23*(DH24-DH23)</f>
        <v>8.74952511949334E-005</v>
      </c>
    </row>
    <row r="24" customFormat="false" ht="12.75" hidden="false" customHeight="false" outlineLevel="0" collapsed="false">
      <c r="AC24" s="0" t="n">
        <f aca="false">AC25*0.9999</f>
        <v>4.9995E-005</v>
      </c>
      <c r="AD24" s="0" t="n">
        <v>0</v>
      </c>
      <c r="AF24" s="0" t="n">
        <v>0</v>
      </c>
      <c r="AH24" s="0" t="n">
        <v>0</v>
      </c>
      <c r="BD24" s="0" t="n">
        <f aca="false">BD25*0.9999</f>
        <v>999.9</v>
      </c>
      <c r="BI24" s="0" t="n">
        <v>0</v>
      </c>
      <c r="BN24" s="0" t="n">
        <v>0</v>
      </c>
      <c r="CW24" s="0" t="n">
        <f aca="false">CW23+1</f>
        <v>20</v>
      </c>
      <c r="CX24" s="0" t="n">
        <f aca="false">IF(DC23&gt;0,DB23,CX23)</f>
        <v>0</v>
      </c>
      <c r="CY24" s="0" t="n">
        <f aca="false">IF(DC23&lt;0,DB23,CY23)</f>
        <v>0.00095367431640625</v>
      </c>
      <c r="CZ24" s="0" t="n">
        <f aca="false">$C$6+$C$7*CX24+$C$8*CX24^2+$C$9*CX24^3+$C$10*CX24^4+$C$11*CX24^5</f>
        <v>10</v>
      </c>
      <c r="DA24" s="0" t="n">
        <f aca="false">$C$6+$C$7*CY24+$C$8*CY24^2+$C$9*CY24^3+$C$10*CY24^4+$C$11*CY24^5</f>
        <v>-85.367431640625</v>
      </c>
      <c r="DB24" s="0" t="n">
        <f aca="false">(CX24+CY24)/2</f>
        <v>0.000476837158203125</v>
      </c>
      <c r="DC24" s="0" t="n">
        <f aca="false">$C$6+$C$7*DB24+$C$8*DB24^2+$C$9*DB24^3+$C$10*DB24^4+$C$11*DB24^5</f>
        <v>-37.6837158203125</v>
      </c>
      <c r="DE24" s="6"/>
      <c r="DH24" s="0" t="n">
        <f aca="false">DH23-$DI$6</f>
        <v>8.69999998576176E-005</v>
      </c>
      <c r="DI24" s="6" t="n">
        <f aca="false">$C$6+$C$7*DH24+$C$8*DH24^2+$C$9*DH24^3+$C$10*DH24^4+$C$11*DH24^5</f>
        <v>1.30000001423824</v>
      </c>
      <c r="DJ24" s="0" t="n">
        <f aca="false">DH24*DI24*1000</f>
        <v>0.113100001053629</v>
      </c>
      <c r="DK24" s="0" t="n">
        <f aca="false">MIN(MAX(0.2,$E$5*SQRT(DH24)*($C$4/DI24/1000)^0.75),5)</f>
        <v>0.802288793835707</v>
      </c>
      <c r="DL24" s="0" t="n">
        <f aca="false">$AH$42+($AI$42-$AH$42)*($DK24-$AH$41)/($AI$41-$AH$41)</f>
        <v>0.618253394637587</v>
      </c>
      <c r="DM24" s="0" t="n">
        <f aca="false">$AH$43+($AI$43-$AH$43)*($DK24-$AH$41)/($AI$41-$AH$41)</f>
        <v>-0.146930469767534</v>
      </c>
      <c r="DN24" s="0" t="n">
        <f aca="false">$AH$44+($AI$44-$AH$44)*($DK24-$AH$41)/($AI$41-$AH$41)</f>
        <v>1.00548903691655</v>
      </c>
      <c r="DO24" s="0" t="n">
        <f aca="false">$AH$45+($AI$45-$AH$45)*($DK24-$AH$41)/($AI$41-$AH$41)</f>
        <v>-0.476811961786601</v>
      </c>
      <c r="DP24" s="0" t="n">
        <f aca="false">($DL24+$DM24*($DH23/$DH24)+$DN24*($DH23/$DH24)^2+$DO24*($DH23/$DH24)^3)</f>
        <v>1.00492717559541</v>
      </c>
      <c r="DQ24" s="0" t="n">
        <f aca="false">(DL24+DM24+DN24+DO24)</f>
        <v>1</v>
      </c>
      <c r="DR24" s="0" t="n">
        <f aca="false">($DL24+$DM24*($DH25/$DH24)+$DN24*($DH25/$DH24)^2+$DO24*($DH25/$DH24)^3)</f>
        <v>0.99496053827737</v>
      </c>
      <c r="DS24" s="0" t="n">
        <f aca="false">DJ23/DP24</f>
        <v>0.105082242434111</v>
      </c>
      <c r="DT24" s="0" t="n">
        <f aca="false">DJ24/DQ24</f>
        <v>0.11310000105363</v>
      </c>
      <c r="DU24" s="0" t="n">
        <f aca="false">DJ25/DR24</f>
        <v>0.121009825396518</v>
      </c>
      <c r="DV24" s="0" t="n">
        <f aca="false">DU24-DS24</f>
        <v>0.0159275829624063</v>
      </c>
      <c r="DW24" s="0" t="n">
        <f aca="false">IF((DT24-DS24)*(DU24-DT24)&lt;0,1,0)</f>
        <v>0</v>
      </c>
      <c r="DX24" s="0" t="n">
        <f aca="false">ABS(DV24)/(ABS(DV24)+ABS(DV25))</f>
        <v>0.504837740288592</v>
      </c>
      <c r="DY24" s="0" t="n">
        <f aca="false">DH24+DX24*(DH25-DH24)</f>
        <v>8.64951621181552E-005</v>
      </c>
    </row>
    <row r="25" customFormat="false" ht="12.75" hidden="false" customHeight="false" outlineLevel="0" collapsed="false">
      <c r="A25" s="1" t="s">
        <v>116</v>
      </c>
      <c r="B25" s="4" t="s">
        <v>117</v>
      </c>
      <c r="Z25" s="0" t="s">
        <v>44</v>
      </c>
      <c r="AC25" s="0" t="n">
        <f aca="false">AC28</f>
        <v>5E-005</v>
      </c>
      <c r="AD25" s="0" t="n">
        <f aca="false">AV28</f>
        <v>3</v>
      </c>
      <c r="AF25" s="0" t="n">
        <f aca="false">AJ28</f>
        <v>5</v>
      </c>
      <c r="AH25" s="0" t="n">
        <v>0.9</v>
      </c>
      <c r="AT25" s="0" t="n">
        <f aca="false">C20</f>
        <v>1000</v>
      </c>
      <c r="BB25" s="0" t="s">
        <v>44</v>
      </c>
      <c r="BD25" s="0" t="n">
        <f aca="false">BD26</f>
        <v>1000</v>
      </c>
      <c r="BI25" s="0" t="n">
        <f aca="false">BL26</f>
        <v>0.325186932967544</v>
      </c>
      <c r="BN25" s="0" t="n">
        <f aca="false">BO26</f>
        <v>3</v>
      </c>
      <c r="CW25" s="0" t="n">
        <f aca="false">CW24+1</f>
        <v>21</v>
      </c>
      <c r="CX25" s="0" t="n">
        <f aca="false">IF(DC24&gt;0,DB24,CX24)</f>
        <v>0</v>
      </c>
      <c r="CY25" s="0" t="n">
        <f aca="false">IF(DC24&lt;0,DB24,CY24)</f>
        <v>0.000476837158203125</v>
      </c>
      <c r="CZ25" s="0" t="n">
        <f aca="false">$C$6+$C$7*CX25+$C$8*CX25^2+$C$9*CX25^3+$C$10*CX25^4+$C$11*CX25^5</f>
        <v>10</v>
      </c>
      <c r="DA25" s="0" t="n">
        <f aca="false">$C$6+$C$7*CY25+$C$8*CY25^2+$C$9*CY25^3+$C$10*CY25^4+$C$11*CY25^5</f>
        <v>-37.6837158203125</v>
      </c>
      <c r="DB25" s="0" t="n">
        <f aca="false">(CX25+CY25)/2</f>
        <v>0.000238418579101562</v>
      </c>
      <c r="DC25" s="0" t="n">
        <f aca="false">$C$6+$C$7*DB25+$C$8*DB25^2+$C$9*DB25^3+$C$10*DB25^4+$C$11*DB25^5</f>
        <v>-13.8418579101563</v>
      </c>
      <c r="DE25" s="6"/>
      <c r="DH25" s="0" t="n">
        <f aca="false">DH24-$DI$6</f>
        <v>8.59999998592542E-005</v>
      </c>
      <c r="DI25" s="6" t="n">
        <f aca="false">$C$6+$C$7*DH25+$C$8*DH25^2+$C$9*DH25^3+$C$10*DH25^4+$C$11*DH25^5</f>
        <v>1.40000001407458</v>
      </c>
      <c r="DJ25" s="0" t="n">
        <f aca="false">DH25*DI25*1000</f>
        <v>0.12040000101337</v>
      </c>
      <c r="DK25" s="0" t="n">
        <f aca="false">MIN(MAX(0.2,$E$5*SQRT(DH25)*($C$4/DI25/1000)^0.75),5)</f>
        <v>0.754539210319566</v>
      </c>
      <c r="DL25" s="0" t="n">
        <f aca="false">$AH$42+($AI$42-$AH$42)*($DK25-$AH$41)/($AI$41-$AH$41)</f>
        <v>0.602535823396857</v>
      </c>
      <c r="DM25" s="0" t="n">
        <f aca="false">$AH$43+($AI$43-$AH$43)*($DK25-$AH$41)/($AI$41-$AH$41)</f>
        <v>-0.0805784443398975</v>
      </c>
      <c r="DN25" s="0" t="n">
        <f aca="false">$AH$44+($AI$44-$AH$44)*($DK25-$AH$41)/($AI$41-$AH$41)</f>
        <v>0.917052829112697</v>
      </c>
      <c r="DO25" s="0" t="n">
        <f aca="false">$AH$45+($AI$45-$AH$45)*($DK25-$AH$41)/($AI$41-$AH$41)</f>
        <v>-0.439010208169657</v>
      </c>
      <c r="DP25" s="0" t="n">
        <f aca="false">($DL25+$DM25*($DH24/$DH25)+$DN25*($DH24/$DH25)^2+$DO25*($DH24/$DH25)^3)</f>
        <v>1.00502077124407</v>
      </c>
      <c r="DQ25" s="0" t="n">
        <f aca="false">(DL25+DM25+DN25+DO25)</f>
        <v>1</v>
      </c>
      <c r="DR25" s="0" t="n">
        <f aca="false">($DL25+$DM25*($DH26/$DH25)+$DN25*($DH26/$DH25)^2+$DO25*($DH26/$DH25)^3)</f>
        <v>0.994871068183894</v>
      </c>
      <c r="DS25" s="0" t="n">
        <f aca="false">DJ24/DP25</f>
        <v>0.112534988618821</v>
      </c>
      <c r="DT25" s="0" t="n">
        <f aca="false">DJ25/DQ25</f>
        <v>0.12040000101337</v>
      </c>
      <c r="DU25" s="0" t="n">
        <f aca="false">DJ26/DR25</f>
        <v>0.12815731108405</v>
      </c>
      <c r="DV25" s="0" t="n">
        <f aca="false">DU25-DS25</f>
        <v>0.0156223224652293</v>
      </c>
      <c r="DW25" s="0" t="n">
        <f aca="false">IF((DT25-DS25)*(DU25-DT25)&lt;0,1,0)</f>
        <v>0</v>
      </c>
      <c r="DX25" s="0" t="n">
        <f aca="false">ABS(DV25)/(ABS(DV25)+ABS(DV26))</f>
        <v>0.504930610304108</v>
      </c>
      <c r="DY25" s="0" t="n">
        <f aca="false">DH25+DX25*(DH26-DH25)</f>
        <v>8.54950692497765E-005</v>
      </c>
    </row>
    <row r="26" customFormat="false" ht="12.75" hidden="false" customHeight="false" outlineLevel="0" collapsed="false">
      <c r="B26" s="0" t="s">
        <v>108</v>
      </c>
      <c r="C26" s="5" t="n">
        <v>500</v>
      </c>
      <c r="D26" s="0" t="s">
        <v>57</v>
      </c>
      <c r="AC26" s="0" t="n">
        <f aca="false">AC27*0.9999</f>
        <v>3.46440892667513E-005</v>
      </c>
      <c r="AG26" s="0" t="n">
        <v>0</v>
      </c>
      <c r="BB26" s="0" t="s">
        <v>44</v>
      </c>
      <c r="BC26" s="0" t="n">
        <f aca="false">BD26/AU28</f>
        <v>0.68581355203834</v>
      </c>
      <c r="BD26" s="0" t="n">
        <f aca="false">C20</f>
        <v>1000</v>
      </c>
      <c r="BE26" s="0" t="n">
        <f aca="false">BD26*PI()/30</f>
        <v>104.71975511966</v>
      </c>
      <c r="BF26" s="0" t="n">
        <f aca="false">$C$22*BD26/$C$20</f>
        <v>5E-005</v>
      </c>
      <c r="BG26" s="0" t="n">
        <f aca="false">$X$17*BF26^2</f>
        <v>5</v>
      </c>
      <c r="BH26" s="0" t="n">
        <f aca="false">BQ26/BE26</f>
        <v>0.0054003253838473</v>
      </c>
      <c r="BJ26" s="0" t="n">
        <f aca="false">BO26/$C$15</f>
        <v>0.5</v>
      </c>
      <c r="BK26" s="0" t="n">
        <f aca="false">BP26/$C$15</f>
        <v>0.2</v>
      </c>
      <c r="BL26" s="0" t="n">
        <f aca="false">BH26/$C$40</f>
        <v>0.325186932967544</v>
      </c>
      <c r="BM26" s="0" t="n">
        <f aca="false">BL26*$C$39+$C$40*BE26</f>
        <v>3.69018517764294</v>
      </c>
      <c r="BO26" s="0" t="n">
        <f aca="false">BP26+$C$30</f>
        <v>3</v>
      </c>
      <c r="BP26" s="0" t="n">
        <f aca="false">BL26*BM26</f>
        <v>1.2</v>
      </c>
      <c r="BQ26" s="0" t="n">
        <f aca="false">BR26+$AC$77*BE26^2</f>
        <v>0.565520751762972</v>
      </c>
      <c r="BR26" s="0" t="n">
        <f aca="false">$AC$54*$AC$56*(BD26/$C$20)^3</f>
        <v>0.268695957308244</v>
      </c>
      <c r="BS26" s="0" t="n">
        <f aca="false">BF26*BG26*1000</f>
        <v>0.25</v>
      </c>
      <c r="CW26" s="0" t="n">
        <f aca="false">CW25+1</f>
        <v>22</v>
      </c>
      <c r="CX26" s="0" t="n">
        <f aca="false">IF(DC25&gt;0,DB25,CX25)</f>
        <v>0</v>
      </c>
      <c r="CY26" s="0" t="n">
        <f aca="false">IF(DC25&lt;0,DB25,CY25)</f>
        <v>0.000238418579101562</v>
      </c>
      <c r="CZ26" s="0" t="n">
        <f aca="false">$C$6+$C$7*CX26+$C$8*CX26^2+$C$9*CX26^3+$C$10*CX26^4+$C$11*CX26^5</f>
        <v>10</v>
      </c>
      <c r="DA26" s="0" t="n">
        <f aca="false">$C$6+$C$7*CY26+$C$8*CY26^2+$C$9*CY26^3+$C$10*CY26^4+$C$11*CY26^5</f>
        <v>-13.8418579101563</v>
      </c>
      <c r="DB26" s="0" t="n">
        <f aca="false">(CX26+CY26)/2</f>
        <v>0.000119209289550781</v>
      </c>
      <c r="DC26" s="0" t="n">
        <f aca="false">$C$6+$C$7*DB26+$C$8*DB26^2+$C$9*DB26^3+$C$10*DB26^4+$C$11*DB26^5</f>
        <v>-1.92092895507813</v>
      </c>
      <c r="DE26" s="6"/>
      <c r="DH26" s="0" t="n">
        <f aca="false">DH25-$DI$6</f>
        <v>8.49999998608908E-005</v>
      </c>
      <c r="DI26" s="6" t="n">
        <f aca="false">$C$6+$C$7*DH26+$C$8*DH26^2+$C$9*DH26^3+$C$10*DH26^4+$C$11*DH26^5</f>
        <v>1.50000001391092</v>
      </c>
      <c r="DJ26" s="0" t="n">
        <f aca="false">DH26*DI26*1000</f>
        <v>0.127500000973764</v>
      </c>
      <c r="DK26" s="0" t="n">
        <f aca="false">MIN(MAX(0.2,$E$5*SQRT(DH26)*($C$4/DI26/1000)^0.75),5)</f>
        <v>0.71231097062661</v>
      </c>
      <c r="DL26" s="0" t="n">
        <f aca="false">$AH$42+($AI$42-$AH$42)*($DK26-$AH$41)/($AI$41-$AH$41)</f>
        <v>0.588635694497926</v>
      </c>
      <c r="DM26" s="0" t="n">
        <f aca="false">$AH$43+($AI$43-$AH$43)*($DK26-$AH$41)/($AI$41-$AH$41)</f>
        <v>-0.0218987862665609</v>
      </c>
      <c r="DN26" s="0" t="n">
        <f aca="false">$AH$44+($AI$44-$AH$44)*($DK26-$AH$41)/($AI$41-$AH$41)</f>
        <v>0.838842610181368</v>
      </c>
      <c r="DO26" s="0" t="n">
        <f aca="false">$AH$45+($AI$45-$AH$45)*($DK26-$AH$41)/($AI$41-$AH$41)</f>
        <v>-0.405579518412733</v>
      </c>
      <c r="DP26" s="0" t="n">
        <f aca="false">($DL26+$DM26*($DH25/$DH26)+$DN26*($DH25/$DH26)^2+$DO26*($DH25/$DH26)^3)</f>
        <v>1.00511230480749</v>
      </c>
      <c r="DQ26" s="0" t="n">
        <f aca="false">(DL26+DM26+DN26+DO26)</f>
        <v>1</v>
      </c>
      <c r="DR26" s="0" t="n">
        <f aca="false">($DL26+$DM26*($DH27/$DH26)+$DN26*($DH27/$DH26)^2+$DO26*($DH27/$DH26)^3)</f>
        <v>0.994783087318444</v>
      </c>
      <c r="DS26" s="0" t="n">
        <f aca="false">DJ25/DP26</f>
        <v>0.119787610237674</v>
      </c>
      <c r="DT26" s="0" t="n">
        <f aca="false">DJ26/DQ26</f>
        <v>0.127500000973764</v>
      </c>
      <c r="DU26" s="0" t="n">
        <f aca="false">DJ27/DR26</f>
        <v>0.135104831041212</v>
      </c>
      <c r="DV26" s="0" t="n">
        <f aca="false">DU26-DS26</f>
        <v>0.0153172208035385</v>
      </c>
      <c r="DW26" s="0" t="n">
        <f aca="false">IF((DT26-DS26)*(DU26-DT26)&lt;0,1,0)</f>
        <v>0</v>
      </c>
      <c r="DX26" s="0" t="n">
        <f aca="false">ABS(DV26)/(ABS(DV26)+ABS(DV27))</f>
        <v>0.505027442818564</v>
      </c>
      <c r="DY26" s="0" t="n">
        <f aca="false">DH26+DX26*(DH27-DH26)</f>
        <v>8.44949724188987E-005</v>
      </c>
    </row>
    <row r="27" customFormat="false" ht="12.75" hidden="false" customHeight="false" outlineLevel="0" collapsed="false">
      <c r="B27" s="0" t="s">
        <v>109</v>
      </c>
      <c r="C27" s="5" t="n">
        <v>2</v>
      </c>
      <c r="D27" s="0" t="s">
        <v>110</v>
      </c>
      <c r="E27" s="0" t="n">
        <v>19.14</v>
      </c>
      <c r="Z27" s="0" t="s">
        <v>118</v>
      </c>
      <c r="AC27" s="0" t="n">
        <f aca="false">AC53</f>
        <v>3.46475540221535E-005</v>
      </c>
      <c r="AG27" s="0" t="n">
        <f aca="false">$X$8+$X$9*AC27+$X$10*AC27^2+$X$11*AC27^3+$X$12*AC27^4+$X$13*AC27^5</f>
        <v>6.53524459778465</v>
      </c>
      <c r="CW27" s="0" t="n">
        <f aca="false">CW26+1</f>
        <v>23</v>
      </c>
      <c r="CX27" s="0" t="n">
        <f aca="false">IF(DC26&gt;0,DB26,CX26)</f>
        <v>0</v>
      </c>
      <c r="CY27" s="0" t="n">
        <f aca="false">IF(DC26&lt;0,DB26,CY26)</f>
        <v>0.000119209289550781</v>
      </c>
      <c r="CZ27" s="0" t="n">
        <f aca="false">$C$6+$C$7*CX27+$C$8*CX27^2+$C$9*CX27^3+$C$10*CX27^4+$C$11*CX27^5</f>
        <v>10</v>
      </c>
      <c r="DA27" s="0" t="n">
        <f aca="false">$C$6+$C$7*CY27+$C$8*CY27^2+$C$9*CY27^3+$C$10*CY27^4+$C$11*CY27^5</f>
        <v>-1.92092895507813</v>
      </c>
      <c r="DB27" s="0" t="n">
        <f aca="false">(CX27+CY27)/2</f>
        <v>5.96046447753906E-005</v>
      </c>
      <c r="DC27" s="0" t="n">
        <f aca="false">$C$6+$C$7*DB27+$C$8*DB27^2+$C$9*DB27^3+$C$10*DB27^4+$C$11*DB27^5</f>
        <v>4.03953552246094</v>
      </c>
      <c r="DE27" s="6"/>
      <c r="DH27" s="0" t="n">
        <f aca="false">DH26-$DI$6</f>
        <v>8.39999998625274E-005</v>
      </c>
      <c r="DI27" s="6" t="n">
        <f aca="false">$C$6+$C$7*DH27+$C$8*DH27^2+$C$9*DH27^3+$C$10*DH27^4+$C$11*DH27^5</f>
        <v>1.60000001374726</v>
      </c>
      <c r="DJ27" s="0" t="n">
        <f aca="false">DH27*DI27*1000</f>
        <v>0.134400000934814</v>
      </c>
      <c r="DK27" s="0" t="n">
        <f aca="false">MIN(MAX(0.2,$E$5*SQRT(DH27)*($C$4/DI27/1000)^0.75),5)</f>
        <v>0.674649605679079</v>
      </c>
      <c r="DL27" s="0" t="n">
        <f aca="false">$AH$42+($AI$42-$AH$42)*($DK27-$AH$41)/($AI$41-$AH$41)</f>
        <v>0.57623882853603</v>
      </c>
      <c r="DM27" s="0" t="n">
        <f aca="false">$AH$43+($AI$43-$AH$43)*($DK27-$AH$41)/($AI$41-$AH$41)</f>
        <v>0.0304348187751134</v>
      </c>
      <c r="DN27" s="0" t="n">
        <f aca="false">$AH$44+($AI$44-$AH$44)*($DK27-$AH$41)/($AI$41-$AH$41)</f>
        <v>0.76909062385146</v>
      </c>
      <c r="DO27" s="0" t="n">
        <f aca="false">$AH$45+($AI$45-$AH$45)*($DK27-$AH$41)/($AI$41-$AH$41)</f>
        <v>-0.375764271162604</v>
      </c>
      <c r="DP27" s="0" t="n">
        <f aca="false">($DL27+$DM27*($DH26/$DH27)+$DN27*($DH26/$DH27)^2+$DO27*($DH26/$DH27)^3)</f>
        <v>1.00520244865042</v>
      </c>
      <c r="DQ27" s="0" t="n">
        <f aca="false">(DL27+DM27+DN27+DO27)</f>
        <v>1</v>
      </c>
      <c r="DR27" s="0" t="n">
        <f aca="false">($DL27+$DM27*($DH28/$DH27)+$DN27*($DH28/$DH27)^2+$DO27*($DH28/$DH27)^3)</f>
        <v>0.99469602011669</v>
      </c>
      <c r="DS27" s="0" t="n">
        <f aca="false">DJ26/DP27</f>
        <v>0.126840121753529</v>
      </c>
      <c r="DT27" s="0" t="n">
        <f aca="false">DJ27/DQ27</f>
        <v>0.134400000934814</v>
      </c>
      <c r="DU27" s="0" t="n">
        <f aca="false">DJ28/DR27</f>
        <v>0.141852383082789</v>
      </c>
      <c r="DV27" s="0" t="n">
        <f aca="false">DU27-DS27</f>
        <v>0.0150122613292599</v>
      </c>
      <c r="DW27" s="0" t="n">
        <f aca="false">IF((DT27-DS27)*(DU27-DT27)&lt;0,1,0)</f>
        <v>0</v>
      </c>
      <c r="DX27" s="0" t="n">
        <f aca="false">ABS(DV27)/(ABS(DV27)+ABS(DV28))</f>
        <v>0.505128436338707</v>
      </c>
      <c r="DY27" s="0" t="n">
        <f aca="false">DH27+DX27*(DH28-DH27)</f>
        <v>8.34948714270154E-005</v>
      </c>
    </row>
    <row r="28" customFormat="false" ht="12.75" hidden="false" customHeight="false" outlineLevel="0" collapsed="false">
      <c r="Z28" s="0" t="s">
        <v>44</v>
      </c>
      <c r="AB28" s="0" t="n">
        <f aca="false">AC28/$X$16</f>
        <v>1.44310331309478</v>
      </c>
      <c r="AC28" s="0" t="n">
        <f aca="false">$C$22</f>
        <v>5E-005</v>
      </c>
      <c r="AJ28" s="0" t="n">
        <f aca="false">$X$8+$X$9*AC28+$X$10*AC28^2+$X$11*AC28^3+$X$12*AC28^4+$X$13*AC28^5</f>
        <v>5</v>
      </c>
      <c r="AK28" s="0" t="n">
        <f aca="false">$X$17*AC28^2</f>
        <v>5</v>
      </c>
      <c r="AL28" s="0" t="n">
        <f aca="false">AY28/$AC$51</f>
        <v>0.00256585738766496</v>
      </c>
      <c r="AM28" s="0" t="n">
        <f aca="false">AZ28/AY28</f>
        <v>0.930419655377261</v>
      </c>
      <c r="AN28" s="0" t="n">
        <f aca="false">AX28/AW28</f>
        <v>0.47126729313581</v>
      </c>
      <c r="AO28" s="0" t="n">
        <f aca="false">AZ28/AV28</f>
        <v>0.0833333333333333</v>
      </c>
      <c r="AP28" s="0" t="n">
        <f aca="false">AL28+$X$18</f>
        <v>0.0054003253838473</v>
      </c>
      <c r="AQ28" s="0" t="n">
        <f aca="false">AP28/$C$40</f>
        <v>0.325186932967544</v>
      </c>
      <c r="AR28" s="0" t="n">
        <f aca="false">AQ28*$C$39+$C$40*$AC$51</f>
        <v>3.69018517764294</v>
      </c>
      <c r="AS28" s="0" t="n">
        <f aca="false">AY28/$AC$51^3</f>
        <v>2.33978136818085E-007</v>
      </c>
      <c r="AU28" s="0" t="n">
        <f aca="false">(-$AV$32+SQRT($AV$32^2-4*AS28*$AV$33))/(2*AS28)*30/PI()</f>
        <v>1458.1222506144</v>
      </c>
      <c r="AV28" s="0" t="n">
        <f aca="false">AW28+$C$30</f>
        <v>3</v>
      </c>
      <c r="AW28" s="0" t="n">
        <f aca="false">AR28*AQ28</f>
        <v>1.2</v>
      </c>
      <c r="AX28" s="0" t="n">
        <f aca="false">AP28*$AC$51</f>
        <v>0.565520751762972</v>
      </c>
      <c r="AY28" s="0" t="n">
        <f aca="false">$AC$54*($AC$42+$AC$43*AB28+$AC$44*AB28^2+$AC$45*AB28^3)</f>
        <v>0.268695957308244</v>
      </c>
      <c r="AZ28" s="0" t="n">
        <f aca="false">AJ28*AC28*1000</f>
        <v>0.25</v>
      </c>
      <c r="CW28" s="0" t="n">
        <f aca="false">CW27+1</f>
        <v>24</v>
      </c>
      <c r="CX28" s="0" t="n">
        <f aca="false">IF(DC27&gt;0,DB27,CX27)</f>
        <v>5.96046447753906E-005</v>
      </c>
      <c r="CY28" s="0" t="n">
        <f aca="false">IF(DC27&lt;0,DB27,CY27)</f>
        <v>0.000119209289550781</v>
      </c>
      <c r="CZ28" s="0" t="n">
        <f aca="false">$C$6+$C$7*CX28+$C$8*CX28^2+$C$9*CX28^3+$C$10*CX28^4+$C$11*CX28^5</f>
        <v>4.03953552246094</v>
      </c>
      <c r="DA28" s="0" t="n">
        <f aca="false">$C$6+$C$7*CY28+$C$8*CY28^2+$C$9*CY28^3+$C$10*CY28^4+$C$11*CY28^5</f>
        <v>-1.92092895507813</v>
      </c>
      <c r="DB28" s="0" t="n">
        <f aca="false">(CX28+CY28)/2</f>
        <v>8.94069671630859E-005</v>
      </c>
      <c r="DC28" s="0" t="n">
        <f aca="false">$C$6+$C$7*DB28+$C$8*DB28^2+$C$9*DB28^3+$C$10*DB28^4+$C$11*DB28^5</f>
        <v>1.05930328369141</v>
      </c>
      <c r="DE28" s="6"/>
      <c r="DH28" s="0" t="n">
        <f aca="false">DH27-$DI$6</f>
        <v>8.2999999864164E-005</v>
      </c>
      <c r="DI28" s="6" t="n">
        <f aca="false">$C$6+$C$7*DH28+$C$8*DH28^2+$C$9*DH28^3+$C$10*DH28^4+$C$11*DH28^5</f>
        <v>1.7000000135836</v>
      </c>
      <c r="DJ28" s="0" t="n">
        <f aca="false">DH28*DI28*1000</f>
        <v>0.141100000896518</v>
      </c>
      <c r="DK28" s="0" t="n">
        <f aca="false">MIN(MAX(0.2,$E$5*SQRT(DH28)*($C$4/DI28/1000)^0.75),5)</f>
        <v>0.640812493290492</v>
      </c>
      <c r="DL28" s="0" t="n">
        <f aca="false">$AH$42+($AI$42-$AH$42)*($DK28-$AH$41)/($AI$41-$AH$41)</f>
        <v>0.565100779041454</v>
      </c>
      <c r="DM28" s="0" t="n">
        <f aca="false">$AH$43+($AI$43-$AH$43)*($DK28-$AH$41)/($AI$41-$AH$41)</f>
        <v>0.0774543061984199</v>
      </c>
      <c r="DN28" s="0" t="n">
        <f aca="false">$AH$44+($AI$44-$AH$44)*($DK28-$AH$41)/($AI$41-$AH$41)</f>
        <v>0.706421471948433</v>
      </c>
      <c r="DO28" s="0" t="n">
        <f aca="false">$AH$45+($AI$45-$AH$45)*($DK28-$AH$41)/($AI$41-$AH$41)</f>
        <v>-0.348976557188306</v>
      </c>
      <c r="DP28" s="0" t="n">
        <f aca="false">($DL28+$DM28*($DH27/$DH28)+$DN28*($DH27/$DH28)^2+$DO28*($DH27/$DH28)^3)</f>
        <v>1.00529173991604</v>
      </c>
      <c r="DQ28" s="0" t="n">
        <f aca="false">(DL28+DM28+DN28+DO28)</f>
        <v>1</v>
      </c>
      <c r="DR28" s="0" t="n">
        <f aca="false">($DL28+$DM28*($DH29/$DH28)+$DN28*($DH29/$DH28)^2+$DO28*($DH29/$DH28)^3)</f>
        <v>0.994609404459166</v>
      </c>
      <c r="DS28" s="0" t="n">
        <f aca="false">DJ27/DP28</f>
        <v>0.133692534811874</v>
      </c>
      <c r="DT28" s="0" t="n">
        <f aca="false">DJ28/DQ28</f>
        <v>0.141100000896518</v>
      </c>
      <c r="DU28" s="0" t="n">
        <f aca="false">DJ29/DR28</f>
        <v>0.148399965048728</v>
      </c>
      <c r="DV28" s="0" t="n">
        <f aca="false">DU28-DS28</f>
        <v>0.0147074302368543</v>
      </c>
      <c r="DW28" s="0" t="n">
        <f aca="false">IF((DT28-DS28)*(DU28-DT28)&lt;0,1,0)</f>
        <v>0</v>
      </c>
      <c r="DX28" s="0" t="n">
        <f aca="false">ABS(DV28)/(ABS(DV28)+ABS(DV29))</f>
        <v>0.505233815944634</v>
      </c>
      <c r="DY28" s="0" t="n">
        <f aca="false">DH28+DX28*(DH29-DH28)</f>
        <v>8.24947660490462E-005</v>
      </c>
    </row>
    <row r="29" customFormat="false" ht="12.75" hidden="false" customHeight="false" outlineLevel="0" collapsed="false">
      <c r="A29" s="1" t="s">
        <v>119</v>
      </c>
      <c r="B29" s="4" t="s">
        <v>120</v>
      </c>
      <c r="CW29" s="0" t="n">
        <f aca="false">CW28+1</f>
        <v>25</v>
      </c>
      <c r="CX29" s="0" t="n">
        <f aca="false">IF(DC28&gt;0,DB28,CX28)</f>
        <v>8.94069671630859E-005</v>
      </c>
      <c r="CY29" s="0" t="n">
        <f aca="false">IF(DC28&lt;0,DB28,CY28)</f>
        <v>0.000119209289550781</v>
      </c>
      <c r="CZ29" s="0" t="n">
        <f aca="false">$C$6+$C$7*CX29+$C$8*CX29^2+$C$9*CX29^3+$C$10*CX29^4+$C$11*CX29^5</f>
        <v>1.05930328369141</v>
      </c>
      <c r="DA29" s="0" t="n">
        <f aca="false">$C$6+$C$7*CY29+$C$8*CY29^2+$C$9*CY29^3+$C$10*CY29^4+$C$11*CY29^5</f>
        <v>-1.92092895507813</v>
      </c>
      <c r="DB29" s="0" t="n">
        <f aca="false">(CX29+CY29)/2</f>
        <v>0.000104308128356934</v>
      </c>
      <c r="DC29" s="0" t="n">
        <f aca="false">$C$6+$C$7*DB29+$C$8*DB29^2+$C$9*DB29^3+$C$10*DB29^4+$C$11*DB29^5</f>
        <v>-0.430812835693359</v>
      </c>
      <c r="DE29" s="6"/>
      <c r="DH29" s="0" t="n">
        <f aca="false">DH28-$DI$6</f>
        <v>8.19999998658005E-005</v>
      </c>
      <c r="DI29" s="6" t="n">
        <f aca="false">$C$6+$C$7*DH29+$C$8*DH29^2+$C$9*DH29^3+$C$10*DH29^4+$C$11*DH29^5</f>
        <v>1.80000001341995</v>
      </c>
      <c r="DJ29" s="0" t="n">
        <f aca="false">DH29*DI29*1000</f>
        <v>0.147600000858877</v>
      </c>
      <c r="DK29" s="0" t="n">
        <f aca="false">MIN(MAX(0.2,$E$5*SQRT(DH29)*($C$4/DI29/1000)^0.75),5)</f>
        <v>0.610212588209503</v>
      </c>
      <c r="DL29" s="0" t="n">
        <f aca="false">$AH$42+($AI$42-$AH$42)*($DK29-$AH$41)/($AI$41-$AH$41)</f>
        <v>0.555028310285628</v>
      </c>
      <c r="DM29" s="0" t="n">
        <f aca="false">$AH$43+($AI$43-$AH$43)*($DK29-$AH$41)/($AI$41-$AH$41)</f>
        <v>0.119975424300544</v>
      </c>
      <c r="DN29" s="0" t="n">
        <f aca="false">$AH$44+($AI$44-$AH$44)*($DK29-$AH$41)/($AI$41-$AH$41)</f>
        <v>0.649747897746351</v>
      </c>
      <c r="DO29" s="0" t="n">
        <f aca="false">$AH$45+($AI$45-$AH$45)*($DK29-$AH$41)/($AI$41-$AH$41)</f>
        <v>-0.324751632332523</v>
      </c>
      <c r="DP29" s="0" t="n">
        <f aca="false">($DL29+$DM29*($DH28/$DH29)+$DN29*($DH28/$DH29)^2+$DO29*($DH28/$DH29)^3)</f>
        <v>1.0053806173534</v>
      </c>
      <c r="DQ29" s="0" t="n">
        <f aca="false">(DL29+DM29+DN29+DO29)</f>
        <v>1</v>
      </c>
      <c r="DR29" s="0" t="n">
        <f aca="false">($DL29+$DM29*($DH30/$DH29)+$DN29*($DH30/$DH29)^2+$DO29*($DH30/$DH29)^3)</f>
        <v>0.994522860636119</v>
      </c>
      <c r="DS29" s="0" t="n">
        <f aca="false">DJ28/DP29</f>
        <v>0.14034485891319</v>
      </c>
      <c r="DT29" s="0" t="n">
        <f aca="false">DJ29/DQ29</f>
        <v>0.147600000858877</v>
      </c>
      <c r="DU29" s="0" t="n">
        <f aca="false">DJ30/DR29</f>
        <v>0.154747574855597</v>
      </c>
      <c r="DV29" s="0" t="n">
        <f aca="false">DU29-DS29</f>
        <v>0.014402715942407</v>
      </c>
      <c r="DW29" s="0" t="n">
        <f aca="false">IF((DT29-DS29)*(DU29-DT29)&lt;0,1,0)</f>
        <v>0</v>
      </c>
      <c r="DX29" s="0" t="n">
        <f aca="false">ABS(DV29)/(ABS(DV29)+ABS(DV30))</f>
        <v>0.505343833402394</v>
      </c>
      <c r="DY29" s="0" t="n">
        <f aca="false">DH29+DX29*(DH30-DH29)</f>
        <v>8.14946560332252E-005</v>
      </c>
    </row>
    <row r="30" customFormat="false" ht="12.75" hidden="false" customHeight="false" outlineLevel="0" collapsed="false">
      <c r="B30" s="0" t="s">
        <v>121</v>
      </c>
      <c r="C30" s="5" t="n">
        <v>1.8</v>
      </c>
      <c r="D30" s="0" t="s">
        <v>122</v>
      </c>
      <c r="E30" s="9" t="n">
        <f aca="false">MIN(CL149:CL249)</f>
        <v>1.75010757474946</v>
      </c>
      <c r="F30" s="0" t="s">
        <v>113</v>
      </c>
      <c r="G30" s="9" t="n">
        <f aca="false">MAX(CL149:CL249)</f>
        <v>1.86809235506965</v>
      </c>
      <c r="H30" s="0" t="s">
        <v>110</v>
      </c>
      <c r="AA30" s="0" t="s">
        <v>123</v>
      </c>
      <c r="AC30" s="0" t="s">
        <v>124</v>
      </c>
      <c r="AD30" s="0" t="s">
        <v>45</v>
      </c>
      <c r="CW30" s="0" t="n">
        <f aca="false">CW29+1</f>
        <v>26</v>
      </c>
      <c r="CX30" s="0" t="n">
        <f aca="false">IF(DC29&gt;0,DB29,CX29)</f>
        <v>8.94069671630859E-005</v>
      </c>
      <c r="CY30" s="0" t="n">
        <f aca="false">IF(DC29&lt;0,DB29,CY29)</f>
        <v>0.000104308128356934</v>
      </c>
      <c r="CZ30" s="0" t="n">
        <f aca="false">$C$6+$C$7*CX30+$C$8*CX30^2+$C$9*CX30^3+$C$10*CX30^4+$C$11*CX30^5</f>
        <v>1.05930328369141</v>
      </c>
      <c r="DA30" s="0" t="n">
        <f aca="false">$C$6+$C$7*CY30+$C$8*CY30^2+$C$9*CY30^3+$C$10*CY30^4+$C$11*CY30^5</f>
        <v>-0.430812835693359</v>
      </c>
      <c r="DB30" s="0" t="n">
        <f aca="false">(CX30+CY30)/2</f>
        <v>9.68575477600098E-005</v>
      </c>
      <c r="DC30" s="0" t="n">
        <f aca="false">$C$6+$C$7*DB30+$C$8*DB30^2+$C$9*DB30^3+$C$10*DB30^4+$C$11*DB30^5</f>
        <v>0.314245223999023</v>
      </c>
      <c r="DE30" s="6"/>
      <c r="DH30" s="0" t="n">
        <f aca="false">DH29-$DI$6</f>
        <v>8.09999998674371E-005</v>
      </c>
      <c r="DI30" s="6" t="n">
        <f aca="false">$C$6+$C$7*DH30+$C$8*DH30^2+$C$9*DH30^3+$C$10*DH30^4+$C$11*DH30^5</f>
        <v>1.90000001325629</v>
      </c>
      <c r="DJ30" s="0" t="n">
        <f aca="false">DH30*DI30*1000</f>
        <v>0.15390000082189</v>
      </c>
      <c r="DK30" s="0" t="n">
        <f aca="false">MIN(MAX(0.2,$E$5*SQRT(DH30)*($C$4/DI30/1000)^0.75),5)</f>
        <v>0.582379291938044</v>
      </c>
      <c r="DL30" s="0" t="n">
        <f aca="false">$AH$42+($AI$42-$AH$42)*($DK30-$AH$41)/($AI$41-$AH$41)</f>
        <v>0.545866516929606</v>
      </c>
      <c r="DM30" s="0" t="n">
        <f aca="false">$AH$43+($AI$43-$AH$43)*($DK30-$AH$41)/($AI$41-$AH$41)</f>
        <v>0.158652108911093</v>
      </c>
      <c r="DN30" s="0" t="n">
        <f aca="false">$AH$44+($AI$44-$AH$44)*($DK30-$AH$41)/($AI$41-$AH$41)</f>
        <v>0.598198313610253</v>
      </c>
      <c r="DO30" s="0" t="n">
        <f aca="false">$AH$45+($AI$45-$AH$45)*($DK30-$AH$41)/($AI$41-$AH$41)</f>
        <v>-0.302716939450952</v>
      </c>
      <c r="DP30" s="0" t="n">
        <f aca="false">($DL30+$DM30*($DH29/$DH30)+$DN30*($DH29/$DH30)^2+$DO30*($DH29/$DH30)^3)</f>
        <v>1.0054694469729</v>
      </c>
      <c r="DQ30" s="0" t="n">
        <f aca="false">(DL30+DM30+DN30+DO30)</f>
        <v>1</v>
      </c>
      <c r="DR30" s="0" t="n">
        <f aca="false">($DL30+$DM30*($DH31/$DH30)+$DN30*($DH31/$DH30)^2+$DO30*($DH31/$DH30)^3)</f>
        <v>0.994436069715187</v>
      </c>
      <c r="DS30" s="0" t="n">
        <f aca="false">DJ29/DP30</f>
        <v>0.146797101894291</v>
      </c>
      <c r="DT30" s="0" t="n">
        <f aca="false">DJ30/DQ30</f>
        <v>0.15390000082189</v>
      </c>
      <c r="DU30" s="0" t="n">
        <f aca="false">DJ31/DR30</f>
        <v>0.160895210520052</v>
      </c>
      <c r="DV30" s="0" t="n">
        <f aca="false">DU30-DS30</f>
        <v>0.0140981086257607</v>
      </c>
      <c r="DW30" s="0" t="n">
        <f aca="false">IF((DT30-DS30)*(DU30-DT30)&lt;0,1,0)</f>
        <v>0</v>
      </c>
      <c r="DX30" s="0" t="n">
        <f aca="false">ABS(DV30)/(ABS(DV30)+ABS(DV31))</f>
        <v>0.505458768133457</v>
      </c>
      <c r="DY30" s="0" t="n">
        <f aca="false">DH30+DX30*(DH31-DH30)</f>
        <v>8.04945411001309E-005</v>
      </c>
    </row>
    <row r="31" customFormat="false" ht="13.5" hidden="false" customHeight="false" outlineLevel="0" collapsed="false">
      <c r="AA31" s="1" t="s">
        <v>11</v>
      </c>
      <c r="AB31" s="0" t="s">
        <v>125</v>
      </c>
      <c r="AT31" s="0" t="s">
        <v>47</v>
      </c>
      <c r="AU31" s="0" t="s">
        <v>126</v>
      </c>
      <c r="CW31" s="0" t="n">
        <f aca="false">CW30+1</f>
        <v>27</v>
      </c>
      <c r="CX31" s="0" t="n">
        <f aca="false">IF(DC30&gt;0,DB30,CX30)</f>
        <v>9.68575477600098E-005</v>
      </c>
      <c r="CY31" s="0" t="n">
        <f aca="false">IF(DC30&lt;0,DB30,CY30)</f>
        <v>0.000104308128356934</v>
      </c>
      <c r="CZ31" s="0" t="n">
        <f aca="false">$C$6+$C$7*CX31+$C$8*CX31^2+$C$9*CX31^3+$C$10*CX31^4+$C$11*CX31^5</f>
        <v>0.314245223999023</v>
      </c>
      <c r="DA31" s="0" t="n">
        <f aca="false">$C$6+$C$7*CY31+$C$8*CY31^2+$C$9*CY31^3+$C$10*CY31^4+$C$11*CY31^5</f>
        <v>-0.430812835693359</v>
      </c>
      <c r="DB31" s="0" t="n">
        <f aca="false">(CX31+CY31)/2</f>
        <v>0.000100582838058472</v>
      </c>
      <c r="DC31" s="0" t="n">
        <f aca="false">$C$6+$C$7*DB31+$C$8*DB31^2+$C$9*DB31^3+$C$10*DB31^4+$C$11*DB31^5</f>
        <v>-0.058283805847168</v>
      </c>
      <c r="DE31" s="6"/>
      <c r="DH31" s="0" t="n">
        <f aca="false">DH30-$DI$6</f>
        <v>7.99999998690737E-005</v>
      </c>
      <c r="DI31" s="6" t="n">
        <f aca="false">$C$6+$C$7*DH31+$C$8*DH31^2+$C$9*DH31^3+$C$10*DH31^4+$C$11*DH31^5</f>
        <v>2.00000001309263</v>
      </c>
      <c r="DJ31" s="0" t="n">
        <f aca="false">DH31*DI31*1000</f>
        <v>0.160000000785558</v>
      </c>
      <c r="DK31" s="0" t="n">
        <f aca="false">MIN(MAX(0.2,$E$5*SQRT(DH31)*($C$4/DI31/1000)^0.75),5)</f>
        <v>0.556930640791857</v>
      </c>
      <c r="DL31" s="0" t="n">
        <f aca="false">$AH$42+($AI$42-$AH$42)*($DK31-$AH$41)/($AI$41-$AH$41)</f>
        <v>0.537489669260653</v>
      </c>
      <c r="DM31" s="0" t="n">
        <f aca="false">$AH$43+($AI$43-$AH$43)*($DK31-$AH$41)/($AI$41-$AH$41)</f>
        <v>0.194015130399648</v>
      </c>
      <c r="DN31" s="0" t="n">
        <f aca="false">$AH$44+($AI$44-$AH$44)*($DK31-$AH$41)/($AI$41-$AH$41)</f>
        <v>0.551065290966585</v>
      </c>
      <c r="DO31" s="0" t="n">
        <f aca="false">$AH$45+($AI$45-$AH$45)*($DK31-$AH$41)/($AI$41-$AH$41)</f>
        <v>-0.282570090626887</v>
      </c>
      <c r="DP31" s="0" t="n">
        <f aca="false">($DL31+$DM31*($DH30/$DH31)+$DN31*($DH30/$DH31)^2+$DO31*($DH30/$DH31)^3)</f>
        <v>1.00555854033268</v>
      </c>
      <c r="DQ31" s="0" t="n">
        <f aca="false">(DL31+DM31+DN31+DO31)</f>
        <v>1</v>
      </c>
      <c r="DR31" s="0" t="n">
        <f aca="false">($DL31+$DM31*($DH32/$DH31)+$DN31*($DH32/$DH31)^2+$DO31*($DH32/$DH31)^3)</f>
        <v>0.994348758110788</v>
      </c>
      <c r="DS31" s="0" t="n">
        <f aca="false">DJ30/DP31</f>
        <v>0.153049270280151</v>
      </c>
      <c r="DT31" s="0" t="n">
        <f aca="false">DJ31/DQ31</f>
        <v>0.160000000785558</v>
      </c>
      <c r="DU31" s="0" t="n">
        <f aca="false">DJ32/DR31</f>
        <v>0.166842870166683</v>
      </c>
      <c r="DV31" s="0" t="n">
        <f aca="false">DU31-DS31</f>
        <v>0.0137935998865315</v>
      </c>
      <c r="DW31" s="0" t="n">
        <f aca="false">IF((DT31-DS31)*(DU31-DT31)&lt;0,1,0)</f>
        <v>0</v>
      </c>
      <c r="DX31" s="0" t="n">
        <f aca="false">ABS(DV31)/(ABS(DV31)+ABS(DV32))</f>
        <v>0.505578928883288</v>
      </c>
      <c r="DY31" s="0" t="n">
        <f aca="false">DH31+DX31*(DH32-DH31)</f>
        <v>7.94944209410178E-005</v>
      </c>
    </row>
    <row r="32" customFormat="false" ht="13.5" hidden="false" customHeight="false" outlineLevel="0" collapsed="false">
      <c r="A32" s="10" t="s">
        <v>127</v>
      </c>
      <c r="B32" s="11" t="s">
        <v>128</v>
      </c>
      <c r="C32" s="12"/>
      <c r="D32" s="13"/>
      <c r="AB32" s="0" t="s">
        <v>129</v>
      </c>
      <c r="AC32" s="0" t="n">
        <f aca="false">DB2</f>
        <v>9.99999998363421E-005</v>
      </c>
      <c r="AD32" s="0" t="s">
        <v>41</v>
      </c>
      <c r="AT32" s="0" t="s">
        <v>48</v>
      </c>
      <c r="AU32" s="0" t="s">
        <v>130</v>
      </c>
      <c r="AV32" s="0" t="n">
        <f aca="false">AC77+C40^2/C39</f>
        <v>7.30316642820429E-005</v>
      </c>
      <c r="CW32" s="0" t="n">
        <f aca="false">CW31+1</f>
        <v>28</v>
      </c>
      <c r="CX32" s="0" t="n">
        <f aca="false">IF(DC31&gt;0,DB31,CX31)</f>
        <v>9.68575477600098E-005</v>
      </c>
      <c r="CY32" s="0" t="n">
        <f aca="false">IF(DC31&lt;0,DB31,CY31)</f>
        <v>0.000100582838058472</v>
      </c>
      <c r="CZ32" s="0" t="n">
        <f aca="false">$C$6+$C$7*CX32+$C$8*CX32^2+$C$9*CX32^3+$C$10*CX32^4+$C$11*CX32^5</f>
        <v>0.314245223999023</v>
      </c>
      <c r="DA32" s="0" t="n">
        <f aca="false">$C$6+$C$7*CY32+$C$8*CY32^2+$C$9*CY32^3+$C$10*CY32^4+$C$11*CY32^5</f>
        <v>-0.058283805847168</v>
      </c>
      <c r="DB32" s="0" t="n">
        <f aca="false">(CX32+CY32)/2</f>
        <v>9.87201929092407E-005</v>
      </c>
      <c r="DC32" s="0" t="n">
        <f aca="false">$C$6+$C$7*DB32+$C$8*DB32^2+$C$9*DB32^3+$C$10*DB32^4+$C$11*DB32^5</f>
        <v>0.127980709075928</v>
      </c>
      <c r="DE32" s="6"/>
      <c r="DH32" s="0" t="n">
        <f aca="false">DH31-$DI$6</f>
        <v>7.89999998707103E-005</v>
      </c>
      <c r="DI32" s="6" t="n">
        <f aca="false">$C$6+$C$7*DH32+$C$8*DH32^2+$C$9*DH32^3+$C$10*DH32^4+$C$11*DH32^5</f>
        <v>2.10000001292897</v>
      </c>
      <c r="DJ32" s="0" t="n">
        <f aca="false">DH32*DI32*1000</f>
        <v>0.16590000074988</v>
      </c>
      <c r="DK32" s="0" t="n">
        <f aca="false">MIN(MAX(0.2,$E$5*SQRT(DH32)*($C$4/DI32/1000)^0.75),5)</f>
        <v>0.53355315241346</v>
      </c>
      <c r="DL32" s="0" t="n">
        <f aca="false">$AH$42+($AI$42-$AH$42)*($DK32-$AH$41)/($AI$41-$AH$41)</f>
        <v>0.529794579336097</v>
      </c>
      <c r="DM32" s="0" t="n">
        <f aca="false">$AH$43+($AI$43-$AH$43)*($DK32-$AH$41)/($AI$41-$AH$41)</f>
        <v>0.226500098625463</v>
      </c>
      <c r="DN32" s="0" t="n">
        <f aca="false">$AH$44+($AI$44-$AH$44)*($DK32-$AH$41)/($AI$41-$AH$41)</f>
        <v>0.507768234365762</v>
      </c>
      <c r="DO32" s="0" t="n">
        <f aca="false">$AH$45+($AI$45-$AH$45)*($DK32-$AH$41)/($AI$41-$AH$41)</f>
        <v>-0.264062912327322</v>
      </c>
      <c r="DP32" s="0" t="n">
        <f aca="false">($DL32+$DM32*($DH31/$DH32)+$DN32*($DH31/$DH32)^2+$DO32*($DH31/$DH32)^3)</f>
        <v>1.00564816784626</v>
      </c>
      <c r="DQ32" s="0" t="n">
        <f aca="false">(DL32+DM32+DN32+DO32)</f>
        <v>1</v>
      </c>
      <c r="DR32" s="0" t="n">
        <f aca="false">($DL32+$DM32*($DH33/$DH32)+$DN32*($DH33/$DH32)^2+$DO32*($DH33/$DH32)^3)</f>
        <v>0.994260686342937</v>
      </c>
      <c r="DS32" s="0" t="n">
        <f aca="false">DJ31/DP32</f>
        <v>0.159101369545794</v>
      </c>
      <c r="DT32" s="0" t="n">
        <f aca="false">DJ32/DQ32</f>
        <v>0.16590000074988</v>
      </c>
      <c r="DU32" s="0" t="n">
        <f aca="false">DJ33/DR32</f>
        <v>0.172590552027187</v>
      </c>
      <c r="DV32" s="0" t="n">
        <f aca="false">DU32-DS32</f>
        <v>0.0134891824813938</v>
      </c>
      <c r="DW32" s="0" t="n">
        <f aca="false">IF((DT32-DS32)*(DU32-DT32)&lt;0,1,0)</f>
        <v>0</v>
      </c>
      <c r="DX32" s="0" t="n">
        <f aca="false">ABS(DV32)/(ABS(DV32)+ABS(DV33))</f>
        <v>0.505704656012524</v>
      </c>
      <c r="DY32" s="0" t="n">
        <f aca="false">DH32+DX32*(DH33-DH32)</f>
        <v>7.84942952155254E-005</v>
      </c>
    </row>
    <row r="33" customFormat="false" ht="12.75" hidden="false" customHeight="false" outlineLevel="0" collapsed="false">
      <c r="A33" s="14"/>
      <c r="B33" s="15" t="s">
        <v>131</v>
      </c>
      <c r="C33" s="16" t="n">
        <f aca="false">AC35</f>
        <v>3.46475540221535E-005</v>
      </c>
      <c r="D33" s="17" t="s">
        <v>41</v>
      </c>
      <c r="AT33" s="0" t="s">
        <v>51</v>
      </c>
      <c r="AU33" s="0" t="s">
        <v>132</v>
      </c>
      <c r="AV33" s="0" t="n">
        <f aca="false">-C40*C15/C39</f>
        <v>-0.0166068339049352</v>
      </c>
      <c r="CW33" s="0" t="n">
        <f aca="false">CW32+1</f>
        <v>29</v>
      </c>
      <c r="CX33" s="0" t="n">
        <f aca="false">IF(DC32&gt;0,DB32,CX32)</f>
        <v>9.87201929092407E-005</v>
      </c>
      <c r="CY33" s="0" t="n">
        <f aca="false">IF(DC32&lt;0,DB32,CY32)</f>
        <v>0.000100582838058472</v>
      </c>
      <c r="CZ33" s="0" t="n">
        <f aca="false">$C$6+$C$7*CX33+$C$8*CX33^2+$C$9*CX33^3+$C$10*CX33^4+$C$11*CX33^5</f>
        <v>0.127980709075928</v>
      </c>
      <c r="DA33" s="0" t="n">
        <f aca="false">$C$6+$C$7*CY33+$C$8*CY33^2+$C$9*CY33^3+$C$10*CY33^4+$C$11*CY33^5</f>
        <v>-0.058283805847168</v>
      </c>
      <c r="DB33" s="0" t="n">
        <f aca="false">(CX33+CY33)/2</f>
        <v>9.96515154838562E-005</v>
      </c>
      <c r="DC33" s="0" t="n">
        <f aca="false">$C$6+$C$7*DB33+$C$8*DB33^2+$C$9*DB33^3+$C$10*DB33^4+$C$11*DB33^5</f>
        <v>0.0348484516143799</v>
      </c>
      <c r="DE33" s="6"/>
      <c r="DH33" s="0" t="n">
        <f aca="false">DH32-$DI$6</f>
        <v>7.79999998723468E-005</v>
      </c>
      <c r="DI33" s="6" t="n">
        <f aca="false">$C$6+$C$7*DH33+$C$8*DH33^2+$C$9*DH33^3+$C$10*DH33^4+$C$11*DH33^5</f>
        <v>2.20000001276532</v>
      </c>
      <c r="DJ33" s="0" t="n">
        <f aca="false">DH33*DI33*1000</f>
        <v>0.171600000714858</v>
      </c>
      <c r="DK33" s="0" t="n">
        <f aca="false">MIN(MAX(0.2,$E$5*SQRT(DH33)*($C$4/DI33/1000)^0.75),5)</f>
        <v>0.511986967733921</v>
      </c>
      <c r="DL33" s="0" t="n">
        <f aca="false">$AH$42+($AI$42-$AH$42)*($DK33-$AH$41)/($AI$41-$AH$41)</f>
        <v>0.522695710212416</v>
      </c>
      <c r="DM33" s="0" t="n">
        <f aca="false">$AH$43+($AI$43-$AH$43)*($DK33-$AH$41)/($AI$41-$AH$41)</f>
        <v>0.256468109419738</v>
      </c>
      <c r="DN33" s="0" t="n">
        <f aca="false">$AH$44+($AI$44-$AH$44)*($DK33-$AH$41)/($AI$41-$AH$41)</f>
        <v>0.4678258631572</v>
      </c>
      <c r="DO33" s="0" t="n">
        <f aca="false">$AH$45+($AI$45-$AH$45)*($DK33-$AH$41)/($AI$41-$AH$41)</f>
        <v>-0.246989682789354</v>
      </c>
      <c r="DP33" s="0" t="n">
        <f aca="false">($DL33+$DM33*($DH32/$DH33)+$DN33*($DH32/$DH33)^2+$DO33*($DH32/$DH33)^3)</f>
        <v>1.00573856865466</v>
      </c>
      <c r="DQ33" s="0" t="n">
        <f aca="false">(DL33+DM33+DN33+DO33)</f>
        <v>1</v>
      </c>
      <c r="DR33" s="0" t="n">
        <f aca="false">($DL33+$DM33*($DH34/$DH33)+$DN33*($DH34/$DH33)^2+$DO33*($DH34/$DH33)^3)</f>
        <v>0.994171640686165</v>
      </c>
      <c r="DS33" s="0" t="n">
        <f aca="false">DJ32/DP33</f>
        <v>0.164953404314402</v>
      </c>
      <c r="DT33" s="0" t="n">
        <f aca="false">DJ33/DQ33</f>
        <v>0.171600000714858</v>
      </c>
      <c r="DU33" s="0" t="n">
        <f aca="false">DJ34/DR33</f>
        <v>0.178138254434875</v>
      </c>
      <c r="DV33" s="0" t="n">
        <f aca="false">DU33-DS33</f>
        <v>0.0131848501204728</v>
      </c>
      <c r="DW33" s="0" t="n">
        <f aca="false">IF((DT33-DS33)*(DU33-DT33)&lt;0,1,0)</f>
        <v>0</v>
      </c>
      <c r="DX33" s="0" t="n">
        <f aca="false">ABS(DV33)/(ABS(DV33)+ABS(DV34))</f>
        <v>0.505836324387804</v>
      </c>
      <c r="DY33" s="0" t="n">
        <f aca="false">DH33+DX33*(DH34-DH33)</f>
        <v>7.74941635487869E-005</v>
      </c>
    </row>
    <row r="34" customFormat="false" ht="12.75" hidden="false" customHeight="false" outlineLevel="0" collapsed="false">
      <c r="A34" s="14"/>
      <c r="B34" s="15"/>
      <c r="C34" s="15"/>
      <c r="D34" s="17"/>
      <c r="AA34" s="1" t="s">
        <v>13</v>
      </c>
      <c r="AB34" s="0" t="s">
        <v>133</v>
      </c>
      <c r="CW34" s="0" t="n">
        <f aca="false">CW33+1</f>
        <v>30</v>
      </c>
      <c r="CX34" s="0" t="n">
        <f aca="false">IF(DC33&gt;0,DB33,CX33)</f>
        <v>9.96515154838562E-005</v>
      </c>
      <c r="CY34" s="0" t="n">
        <f aca="false">IF(DC33&lt;0,DB33,CY33)</f>
        <v>0.000100582838058472</v>
      </c>
      <c r="CZ34" s="0" t="n">
        <f aca="false">$C$6+$C$7*CX34+$C$8*CX34^2+$C$9*CX34^3+$C$10*CX34^4+$C$11*CX34^5</f>
        <v>0.0348484516143799</v>
      </c>
      <c r="DA34" s="0" t="n">
        <f aca="false">$C$6+$C$7*CY34+$C$8*CY34^2+$C$9*CY34^3+$C$10*CY34^4+$C$11*CY34^5</f>
        <v>-0.058283805847168</v>
      </c>
      <c r="DB34" s="0" t="n">
        <f aca="false">(CX34+CY34)/2</f>
        <v>0.000100117176771164</v>
      </c>
      <c r="DC34" s="0" t="n">
        <f aca="false">$C$6+$C$7*DB34+$C$8*DB34^2+$C$9*DB34^3+$C$10*DB34^4+$C$11*DB34^5</f>
        <v>-0.011717677116394</v>
      </c>
      <c r="DE34" s="6"/>
      <c r="DH34" s="0" t="n">
        <f aca="false">DH33-$DI$6</f>
        <v>7.69999998739834E-005</v>
      </c>
      <c r="DI34" s="6" t="n">
        <f aca="false">$C$6+$C$7*DH34+$C$8*DH34^2+$C$9*DH34^3+$C$10*DH34^4+$C$11*DH34^5</f>
        <v>2.30000001260166</v>
      </c>
      <c r="DJ34" s="0" t="n">
        <f aca="false">DH34*DI34*1000</f>
        <v>0.177100000680489</v>
      </c>
      <c r="DK34" s="0" t="n">
        <f aca="false">MIN(MAX(0.2,$E$5*SQRT(DH34)*($C$4/DI34/1000)^0.75),5)</f>
        <v>0.492014726014108</v>
      </c>
      <c r="DL34" s="0" t="n">
        <f aca="false">$AH$42+($AI$42-$AH$42)*($DK34-$AH$41)/($AI$41-$AH$41)</f>
        <v>0.516121513979644</v>
      </c>
      <c r="DM34" s="0" t="n">
        <f aca="false">$AH$43+($AI$43-$AH$43)*($DK34-$AH$41)/($AI$41-$AH$41)</f>
        <v>0.284221203642896</v>
      </c>
      <c r="DN34" s="0" t="n">
        <f aca="false">$AH$44+($AI$44-$AH$44)*($DK34-$AH$41)/($AI$41-$AH$41)</f>
        <v>0.430835607138629</v>
      </c>
      <c r="DO34" s="0" t="n">
        <f aca="false">$AH$45+($AI$45-$AH$45)*($DK34-$AH$41)/($AI$41-$AH$41)</f>
        <v>-0.231178324761169</v>
      </c>
      <c r="DP34" s="0" t="n">
        <f aca="false">($DL34+$DM34*($DH33/$DH34)+$DN34*($DH33/$DH34)^2+$DO34*($DH33/$DH34)^3)</f>
        <v>1.00582995808348</v>
      </c>
      <c r="DQ34" s="0" t="n">
        <f aca="false">(DL34+DM34+DN34+DO34)</f>
        <v>1</v>
      </c>
      <c r="DR34" s="0" t="n">
        <f aca="false">($DL34+$DM34*($DH35/$DH34)+$DN34*($DH35/$DH34)^2+$DO34*($DH35/$DH34)^3)</f>
        <v>0.994081426849172</v>
      </c>
      <c r="DS34" s="0" t="n">
        <f aca="false">DJ33/DP34</f>
        <v>0.170605378509331</v>
      </c>
      <c r="DT34" s="0" t="n">
        <f aca="false">DJ34/DQ34</f>
        <v>0.17710000068049</v>
      </c>
      <c r="DU34" s="0" t="n">
        <f aca="false">DJ35/DR34</f>
        <v>0.183485975816799</v>
      </c>
      <c r="DV34" s="0" t="n">
        <f aca="false">DU34-DS34</f>
        <v>0.0128805973074673</v>
      </c>
      <c r="DW34" s="0" t="n">
        <f aca="false">IF((DT34-DS34)*(DU34-DT34)&lt;0,1,0)</f>
        <v>0</v>
      </c>
      <c r="DX34" s="0" t="n">
        <f aca="false">ABS(DV34)/(ABS(DV34)+ABS(DV35))</f>
        <v>0.505974346888015</v>
      </c>
      <c r="DY34" s="0" t="n">
        <f aca="false">DH34+DX34*(DH35-DH34)</f>
        <v>7.64940255279235E-005</v>
      </c>
    </row>
    <row r="35" customFormat="false" ht="12.75" hidden="false" customHeight="false" outlineLevel="0" collapsed="false">
      <c r="A35" s="14"/>
      <c r="B35" s="18" t="s">
        <v>134</v>
      </c>
      <c r="C35" s="15"/>
      <c r="D35" s="17"/>
      <c r="N35" s="7" t="s">
        <v>135</v>
      </c>
      <c r="P35" s="19" t="s">
        <v>136</v>
      </c>
      <c r="AB35" s="0" t="s">
        <v>137</v>
      </c>
      <c r="AC35" s="0" t="n">
        <f aca="false">DI8</f>
        <v>3.46475540221535E-005</v>
      </c>
      <c r="AD35" s="0" t="s">
        <v>41</v>
      </c>
      <c r="CW35" s="0" t="n">
        <f aca="false">CW34+1</f>
        <v>31</v>
      </c>
      <c r="CX35" s="0" t="n">
        <f aca="false">IF(DC34&gt;0,DB34,CX34)</f>
        <v>9.96515154838562E-005</v>
      </c>
      <c r="CY35" s="0" t="n">
        <f aca="false">IF(DC34&lt;0,DB34,CY34)</f>
        <v>0.000100117176771164</v>
      </c>
      <c r="CZ35" s="0" t="n">
        <f aca="false">$C$6+$C$7*CX35+$C$8*CX35^2+$C$9*CX35^3+$C$10*CX35^4+$C$11*CX35^5</f>
        <v>0.0348484516143799</v>
      </c>
      <c r="DA35" s="0" t="n">
        <f aca="false">$C$6+$C$7*CY35+$C$8*CY35^2+$C$9*CY35^3+$C$10*CY35^4+$C$11*CY35^5</f>
        <v>-0.011717677116394</v>
      </c>
      <c r="DB35" s="0" t="n">
        <f aca="false">(CX35+CY35)/2</f>
        <v>9.98843461275101E-005</v>
      </c>
      <c r="DC35" s="0" t="n">
        <f aca="false">$C$6+$C$7*DB35+$C$8*DB35^2+$C$9*DB35^3+$C$10*DB35^4+$C$11*DB35^5</f>
        <v>0.0115653872489929</v>
      </c>
      <c r="DE35" s="6"/>
      <c r="DH35" s="0" t="n">
        <f aca="false">DH34-$DI$6</f>
        <v>7.599999987562E-005</v>
      </c>
      <c r="DI35" s="6" t="n">
        <f aca="false">$C$6+$C$7*DH35+$C$8*DH35^2+$C$9*DH35^3+$C$10*DH35^4+$C$11*DH35^5</f>
        <v>2.400000012438</v>
      </c>
      <c r="DJ35" s="0" t="n">
        <f aca="false">DH35*DI35*1000</f>
        <v>0.182400000646776</v>
      </c>
      <c r="DK35" s="0" t="n">
        <f aca="false">MIN(MAX(0.2,$E$5*SQRT(DH35)*($C$4/DI35/1000)^0.75),5)</f>
        <v>0.473453117755427</v>
      </c>
      <c r="DL35" s="0" t="n">
        <f aca="false">$AH$42+($AI$42-$AH$42)*($DK35-$AH$41)/($AI$41-$AH$41)</f>
        <v>0.510011651261161</v>
      </c>
      <c r="DM35" s="0" t="n">
        <f aca="false">$AH$43+($AI$43-$AH$43)*($DK35-$AH$41)/($AI$41-$AH$41)</f>
        <v>0.310014105119021</v>
      </c>
      <c r="DN35" s="0" t="n">
        <f aca="false">$AH$44+($AI$44-$AH$44)*($DK35-$AH$41)/($AI$41-$AH$41)</f>
        <v>0.396457961842863</v>
      </c>
      <c r="DO35" s="0" t="n">
        <f aca="false">$AH$45+($AI$45-$AH$45)*($DK35-$AH$41)/($AI$41-$AH$41)</f>
        <v>-0.216483718223046</v>
      </c>
      <c r="DP35" s="0" t="n">
        <f aca="false">($DL35+$DM35*($DH34/$DH35)+$DN35*($DH34/$DH35)^2+$DO35*($DH34/$DH35)^3)</f>
        <v>1.00592253337457</v>
      </c>
      <c r="DQ35" s="0" t="n">
        <f aca="false">(DL35+DM35+DN35+DO35)</f>
        <v>1</v>
      </c>
      <c r="DR35" s="0" t="n">
        <f aca="false">($DL35+$DM35*($DH36/$DH35)+$DN35*($DH36/$DH35)^2+$DO35*($DH36/$DH35)^3)</f>
        <v>0.99398986510437</v>
      </c>
      <c r="DS35" s="0" t="n">
        <f aca="false">DJ34/DP35</f>
        <v>0.176057295472219</v>
      </c>
      <c r="DT35" s="0" t="n">
        <f aca="false">DJ35/DQ35</f>
        <v>0.182400000646776</v>
      </c>
      <c r="DU35" s="0" t="n">
        <f aca="false">DJ36/DR35</f>
        <v>0.188633714684837</v>
      </c>
      <c r="DV35" s="0" t="n">
        <f aca="false">DU35-DS35</f>
        <v>0.0125764192126175</v>
      </c>
      <c r="DW35" s="0" t="n">
        <f aca="false">IF((DT35-DS35)*(DU35-DT35)&lt;0,1,0)</f>
        <v>0</v>
      </c>
      <c r="DX35" s="0" t="n">
        <f aca="false">ABS(DV35)/(ABS(DV35)+ABS(DV36))</f>
        <v>0.506119178572525</v>
      </c>
      <c r="DY35" s="0" t="n">
        <f aca="false">DH35+DX35*(DH36-DH35)</f>
        <v>7.54938806978758E-005</v>
      </c>
    </row>
    <row r="36" customFormat="false" ht="12.75" hidden="false" customHeight="false" outlineLevel="0" collapsed="false">
      <c r="A36" s="14"/>
      <c r="B36" s="15" t="s">
        <v>138</v>
      </c>
      <c r="C36" s="20" t="n">
        <f aca="false">C30</f>
        <v>1.8</v>
      </c>
      <c r="D36" s="21" t="s">
        <v>110</v>
      </c>
      <c r="CW36" s="0" t="n">
        <f aca="false">CW35+1</f>
        <v>32</v>
      </c>
      <c r="CX36" s="0" t="n">
        <f aca="false">IF(DC35&gt;0,DB35,CX35)</f>
        <v>9.98843461275101E-005</v>
      </c>
      <c r="CY36" s="0" t="n">
        <f aca="false">IF(DC35&lt;0,DB35,CY35)</f>
        <v>0.000100117176771164</v>
      </c>
      <c r="CZ36" s="0" t="n">
        <f aca="false">$C$6+$C$7*CX36+$C$8*CX36^2+$C$9*CX36^3+$C$10*CX36^4+$C$11*CX36^5</f>
        <v>0.0115653872489929</v>
      </c>
      <c r="DA36" s="0" t="n">
        <f aca="false">$C$6+$C$7*CY36+$C$8*CY36^2+$C$9*CY36^3+$C$10*CY36^4+$C$11*CY36^5</f>
        <v>-0.011717677116394</v>
      </c>
      <c r="DB36" s="0" t="n">
        <f aca="false">(CX36+CY36)/2</f>
        <v>0.000100000761449337</v>
      </c>
      <c r="DC36" s="0" t="n">
        <f aca="false">$C$6+$C$7*DB36+$C$8*DB36^2+$C$9*DB36^3+$C$10*DB36^4+$C$11*DB36^5</f>
        <v>-7.61449337005615E-005</v>
      </c>
      <c r="DE36" s="6"/>
      <c r="DH36" s="0" t="n">
        <f aca="false">DH35-$DI$6</f>
        <v>7.49999998772566E-005</v>
      </c>
      <c r="DI36" s="6" t="n">
        <f aca="false">$C$6+$C$7*DH36+$C$8*DH36^2+$C$9*DH36^3+$C$10*DH36^4+$C$11*DH36^5</f>
        <v>2.50000001227434</v>
      </c>
      <c r="DJ36" s="0" t="n">
        <f aca="false">DH36*DI36*1000</f>
        <v>0.187500000613717</v>
      </c>
      <c r="DK36" s="0" t="n">
        <f aca="false">MIN(MAX(0.2,$E$5*SQRT(DH36)*($C$4/DI36/1000)^0.75),5)</f>
        <v>0.456146389012223</v>
      </c>
      <c r="DL36" s="0" t="n">
        <f aca="false">$AH$42+($AI$42-$AH$42)*($DK36-$AH$41)/($AI$41-$AH$41)</f>
        <v>0.504314853049857</v>
      </c>
      <c r="DM36" s="0" t="n">
        <f aca="false">$AH$43+($AI$43-$AH$43)*($DK36-$AH$41)/($AI$41-$AH$41)</f>
        <v>0.334063246935098</v>
      </c>
      <c r="DN36" s="0" t="n">
        <f aca="false">$AH$44+($AI$44-$AH$44)*($DK36-$AH$41)/($AI$41-$AH$41)</f>
        <v>0.364404457983055</v>
      </c>
      <c r="DO36" s="0" t="n">
        <f aca="false">$AH$45+($AI$45-$AH$45)*($DK36-$AH$41)/($AI$41-$AH$41)</f>
        <v>-0.20278255796801</v>
      </c>
      <c r="DP36" s="0" t="n">
        <f aca="false">($DL36+$DM36*($DH35/$DH36)+$DN36*($DH35/$DH36)^2+$DO36*($DH35/$DH36)^3)</f>
        <v>1.00601647816736</v>
      </c>
      <c r="DQ36" s="0" t="n">
        <f aca="false">(DL36+DM36+DN36+DO36)</f>
        <v>1</v>
      </c>
      <c r="DR36" s="0" t="n">
        <f aca="false">($DL36+$DM36*($DH37/$DH36)+$DN36*($DH37/$DH36)^2+$DO36*($DH37/$DH36)^3)</f>
        <v>0.993896786466974</v>
      </c>
      <c r="DS36" s="0" t="n">
        <f aca="false">DJ35/DP36</f>
        <v>0.18130915805579</v>
      </c>
      <c r="DT36" s="0" t="n">
        <f aca="false">DJ36/DQ36</f>
        <v>0.187500000613717</v>
      </c>
      <c r="DU36" s="0" t="n">
        <f aca="false">DJ37/DR36</f>
        <v>0.19358146962648</v>
      </c>
      <c r="DV36" s="0" t="n">
        <f aca="false">DU36-DS36</f>
        <v>0.0122723115706901</v>
      </c>
      <c r="DW36" s="0" t="n">
        <f aca="false">IF((DT36-DS36)*(DU36-DT36)&lt;0,1,0)</f>
        <v>0</v>
      </c>
      <c r="DX36" s="0" t="n">
        <f aca="false">ABS(DV36)/(ABS(DV36)+ABS(DV37))</f>
        <v>0.506271321586132</v>
      </c>
      <c r="DY36" s="0" t="n">
        <f aca="false">DH36+DX36*(DH37-DH36)</f>
        <v>7.4493728556499E-005</v>
      </c>
    </row>
    <row r="37" customFormat="false" ht="12.75" hidden="false" customHeight="false" outlineLevel="0" collapsed="false">
      <c r="A37" s="14"/>
      <c r="B37" s="15"/>
      <c r="C37" s="15"/>
      <c r="D37" s="17"/>
      <c r="AA37" s="1" t="s">
        <v>139</v>
      </c>
      <c r="AB37" s="0" t="s">
        <v>140</v>
      </c>
      <c r="CW37" s="0" t="n">
        <f aca="false">CW36+1</f>
        <v>33</v>
      </c>
      <c r="CX37" s="0" t="n">
        <f aca="false">IF(DC36&gt;0,DB36,CX36)</f>
        <v>9.98843461275101E-005</v>
      </c>
      <c r="CY37" s="0" t="n">
        <f aca="false">IF(DC36&lt;0,DB36,CY36)</f>
        <v>0.000100000761449337</v>
      </c>
      <c r="CZ37" s="0" t="n">
        <f aca="false">$C$6+$C$7*CX37+$C$8*CX37^2+$C$9*CX37^3+$C$10*CX37^4+$C$11*CX37^5</f>
        <v>0.0115653872489929</v>
      </c>
      <c r="DA37" s="0" t="n">
        <f aca="false">$C$6+$C$7*CY37+$C$8*CY37^2+$C$9*CY37^3+$C$10*CY37^4+$C$11*CY37^5</f>
        <v>-7.61449337005615E-005</v>
      </c>
      <c r="DB37" s="0" t="n">
        <f aca="false">(CX37+CY37)/2</f>
        <v>9.99425537884235E-005</v>
      </c>
      <c r="DC37" s="0" t="n">
        <f aca="false">$C$6+$C$7*DB37+$C$8*DB37^2+$C$9*DB37^3+$C$10*DB37^4+$C$11*DB37^5</f>
        <v>0.00574462115764618</v>
      </c>
      <c r="DE37" s="6"/>
      <c r="DH37" s="0" t="n">
        <f aca="false">DH36-$DI$6</f>
        <v>7.39999998788932E-005</v>
      </c>
      <c r="DI37" s="6" t="n">
        <f aca="false">$C$6+$C$7*DH37+$C$8*DH37^2+$C$9*DH37^3+$C$10*DH37^4+$C$11*DH37^5</f>
        <v>2.60000001211068</v>
      </c>
      <c r="DJ37" s="0" t="n">
        <f aca="false">DH37*DI37*1000</f>
        <v>0.192400000581313</v>
      </c>
      <c r="DK37" s="0" t="n">
        <f aca="false">MIN(MAX(0.2,$E$5*SQRT(DH37)*($C$4/DI37/1000)^0.75),5)</f>
        <v>0.439961288204862</v>
      </c>
      <c r="DL37" s="0" t="n">
        <f aca="false">$AH$42+($AI$42-$AH$42)*($DK37-$AH$41)/($AI$41-$AH$41)</f>
        <v>0.498987257367434</v>
      </c>
      <c r="DM37" s="0" t="n">
        <f aca="false">$AH$43+($AI$43-$AH$43)*($DK37-$AH$41)/($AI$41-$AH$41)</f>
        <v>0.356553793265328</v>
      </c>
      <c r="DN37" s="0" t="n">
        <f aca="false">$AH$44+($AI$44-$AH$44)*($DK37-$AH$41)/($AI$41-$AH$41)</f>
        <v>0.334428302529421</v>
      </c>
      <c r="DO37" s="0" t="n">
        <f aca="false">$AH$45+($AI$45-$AH$45)*($DK37-$AH$41)/($AI$41-$AH$41)</f>
        <v>-0.189969353162182</v>
      </c>
      <c r="DP37" s="0" t="n">
        <f aca="false">($DL37+$DM37*($DH36/$DH37)+$DN37*($DH36/$DH37)^2+$DO37*($DH36/$DH37)^3)</f>
        <v>1.00611196606348</v>
      </c>
      <c r="DQ37" s="0" t="n">
        <f aca="false">(DL37+DM37+DN37+DO37)</f>
        <v>1</v>
      </c>
      <c r="DR37" s="0" t="n">
        <f aca="false">($DL37+$DM37*($DH38/$DH37)+$DN37*($DH38/$DH37)^2+$DO37*($DH38/$DH37)^3)</f>
        <v>0.993802029642527</v>
      </c>
      <c r="DS37" s="0" t="n">
        <f aca="false">DJ36/DP37</f>
        <v>0.186360968697481</v>
      </c>
      <c r="DT37" s="0" t="n">
        <f aca="false">DJ37/DQ37</f>
        <v>0.192400000581313</v>
      </c>
      <c r="DU37" s="0" t="n">
        <f aca="false">DJ38/DR37</f>
        <v>0.198329239295738</v>
      </c>
      <c r="DV37" s="0" t="n">
        <f aca="false">DU37-DS37</f>
        <v>0.0119682705982571</v>
      </c>
      <c r="DW37" s="0" t="n">
        <f aca="false">IF((DT37-DS37)*(DU37-DT37)&lt;0,1,0)</f>
        <v>0</v>
      </c>
      <c r="DX37" s="0" t="n">
        <f aca="false">ABS(DV37)/(ABS(DV37)+ABS(DV38))</f>
        <v>0.506431330903239</v>
      </c>
      <c r="DY37" s="0" t="n">
        <f aca="false">DH37+DX37*(DH38-DH37)</f>
        <v>7.34935685488187E-005</v>
      </c>
    </row>
    <row r="38" customFormat="false" ht="12.75" hidden="false" customHeight="false" outlineLevel="0" collapsed="false">
      <c r="A38" s="14"/>
      <c r="B38" s="18" t="s">
        <v>141</v>
      </c>
      <c r="C38" s="15"/>
      <c r="D38" s="17"/>
      <c r="AB38" s="0" t="s">
        <v>142</v>
      </c>
      <c r="AC38" s="0" t="n">
        <f aca="false">$C$6+$C$7*DI8+$C$8*DI8^2+$C$9*DI8^3+$C$10*DI8^4+$C$11*DI8^5</f>
        <v>6.53524459778465</v>
      </c>
      <c r="AD38" s="0" t="s">
        <v>143</v>
      </c>
      <c r="CW38" s="0" t="n">
        <f aca="false">CW37+1</f>
        <v>34</v>
      </c>
      <c r="CX38" s="0" t="n">
        <f aca="false">IF(DC37&gt;0,DB37,CX37)</f>
        <v>9.99425537884235E-005</v>
      </c>
      <c r="CY38" s="0" t="n">
        <f aca="false">IF(DC37&lt;0,DB37,CY37)</f>
        <v>0.000100000761449337</v>
      </c>
      <c r="CZ38" s="0" t="n">
        <f aca="false">$C$6+$C$7*CX38+$C$8*CX38^2+$C$9*CX38^3+$C$10*CX38^4+$C$11*CX38^5</f>
        <v>0.00574462115764618</v>
      </c>
      <c r="DA38" s="0" t="n">
        <f aca="false">$C$6+$C$7*CY38+$C$8*CY38^2+$C$9*CY38^3+$C$10*CY38^4+$C$11*CY38^5</f>
        <v>-7.61449337005615E-005</v>
      </c>
      <c r="DB38" s="0" t="n">
        <f aca="false">(CX38+CY38)/2</f>
        <v>9.99716576188803E-005</v>
      </c>
      <c r="DC38" s="0" t="n">
        <f aca="false">$C$6+$C$7*DB38+$C$8*DB38^2+$C$9*DB38^3+$C$10*DB38^4+$C$11*DB38^5</f>
        <v>0.00283423811197281</v>
      </c>
      <c r="DE38" s="6"/>
      <c r="DH38" s="0" t="n">
        <f aca="false">DH37-$DI$6</f>
        <v>7.29999998805297E-005</v>
      </c>
      <c r="DI38" s="6" t="n">
        <f aca="false">$C$6+$C$7*DH38+$C$8*DH38^2+$C$9*DH38^3+$C$10*DH38^4+$C$11*DH38^5</f>
        <v>2.70000001194703</v>
      </c>
      <c r="DJ38" s="0" t="n">
        <f aca="false">DH38*DI38*1000</f>
        <v>0.197100000549563</v>
      </c>
      <c r="DK38" s="0" t="n">
        <f aca="false">MIN(MAX(0.2,$E$5*SQRT(DH38)*($C$4/DI38/1000)^0.75),5)</f>
        <v>0.424783093262985</v>
      </c>
      <c r="DL38" s="0" t="n">
        <f aca="false">$AH$42+($AI$42-$AH$42)*($DK38-$AH$41)/($AI$41-$AH$41)</f>
        <v>0.493991101532399</v>
      </c>
      <c r="DM38" s="0" t="n">
        <f aca="false">$AH$43+($AI$43-$AH$43)*($DK38-$AH$41)/($AI$41-$AH$41)</f>
        <v>0.377645159986644</v>
      </c>
      <c r="DN38" s="0" t="n">
        <f aca="false">$AH$44+($AI$44-$AH$44)*($DK38-$AH$41)/($AI$41-$AH$41)</f>
        <v>0.306317020647486</v>
      </c>
      <c r="DO38" s="0" t="n">
        <f aca="false">$AH$45+($AI$45-$AH$45)*($DK38-$AH$41)/($AI$41-$AH$41)</f>
        <v>-0.17795328216653</v>
      </c>
      <c r="DP38" s="0" t="n">
        <f aca="false">($DL38+$DM38*($DH37/$DH38)+$DN38*($DH37/$DH38)^2+$DO38*($DH37/$DH38)^3)</f>
        <v>1.0062091635123</v>
      </c>
      <c r="DQ38" s="0" t="n">
        <f aca="false">(DL38+DM38+DN38+DO38)</f>
        <v>1</v>
      </c>
      <c r="DR38" s="0" t="n">
        <f aca="false">($DL38+$DM38*($DH39/$DH38)+$DN38*($DH39/$DH38)^2+$DO38*($DH39/$DH38)^3)</f>
        <v>0.993705438542176</v>
      </c>
      <c r="DS38" s="0" t="n">
        <f aca="false">DJ37/DP38</f>
        <v>0.191212729478349</v>
      </c>
      <c r="DT38" s="0" t="n">
        <f aca="false">DJ38/DQ38</f>
        <v>0.197100000549563</v>
      </c>
      <c r="DU38" s="0" t="n">
        <f aca="false">DJ39/DR38</f>
        <v>0.202877022404373</v>
      </c>
      <c r="DV38" s="0" t="n">
        <f aca="false">DU38-DS38</f>
        <v>0.0116642929260242</v>
      </c>
      <c r="DW38" s="0" t="n">
        <f aca="false">IF((DT38-DS38)*(DU38-DT38)&lt;0,1,0)</f>
        <v>0</v>
      </c>
      <c r="DX38" s="0" t="n">
        <f aca="false">ABS(DV38)/(ABS(DV38)+ABS(DV39))</f>
        <v>0.506599821044253</v>
      </c>
      <c r="DY38" s="0" t="n">
        <f aca="false">DH38+DX38*(DH39-DH38)</f>
        <v>7.24934000603146E-005</v>
      </c>
    </row>
    <row r="39" customFormat="false" ht="12.75" hidden="false" customHeight="false" outlineLevel="0" collapsed="false">
      <c r="A39" s="14"/>
      <c r="B39" s="15" t="s">
        <v>144</v>
      </c>
      <c r="C39" s="22" t="n">
        <f aca="false">C15/C16</f>
        <v>6</v>
      </c>
      <c r="D39" s="17" t="s">
        <v>145</v>
      </c>
      <c r="AB39" s="0" t="s">
        <v>75</v>
      </c>
      <c r="AC39" s="0" t="n">
        <f aca="false">E5*SQRT(DI8)*(C4/AC38/1000)^0.75</f>
        <v>0.150805966101401</v>
      </c>
      <c r="AD39" s="0" t="s">
        <v>146</v>
      </c>
      <c r="CW39" s="0" t="n">
        <f aca="false">CW38+1</f>
        <v>35</v>
      </c>
      <c r="CX39" s="0" t="n">
        <f aca="false">IF(DC38&gt;0,DB38,CX38)</f>
        <v>9.99716576188803E-005</v>
      </c>
      <c r="CY39" s="0" t="n">
        <f aca="false">IF(DC38&lt;0,DB38,CY38)</f>
        <v>0.000100000761449337</v>
      </c>
      <c r="CZ39" s="0" t="n">
        <f aca="false">$C$6+$C$7*CX39+$C$8*CX39^2+$C$9*CX39^3+$C$10*CX39^4+$C$11*CX39^5</f>
        <v>0.00283423811197281</v>
      </c>
      <c r="DA39" s="0" t="n">
        <f aca="false">$C$6+$C$7*CY39+$C$8*CY39^2+$C$9*CY39^3+$C$10*CY39^4+$C$11*CY39^5</f>
        <v>-7.61449337005615E-005</v>
      </c>
      <c r="DB39" s="0" t="n">
        <f aca="false">(CX39+CY39)/2</f>
        <v>9.99862095341086E-005</v>
      </c>
      <c r="DC39" s="0" t="n">
        <f aca="false">$C$6+$C$7*DB39+$C$8*DB39^2+$C$9*DB39^3+$C$10*DB39^4+$C$11*DB39^5</f>
        <v>0.00137904658913612</v>
      </c>
      <c r="DE39" s="6"/>
      <c r="DH39" s="0" t="n">
        <f aca="false">DH38-$DI$6</f>
        <v>7.19999998821663E-005</v>
      </c>
      <c r="DI39" s="6" t="n">
        <f aca="false">$C$6+$C$7*DH39+$C$8*DH39^2+$C$9*DH39^3+$C$10*DH39^4+$C$11*DH39^5</f>
        <v>2.80000001178337</v>
      </c>
      <c r="DJ39" s="0" t="n">
        <f aca="false">DH39*DI39*1000</f>
        <v>0.201600000518468</v>
      </c>
      <c r="DK39" s="0" t="n">
        <f aca="false">MIN(MAX(0.2,$E$5*SQRT(DH39)*($C$4/DI39/1000)^0.75),5)</f>
        <v>0.410512457601535</v>
      </c>
      <c r="DL39" s="0" t="n">
        <f aca="false">$AH$42+($AI$42-$AH$42)*($DK39-$AH$41)/($AI$41-$AH$41)</f>
        <v>0.489293683960505</v>
      </c>
      <c r="DM39" s="0" t="n">
        <f aca="false">$AH$43+($AI$43-$AH$43)*($DK39-$AH$41)/($AI$41-$AH$41)</f>
        <v>0.397475397457867</v>
      </c>
      <c r="DN39" s="0" t="n">
        <f aca="false">$AH$44+($AI$44-$AH$44)*($DK39-$AH$41)/($AI$41-$AH$41)</f>
        <v>0.279886614182843</v>
      </c>
      <c r="DO39" s="0" t="n">
        <f aca="false">$AH$45+($AI$45-$AH$45)*($DK39-$AH$41)/($AI$41-$AH$41)</f>
        <v>-0.166655695601215</v>
      </c>
      <c r="DP39" s="0" t="n">
        <f aca="false">($DL39+$DM39*($DH38/$DH39)+$DN39*($DH38/$DH39)^2+$DO39*($DH38/$DH39)^3)</f>
        <v>1.00630823219027</v>
      </c>
      <c r="DQ39" s="0" t="n">
        <f aca="false">(DL39+DM39+DN39+DO39)</f>
        <v>1</v>
      </c>
      <c r="DR39" s="0" t="n">
        <f aca="false">($DL39+$DM39*($DH40/$DH39)+$DN39*($DH40/$DH39)^2+$DO39*($DH40/$DH39)^3)</f>
        <v>0.993606860219982</v>
      </c>
      <c r="DS39" s="0" t="n">
        <f aca="false">DJ38/DP39</f>
        <v>0.195864442170533</v>
      </c>
      <c r="DT39" s="0" t="n">
        <f aca="false">DJ39/DQ39</f>
        <v>0.201600000518468</v>
      </c>
      <c r="DU39" s="0" t="n">
        <f aca="false">DJ40/DR39</f>
        <v>0.207224817713559</v>
      </c>
      <c r="DV39" s="0" t="n">
        <f aca="false">DU39-DS39</f>
        <v>0.0113603755430262</v>
      </c>
      <c r="DW39" s="0" t="n">
        <f aca="false">IF((DT39-DS39)*(DU39-DT39)&lt;0,1,0)</f>
        <v>0</v>
      </c>
      <c r="DX39" s="0" t="n">
        <f aca="false">ABS(DV39)/(ABS(DV39)+ABS(DV40))</f>
        <v>0.506777473932136</v>
      </c>
      <c r="DY39" s="0" t="n">
        <f aca="false">DH39+DX39*(DH40-DH39)</f>
        <v>7.14932224090636E-005</v>
      </c>
    </row>
    <row r="40" customFormat="false" ht="12.75" hidden="false" customHeight="false" outlineLevel="0" collapsed="false">
      <c r="A40" s="14"/>
      <c r="B40" s="15" t="s">
        <v>147</v>
      </c>
      <c r="C40" s="23" t="n">
        <f aca="false">AC76</f>
        <v>0.0166068339049352</v>
      </c>
      <c r="D40" s="17" t="s">
        <v>148</v>
      </c>
      <c r="AB40" s="0" t="s">
        <v>149</v>
      </c>
      <c r="AC40" s="0" t="n">
        <f aca="false">MIN(MAX(0.2,AC39),5)</f>
        <v>0.2</v>
      </c>
      <c r="AD40" s="0" t="s">
        <v>146</v>
      </c>
      <c r="AG40" s="0" t="s">
        <v>150</v>
      </c>
      <c r="CW40" s="0" t="n">
        <f aca="false">CW39+1</f>
        <v>36</v>
      </c>
      <c r="CX40" s="0" t="n">
        <f aca="false">IF(DC39&gt;0,DB39,CX39)</f>
        <v>9.99862095341086E-005</v>
      </c>
      <c r="CY40" s="0" t="n">
        <f aca="false">IF(DC39&lt;0,DB39,CY39)</f>
        <v>0.000100000761449337</v>
      </c>
      <c r="CZ40" s="0" t="n">
        <f aca="false">$C$6+$C$7*CX40+$C$8*CX40^2+$C$9*CX40^3+$C$10*CX40^4+$C$11*CX40^5</f>
        <v>0.00137904658913612</v>
      </c>
      <c r="DA40" s="0" t="n">
        <f aca="false">$C$6+$C$7*CY40+$C$8*CY40^2+$C$9*CY40^3+$C$10*CY40^4+$C$11*CY40^5</f>
        <v>-7.61449337005615E-005</v>
      </c>
      <c r="DB40" s="0" t="n">
        <f aca="false">(CX40+CY40)/2</f>
        <v>9.99934854917228E-005</v>
      </c>
      <c r="DC40" s="0" t="n">
        <f aca="false">$C$6+$C$7*DB40+$C$8*DB40^2+$C$9*DB40^3+$C$10*DB40^4+$C$11*DB40^5</f>
        <v>0.000651450827717781</v>
      </c>
      <c r="DE40" s="6"/>
      <c r="DH40" s="0" t="n">
        <f aca="false">DH39-$DI$6</f>
        <v>7.09999998838029E-005</v>
      </c>
      <c r="DI40" s="6" t="n">
        <f aca="false">$C$6+$C$7*DH40+$C$8*DH40^2+$C$9*DH40^3+$C$10*DH40^4+$C$11*DH40^5</f>
        <v>2.90000001161971</v>
      </c>
      <c r="DJ40" s="0" t="n">
        <f aca="false">DH40*DI40*1000</f>
        <v>0.205900000488028</v>
      </c>
      <c r="DK40" s="0" t="n">
        <f aca="false">MIN(MAX(0.2,$E$5*SQRT(DH40)*($C$4/DI40/1000)^0.75),5)</f>
        <v>0.397062883600511</v>
      </c>
      <c r="DL40" s="0" t="n">
        <f aca="false">$AH$42+($AI$42-$AH$42)*($DK40-$AH$41)/($AI$41-$AH$41)</f>
        <v>0.484866532518502</v>
      </c>
      <c r="DM40" s="0" t="n">
        <f aca="false">$AH$43+($AI$43-$AH$43)*($DK40-$AH$41)/($AI$41-$AH$41)</f>
        <v>0.416164701330123</v>
      </c>
      <c r="DN40" s="0" t="n">
        <f aca="false">$AH$44+($AI$44-$AH$44)*($DK40-$AH$41)/($AI$41-$AH$41)</f>
        <v>0.254976882335114</v>
      </c>
      <c r="DO40" s="0" t="n">
        <f aca="false">$AH$45+($AI$45-$AH$45)*($DK40-$AH$41)/($AI$41-$AH$41)</f>
        <v>-0.156008116183738</v>
      </c>
      <c r="DP40" s="0" t="n">
        <f aca="false">($DL40+$DM40*($DH39/$DH40)+$DN40*($DH39/$DH40)^2+$DO40*($DH39/$DH40)^3)</f>
        <v>1.00640933100085</v>
      </c>
      <c r="DQ40" s="0" t="n">
        <f aca="false">(DL40+DM40+DN40+DO40)</f>
        <v>1</v>
      </c>
      <c r="DR40" s="0" t="n">
        <f aca="false">($DL40+$DM40*($DH41/$DH40)+$DN40*($DH41/$DH40)^2+$DO40*($DH41/$DH40)^3)</f>
        <v>0.993506143124838</v>
      </c>
      <c r="DS40" s="0" t="n">
        <f aca="false">DJ39/DP40</f>
        <v>0.200316108275728</v>
      </c>
      <c r="DT40" s="0" t="n">
        <f aca="false">DJ40/DQ40</f>
        <v>0.205900000488028</v>
      </c>
      <c r="DU40" s="0" t="n">
        <f aca="false">DJ41/DR40</f>
        <v>0.211372624025994</v>
      </c>
      <c r="DV40" s="0" t="n">
        <f aca="false">DU40-DS40</f>
        <v>0.0110565157502666</v>
      </c>
      <c r="DW40" s="0" t="n">
        <f aca="false">IF((DT40-DS40)*(DU40-DT40)&lt;0,1,0)</f>
        <v>0</v>
      </c>
      <c r="DX40" s="0" t="n">
        <f aca="false">ABS(DV40)/(ABS(DV40)+ABS(DV41))</f>
        <v>0.506965048098754</v>
      </c>
      <c r="DY40" s="0" t="n">
        <f aca="false">DH40+DX40*(DH41-DH40)</f>
        <v>7.04930348365338E-005</v>
      </c>
    </row>
    <row r="41" customFormat="false" ht="12.75" hidden="false" customHeight="false" outlineLevel="0" collapsed="false">
      <c r="A41" s="14"/>
      <c r="B41" s="15" t="s">
        <v>151</v>
      </c>
      <c r="C41" s="23" t="n">
        <f aca="false">AC77*PI()/30</f>
        <v>2.83446799618234E-006</v>
      </c>
      <c r="D41" s="17" t="s">
        <v>152</v>
      </c>
      <c r="AA41" s="1" t="s">
        <v>153</v>
      </c>
      <c r="AB41" s="0" t="s">
        <v>154</v>
      </c>
      <c r="AG41" s="0" t="s">
        <v>66</v>
      </c>
      <c r="AH41" s="0" t="n">
        <v>0.2</v>
      </c>
      <c r="AI41" s="0" t="n">
        <v>5</v>
      </c>
      <c r="CW41" s="0" t="n">
        <f aca="false">CW40+1</f>
        <v>37</v>
      </c>
      <c r="CX41" s="0" t="n">
        <f aca="false">IF(DC40&gt;0,DB40,CX40)</f>
        <v>9.99934854917228E-005</v>
      </c>
      <c r="CY41" s="0" t="n">
        <f aca="false">IF(DC40&lt;0,DB40,CY40)</f>
        <v>0.000100000761449337</v>
      </c>
      <c r="CZ41" s="0" t="n">
        <f aca="false">$C$6+$C$7*CX41+$C$8*CX41^2+$C$9*CX41^3+$C$10*CX41^4+$C$11*CX41^5</f>
        <v>0.000651450827717781</v>
      </c>
      <c r="DA41" s="0" t="n">
        <f aca="false">$C$6+$C$7*CY41+$C$8*CY41^2+$C$9*CY41^3+$C$10*CY41^4+$C$11*CY41^5</f>
        <v>-7.61449337005615E-005</v>
      </c>
      <c r="DB41" s="0" t="n">
        <f aca="false">(CX41+CY41)/2</f>
        <v>9.99971234705299E-005</v>
      </c>
      <c r="DC41" s="0" t="n">
        <f aca="false">$C$6+$C$7*DB41+$C$8*DB41^2+$C$9*DB41^3+$C$10*DB41^4+$C$11*DB41^5</f>
        <v>0.00028765294700861</v>
      </c>
      <c r="DE41" s="6"/>
      <c r="DH41" s="0" t="n">
        <f aca="false">DH40-$DI$6</f>
        <v>6.99999998854395E-005</v>
      </c>
      <c r="DI41" s="6" t="n">
        <f aca="false">$C$6+$C$7*DH41+$C$8*DH41^2+$C$9*DH41^3+$C$10*DH41^4+$C$11*DH41^5</f>
        <v>3.00000001145605</v>
      </c>
      <c r="DJ41" s="0" t="n">
        <f aca="false">DH41*DI41*1000</f>
        <v>0.210000000458242</v>
      </c>
      <c r="DK41" s="0" t="n">
        <f aca="false">MIN(MAX(0.2,$E$5*SQRT(DH41)*($C$4/DI41/1000)^0.75),5)</f>
        <v>0.384358681878695</v>
      </c>
      <c r="DL41" s="0" t="n">
        <f aca="false">$AH$42+($AI$42-$AH$42)*($DK41-$AH$41)/($AI$41-$AH$41)</f>
        <v>0.48068473278507</v>
      </c>
      <c r="DM41" s="0" t="n">
        <f aca="false">$AH$43+($AI$43-$AH$43)*($DK41-$AH$41)/($AI$41-$AH$41)</f>
        <v>0.433818248306064</v>
      </c>
      <c r="DN41" s="0" t="n">
        <f aca="false">$AH$44+($AI$44-$AH$44)*($DK41-$AH$41)/($AI$41-$AH$41)</f>
        <v>0.231447642062833</v>
      </c>
      <c r="DO41" s="0" t="n">
        <f aca="false">$AH$45+($AI$45-$AH$45)*($DK41-$AH$41)/($AI$41-$AH$41)</f>
        <v>-0.145950623153967</v>
      </c>
      <c r="DP41" s="0" t="n">
        <f aca="false">($DL41+$DM41*($DH40/$DH41)+$DN41*($DH40/$DH41)^2+$DO41*($DH40/$DH41)^3)</f>
        <v>1.00651261779012</v>
      </c>
      <c r="DQ41" s="0" t="n">
        <f aca="false">(DL41+DM41+DN41+DO41)</f>
        <v>1</v>
      </c>
      <c r="DR41" s="0" t="n">
        <f aca="false">($DL41+$DM41*($DH42/$DH41)+$DN41*($DH42/$DH41)^2+$DO41*($DH42/$DH41)^3)</f>
        <v>0.993403135586452</v>
      </c>
      <c r="DS41" s="0" t="n">
        <f aca="false">DJ40/DP41</f>
        <v>0.20456772905649</v>
      </c>
      <c r="DT41" s="0" t="n">
        <f aca="false">DJ41/DQ41</f>
        <v>0.210000000458242</v>
      </c>
      <c r="DU41" s="0" t="n">
        <f aca="false">DJ42/DR41</f>
        <v>0.215320440178434</v>
      </c>
      <c r="DV41" s="0" t="n">
        <f aca="false">DU41-DS41</f>
        <v>0.0107527111219434</v>
      </c>
      <c r="DW41" s="0" t="n">
        <f aca="false">IF((DT41-DS41)*(DU41-DT41)&lt;0,1,0)</f>
        <v>0</v>
      </c>
      <c r="DX41" s="0" t="n">
        <f aca="false">ABS(DV41)/(ABS(DV41)+ABS(DV42))</f>
        <v>0.507163389501908</v>
      </c>
      <c r="DY41" s="0" t="n">
        <f aca="false">DH41+DX41*(DH42-DH41)</f>
        <v>6.94928364967676E-005</v>
      </c>
    </row>
    <row r="42" customFormat="false" ht="12.75" hidden="false" customHeight="false" outlineLevel="0" collapsed="false">
      <c r="A42" s="14"/>
      <c r="B42" s="15" t="s">
        <v>155</v>
      </c>
      <c r="C42" s="23"/>
      <c r="D42" s="17" t="s">
        <v>57</v>
      </c>
      <c r="AB42" s="0" t="s">
        <v>156</v>
      </c>
      <c r="AC42" s="0" t="n">
        <f aca="false">$AH42+($AI42-$AH42)*($AC$40-$AH$41)/($AI$41-$AH$41)</f>
        <v>0.42</v>
      </c>
      <c r="AG42" s="0" t="n">
        <v>0</v>
      </c>
      <c r="AH42" s="0" t="n">
        <v>0.42</v>
      </c>
      <c r="AI42" s="0" t="n">
        <v>2</v>
      </c>
      <c r="CW42" s="0" t="n">
        <f aca="false">CW41+1</f>
        <v>38</v>
      </c>
      <c r="CX42" s="0" t="n">
        <f aca="false">IF(DC41&gt;0,DB41,CX41)</f>
        <v>9.99971234705299E-005</v>
      </c>
      <c r="CY42" s="0" t="n">
        <f aca="false">IF(DC41&lt;0,DB41,CY41)</f>
        <v>0.000100000761449337</v>
      </c>
      <c r="CZ42" s="0" t="n">
        <f aca="false">$C$6+$C$7*CX42+$C$8*CX42^2+$C$9*CX42^3+$C$10*CX42^4+$C$11*CX42^5</f>
        <v>0.00028765294700861</v>
      </c>
      <c r="DA42" s="0" t="n">
        <f aca="false">$C$6+$C$7*CY42+$C$8*CY42^2+$C$9*CY42^3+$C$10*CY42^4+$C$11*CY42^5</f>
        <v>-7.61449337005615E-005</v>
      </c>
      <c r="DB42" s="0" t="n">
        <f aca="false">(CX42+CY42)/2</f>
        <v>9.99989424599335E-005</v>
      </c>
      <c r="DC42" s="0" t="n">
        <f aca="false">$C$6+$C$7*DB42+$C$8*DB42^2+$C$9*DB42^3+$C$10*DB42^4+$C$11*DB42^5</f>
        <v>0.000105754006654024</v>
      </c>
      <c r="DE42" s="6"/>
      <c r="DH42" s="0" t="n">
        <f aca="false">DH41-$DI$6</f>
        <v>6.89999998870761E-005</v>
      </c>
      <c r="DI42" s="6" t="n">
        <f aca="false">$C$6+$C$7*DH42+$C$8*DH42^2+$C$9*DH42^3+$C$10*DH42^4+$C$11*DH42^5</f>
        <v>3.10000001129239</v>
      </c>
      <c r="DJ42" s="0" t="n">
        <f aca="false">DH42*DI42*1000</f>
        <v>0.213900000429111</v>
      </c>
      <c r="DK42" s="0" t="n">
        <f aca="false">MIN(MAX(0.2,$E$5*SQRT(DH42)*($C$4/DI42/1000)^0.75),5)</f>
        <v>0.372333310210792</v>
      </c>
      <c r="DL42" s="0" t="n">
        <f aca="false">$AH$42+($AI$42-$AH$42)*($DK42-$AH$41)/($AI$41-$AH$41)</f>
        <v>0.476726381277719</v>
      </c>
      <c r="DM42" s="0" t="n">
        <f aca="false">$AH$43+($AI$43-$AH$43)*($DK42-$AH$41)/($AI$41-$AH$41)</f>
        <v>0.450528504352921</v>
      </c>
      <c r="DN42" s="0" t="n">
        <f aca="false">$AH$44+($AI$44-$AH$44)*($DK42-$AH$41)/($AI$41-$AH$41)</f>
        <v>0.20917565161957</v>
      </c>
      <c r="DO42" s="0" t="n">
        <f aca="false">$AH$45+($AI$45-$AH$45)*($DK42-$AH$41)/($AI$41-$AH$41)</f>
        <v>-0.13643053725021</v>
      </c>
      <c r="DP42" s="0" t="n">
        <f aca="false">($DL42+$DM42*($DH41/$DH42)+$DN42*($DH41/$DH42)^2+$DO42*($DH41/$DH42)^3)</f>
        <v>1.0066182508504</v>
      </c>
      <c r="DQ42" s="0" t="n">
        <f aca="false">(DL42+DM42+DN42+DO42)</f>
        <v>1</v>
      </c>
      <c r="DR42" s="0" t="n">
        <f aca="false">($DL42+$DM42*($DH43/$DH42)+$DN42*($DH43/$DH42)^2+$DO42*($DH43/$DH42)^3)</f>
        <v>0.993297684474054</v>
      </c>
      <c r="DS42" s="0" t="n">
        <f aca="false">DJ41/DP42</f>
        <v>0.208619305561797</v>
      </c>
      <c r="DT42" s="0" t="n">
        <f aca="false">DJ42/DQ42</f>
        <v>0.213900000429111</v>
      </c>
      <c r="DU42" s="0" t="n">
        <f aca="false">DJ43/DR42</f>
        <v>0.219068265034618</v>
      </c>
      <c r="DV42" s="0" t="n">
        <f aca="false">DU42-DS42</f>
        <v>0.0104489594728205</v>
      </c>
      <c r="DW42" s="0" t="n">
        <f aca="false">IF((DT42-DS42)*(DU42-DT42)&lt;0,1,0)</f>
        <v>0</v>
      </c>
      <c r="DX42" s="0" t="n">
        <f aca="false">ABS(DV42)/(ABS(DV42)+ABS(DV43))</f>
        <v>0.507373444277732</v>
      </c>
      <c r="DY42" s="0" t="n">
        <f aca="false">DH42+DX42*(DH43-DH42)</f>
        <v>6.84926264436287E-005</v>
      </c>
    </row>
    <row r="43" customFormat="false" ht="12.75" hidden="false" customHeight="false" outlineLevel="0" collapsed="false">
      <c r="A43" s="14"/>
      <c r="B43" s="15" t="s">
        <v>157</v>
      </c>
      <c r="C43" s="23" t="n">
        <f aca="false">AC83</f>
        <v>0.000549083417840489</v>
      </c>
      <c r="D43" s="17" t="s">
        <v>158</v>
      </c>
      <c r="AB43" s="0" t="s">
        <v>159</v>
      </c>
      <c r="AC43" s="0" t="n">
        <f aca="false">$AH43+($AI43-$AH43)*($AC$40-$AH$41)/($AI$41-$AH$41)</f>
        <v>0.69</v>
      </c>
      <c r="AG43" s="0" t="n">
        <v>1</v>
      </c>
      <c r="AH43" s="0" t="n">
        <v>0.69</v>
      </c>
      <c r="AI43" s="0" t="n">
        <v>-5.98</v>
      </c>
      <c r="CW43" s="0" t="n">
        <f aca="false">CW42+1</f>
        <v>39</v>
      </c>
      <c r="CX43" s="0" t="n">
        <f aca="false">IF(DC42&gt;0,DB42,CX42)</f>
        <v>9.99989424599335E-005</v>
      </c>
      <c r="CY43" s="0" t="n">
        <f aca="false">IF(DC42&lt;0,DB42,CY42)</f>
        <v>0.000100000761449337</v>
      </c>
      <c r="CZ43" s="0" t="n">
        <f aca="false">$C$6+$C$7*CX43+$C$8*CX43^2+$C$9*CX43^3+$C$10*CX43^4+$C$11*CX43^5</f>
        <v>0.000105754006654024</v>
      </c>
      <c r="DA43" s="0" t="n">
        <f aca="false">$C$6+$C$7*CY43+$C$8*CY43^2+$C$9*CY43^3+$C$10*CY43^4+$C$11*CY43^5</f>
        <v>-7.61449337005615E-005</v>
      </c>
      <c r="DB43" s="0" t="n">
        <f aca="false">(CX43+CY43)/2</f>
        <v>9.99998519546352E-005</v>
      </c>
      <c r="DC43" s="0" t="n">
        <f aca="false">$C$6+$C$7*DB43+$C$8*DB43^2+$C$9*DB43^3+$C$10*DB43^4+$C$11*DB43^5</f>
        <v>1.48045364767313E-005</v>
      </c>
      <c r="DE43" s="6"/>
      <c r="DH43" s="0" t="n">
        <f aca="false">DH42-$DI$6</f>
        <v>6.79999998887126E-005</v>
      </c>
      <c r="DI43" s="6" t="n">
        <f aca="false">$C$6+$C$7*DH43+$C$8*DH43^2+$C$9*DH43^3+$C$10*DH43^4+$C$11*DH43^5</f>
        <v>3.20000001112874</v>
      </c>
      <c r="DJ43" s="0" t="n">
        <f aca="false">DH43*DI43*1000</f>
        <v>0.217600000400634</v>
      </c>
      <c r="DK43" s="0" t="n">
        <f aca="false">MIN(MAX(0.2,$E$5*SQRT(DH43)*($C$4/DI43/1000)^0.75),5)</f>
        <v>0.360928011737047</v>
      </c>
      <c r="DL43" s="0" t="n">
        <f aca="false">$AH$42+($AI$42-$AH$42)*($DK43-$AH$41)/($AI$41-$AH$41)</f>
        <v>0.472972137196778</v>
      </c>
      <c r="DM43" s="0" t="n">
        <f aca="false">$AH$43+($AI$43-$AH$43)*($DK43-$AH$41)/($AI$41-$AH$41)</f>
        <v>0.466377117023728</v>
      </c>
      <c r="DN43" s="0" t="n">
        <f aca="false">$AH$44+($AI$44-$AH$44)*($DK43-$AH$41)/($AI$41-$AH$41)</f>
        <v>0.188052088404656</v>
      </c>
      <c r="DO43" s="0" t="n">
        <f aca="false">$AH$45+($AI$45-$AH$45)*($DK43-$AH$41)/($AI$41-$AH$41)</f>
        <v>-0.127401342625162</v>
      </c>
      <c r="DP43" s="0" t="n">
        <f aca="false">($DL43+$DM43*($DH42/$DH43)+$DN43*($DH42/$DH43)^2+$DO43*($DH42/$DH43)^3)</f>
        <v>1.00672639026741</v>
      </c>
      <c r="DQ43" s="0" t="n">
        <f aca="false">(DL43+DM43+DN43+DO43)</f>
        <v>1</v>
      </c>
      <c r="DR43" s="0" t="n">
        <f aca="false">($DL43+$DM43*($DH44/$DH43)+$DN43*($DH44/$DH43)^2+$DO43*($DH44/$DH43)^3)</f>
        <v>0.993189633980228</v>
      </c>
      <c r="DS43" s="0" t="n">
        <f aca="false">DJ42/DP43</f>
        <v>0.212470838647922</v>
      </c>
      <c r="DT43" s="0" t="n">
        <f aca="false">DJ43/DQ43</f>
        <v>0.217600000400634</v>
      </c>
      <c r="DU43" s="0" t="n">
        <f aca="false">DJ44/DR43</f>
        <v>0.222616097478535</v>
      </c>
      <c r="DV43" s="0" t="n">
        <f aca="false">DU43-DS43</f>
        <v>0.0101452588306129</v>
      </c>
      <c r="DW43" s="0" t="n">
        <f aca="false">IF((DT43-DS43)*(DU43-DT43)&lt;0,1,0)</f>
        <v>0</v>
      </c>
      <c r="DX43" s="0" t="n">
        <f aca="false">ABS(DV43)/(ABS(DV43)+ABS(DV44))</f>
        <v>0.507596273833604</v>
      </c>
      <c r="DY43" s="0" t="n">
        <f aca="false">DH43+DX43*(DH44-DH43)</f>
        <v>6.74924036157097E-005</v>
      </c>
    </row>
    <row r="44" customFormat="false" ht="12.75" hidden="false" customHeight="false" outlineLevel="0" collapsed="false">
      <c r="A44" s="14"/>
      <c r="B44" s="15"/>
      <c r="C44" s="15"/>
      <c r="D44" s="17"/>
      <c r="AB44" s="0" t="s">
        <v>160</v>
      </c>
      <c r="AC44" s="0" t="n">
        <f aca="false">$AH44+($AI44-$AH44)*($AC$40-$AH$41)/($AI$41-$AH$41)</f>
        <v>-0.11</v>
      </c>
      <c r="AG44" s="0" t="n">
        <v>2</v>
      </c>
      <c r="AH44" s="0" t="n">
        <v>-0.11</v>
      </c>
      <c r="AI44" s="0" t="n">
        <v>8.78</v>
      </c>
      <c r="CW44" s="0" t="n">
        <f aca="false">CW43+1</f>
        <v>40</v>
      </c>
      <c r="CX44" s="0" t="n">
        <f aca="false">IF(DC43&gt;0,DB43,CX43)</f>
        <v>9.99998519546352E-005</v>
      </c>
      <c r="CY44" s="0" t="n">
        <f aca="false">IF(DC43&lt;0,DB43,CY43)</f>
        <v>0.000100000761449337</v>
      </c>
      <c r="CZ44" s="0" t="n">
        <f aca="false">$C$6+$C$7*CX44+$C$8*CX44^2+$C$9*CX44^3+$C$10*CX44^4+$C$11*CX44^5</f>
        <v>1.48045364767313E-005</v>
      </c>
      <c r="DA44" s="0" t="n">
        <f aca="false">$C$6+$C$7*CY44+$C$8*CY44^2+$C$9*CY44^3+$C$10*CY44^4+$C$11*CY44^5</f>
        <v>-7.61449337005615E-005</v>
      </c>
      <c r="DB44" s="0" t="n">
        <f aca="false">(CX44+CY44)/2</f>
        <v>0.000100000306701986</v>
      </c>
      <c r="DC44" s="0" t="n">
        <f aca="false">$C$6+$C$7*DB44+$C$8*DB44^2+$C$9*DB44^3+$C$10*DB44^4+$C$11*DB44^5</f>
        <v>-3.06701986119151E-005</v>
      </c>
      <c r="DE44" s="6"/>
      <c r="DH44" s="0" t="n">
        <f aca="false">DH43-$DI$6</f>
        <v>6.69999998903492E-005</v>
      </c>
      <c r="DI44" s="6" t="n">
        <f aca="false">$C$6+$C$7*DH44+$C$8*DH44^2+$C$9*DH44^3+$C$10*DH44^4+$C$11*DH44^5</f>
        <v>3.30000001096508</v>
      </c>
      <c r="DJ44" s="0" t="n">
        <f aca="false">DH44*DI44*1000</f>
        <v>0.221100000372813</v>
      </c>
      <c r="DK44" s="0" t="n">
        <f aca="false">MIN(MAX(0.2,$E$5*SQRT(DH44)*($C$4/DI44/1000)^0.75),5)</f>
        <v>0.350090691048634</v>
      </c>
      <c r="DL44" s="0" t="n">
        <f aca="false">$AH$42+($AI$42-$AH$42)*($DK44-$AH$41)/($AI$41-$AH$41)</f>
        <v>0.469404852470175</v>
      </c>
      <c r="DM44" s="0" t="n">
        <f aca="false">$AH$43+($AI$43-$AH$43)*($DK44-$AH$41)/($AI$41-$AH$41)</f>
        <v>0.481436477230336</v>
      </c>
      <c r="DN44" s="0" t="n">
        <f aca="false">$AH$44+($AI$44-$AH$44)*($DK44-$AH$41)/($AI$41-$AH$41)</f>
        <v>0.167980467379658</v>
      </c>
      <c r="DO44" s="0" t="n">
        <f aca="false">$AH$45+($AI$45-$AH$45)*($DK44-$AH$41)/($AI$41-$AH$41)</f>
        <v>-0.118821797080169</v>
      </c>
      <c r="DP44" s="0" t="n">
        <f aca="false">($DL44+$DM44*($DH43/$DH44)+$DN44*($DH43/$DH44)^2+$DO44*($DH43/$DH44)^3)</f>
        <v>1.00683719915497</v>
      </c>
      <c r="DQ44" s="0" t="n">
        <f aca="false">(DL44+DM44+DN44+DO44)</f>
        <v>1</v>
      </c>
      <c r="DR44" s="0" t="n">
        <f aca="false">($DL44+$DM44*($DH45/$DH44)+$DN44*($DH45/$DH44)^2+$DO44*($DH45/$DH44)^3)</f>
        <v>0.993078824492226</v>
      </c>
      <c r="DS44" s="0" t="n">
        <f aca="false">DJ43/DP44</f>
        <v>0.216122328995456</v>
      </c>
      <c r="DT44" s="0" t="n">
        <f aca="false">DJ44/DQ44</f>
        <v>0.221100000372813</v>
      </c>
      <c r="DU44" s="0" t="n">
        <f aca="false">DJ45/DR44</f>
        <v>0.225963936407952</v>
      </c>
      <c r="DV44" s="0" t="n">
        <f aca="false">DU44-DS44</f>
        <v>0.00984160741249632</v>
      </c>
      <c r="DW44" s="0" t="n">
        <f aca="false">IF((DT44-DS44)*(DU44-DT44)&lt;0,1,0)</f>
        <v>0</v>
      </c>
      <c r="DX44" s="0" t="n">
        <f aca="false">ABS(DV44)/(ABS(DV44)+ABS(DV45))</f>
        <v>0.507833072789501</v>
      </c>
      <c r="DY44" s="0" t="n">
        <f aca="false">DH44+DX44*(DH45-DH44)</f>
        <v>6.64921668183908E-005</v>
      </c>
    </row>
    <row r="45" customFormat="false" ht="12.75" hidden="false" customHeight="false" outlineLevel="0" collapsed="false">
      <c r="A45" s="24" t="s">
        <v>161</v>
      </c>
      <c r="B45" s="15" t="s">
        <v>162</v>
      </c>
      <c r="C45" s="25" t="n">
        <f aca="false">AC39</f>
        <v>0.150805966101401</v>
      </c>
      <c r="D45" s="17" t="s">
        <v>146</v>
      </c>
      <c r="AB45" s="0" t="s">
        <v>163</v>
      </c>
      <c r="AC45" s="0" t="n">
        <f aca="false">$AH45+($AI45-$AH45)*($AC$40-$AH$41)/($AI$41-$AH$41)</f>
        <v>0</v>
      </c>
      <c r="AG45" s="0" t="n">
        <v>3</v>
      </c>
      <c r="AH45" s="0" t="n">
        <v>0</v>
      </c>
      <c r="AI45" s="0" t="n">
        <v>-3.8</v>
      </c>
      <c r="CW45" s="0" t="n">
        <f aca="false">CW44+1</f>
        <v>41</v>
      </c>
      <c r="CX45" s="0" t="n">
        <f aca="false">IF(DC44&gt;0,DB44,CX44)</f>
        <v>9.99998519546352E-005</v>
      </c>
      <c r="CY45" s="0" t="n">
        <f aca="false">IF(DC44&lt;0,DB44,CY44)</f>
        <v>0.000100000306701986</v>
      </c>
      <c r="CZ45" s="0" t="n">
        <f aca="false">$C$6+$C$7*CX45+$C$8*CX45^2+$C$9*CX45^3+$C$10*CX45^4+$C$11*CX45^5</f>
        <v>1.48045364767313E-005</v>
      </c>
      <c r="DA45" s="0" t="n">
        <f aca="false">$C$6+$C$7*CY45+$C$8*CY45^2+$C$9*CY45^3+$C$10*CY45^4+$C$11*CY45^5</f>
        <v>-3.06701986119151E-005</v>
      </c>
      <c r="DB45" s="0" t="n">
        <f aca="false">(CX45+CY45)/2</f>
        <v>0.000100000079328311</v>
      </c>
      <c r="DC45" s="0" t="n">
        <f aca="false">$C$6+$C$7*DB45+$C$8*DB45^2+$C$9*DB45^3+$C$10*DB45^4+$C$11*DB45^5</f>
        <v>-7.93283106759191E-006</v>
      </c>
      <c r="DE45" s="6"/>
      <c r="DH45" s="0" t="n">
        <f aca="false">DH44-$DI$6</f>
        <v>6.59999998919858E-005</v>
      </c>
      <c r="DI45" s="6" t="n">
        <f aca="false">$C$6+$C$7*DH45+$C$8*DH45^2+$C$9*DH45^3+$C$10*DH45^4+$C$11*DH45^5</f>
        <v>3.40000001080142</v>
      </c>
      <c r="DJ45" s="0" t="n">
        <f aca="false">DH45*DI45*1000</f>
        <v>0.224400000345645</v>
      </c>
      <c r="DK45" s="0" t="n">
        <f aca="false">MIN(MAX(0.2,$E$5*SQRT(DH45)*($C$4/DI45/1000)^0.75),5)</f>
        <v>0.339774980776768</v>
      </c>
      <c r="DL45" s="0" t="n">
        <f aca="false">$AH$42+($AI$42-$AH$42)*($DK45-$AH$41)/($AI$41-$AH$41)</f>
        <v>0.466009264505686</v>
      </c>
      <c r="DM45" s="0" t="n">
        <f aca="false">$AH$43+($AI$43-$AH$43)*($DK45-$AH$41)/($AI$41-$AH$41)</f>
        <v>0.495771016295616</v>
      </c>
      <c r="DN45" s="0" t="n">
        <f aca="false">$AH$44+($AI$44-$AH$44)*($DK45-$AH$41)/($AI$41-$AH$41)</f>
        <v>0.14887491231364</v>
      </c>
      <c r="DO45" s="0" t="n">
        <f aca="false">$AH$45+($AI$45-$AH$45)*($DK45-$AH$41)/($AI$41-$AH$41)</f>
        <v>-0.110655193114942</v>
      </c>
      <c r="DP45" s="0" t="n">
        <f aca="false">($DL45+$DM45*($DH44/$DH45)+$DN45*($DH44/$DH45)^2+$DO45*($DH44/$DH45)^3)</f>
        <v>1.00695084481251</v>
      </c>
      <c r="DQ45" s="0" t="n">
        <f aca="false">(DL45+DM45+DN45+DO45)</f>
        <v>1</v>
      </c>
      <c r="DR45" s="0" t="n">
        <f aca="false">($DL45+$DM45*($DH46/$DH45)+$DN45*($DH46/$DH45)^2+$DO45*($DH46/$DH45)^3)</f>
        <v>0.992965091520352</v>
      </c>
      <c r="DS45" s="0" t="n">
        <f aca="false">DJ44/DP45</f>
        <v>0.219573777123133</v>
      </c>
      <c r="DT45" s="0" t="n">
        <f aca="false">DJ45/DQ45</f>
        <v>0.224400000345645</v>
      </c>
      <c r="DU45" s="0" t="n">
        <f aca="false">DJ46/DR45</f>
        <v>0.229111780728165</v>
      </c>
      <c r="DV45" s="0" t="n">
        <f aca="false">DU45-DS45</f>
        <v>0.00953800360503129</v>
      </c>
      <c r="DW45" s="0" t="n">
        <f aca="false">IF((DT45-DS45)*(DU45-DT45)&lt;0,1,0)</f>
        <v>0</v>
      </c>
      <c r="DX45" s="0" t="n">
        <f aca="false">ABS(DV45)/(ABS(DV45)+ABS(DV46))</f>
        <v>0.508085190407868</v>
      </c>
      <c r="DY45" s="0" t="n">
        <f aca="false">DH45+DX45*(DH46-DH45)</f>
        <v>6.54919147024094E-005</v>
      </c>
    </row>
    <row r="46" customFormat="false" ht="12.75" hidden="false" customHeight="false" outlineLevel="0" collapsed="false">
      <c r="A46" s="14"/>
      <c r="B46" s="15" t="s">
        <v>164</v>
      </c>
      <c r="C46" s="15" t="str">
        <f aca="false">IF(C45&lt;0.7,"Radial Flow",IF(C45&gt;3,"Axial Flow","Mixed Flow"))</f>
        <v>Radial Flow</v>
      </c>
      <c r="D46" s="17" t="s">
        <v>165</v>
      </c>
      <c r="AB46" s="0" t="s">
        <v>166</v>
      </c>
      <c r="AC46" s="0" t="n">
        <f aca="false">AC38*DI8*1000</f>
        <v>0.22643024024973</v>
      </c>
      <c r="AD46" s="0" t="s">
        <v>110</v>
      </c>
      <c r="CW46" s="0" t="n">
        <f aca="false">CW45+1</f>
        <v>42</v>
      </c>
      <c r="CX46" s="0" t="n">
        <f aca="false">IF(DC45&gt;0,DB45,CX45)</f>
        <v>9.99998519546352E-005</v>
      </c>
      <c r="CY46" s="0" t="n">
        <f aca="false">IF(DC45&lt;0,DB45,CY45)</f>
        <v>0.000100000079328311</v>
      </c>
      <c r="CZ46" s="0" t="n">
        <f aca="false">$C$6+$C$7*CX46+$C$8*CX46^2+$C$9*CX46^3+$C$10*CX46^4+$C$11*CX46^5</f>
        <v>1.48045364767313E-005</v>
      </c>
      <c r="DA46" s="0" t="n">
        <f aca="false">$C$6+$C$7*CY46+$C$8*CY46^2+$C$9*CY46^3+$C$10*CY46^4+$C$11*CY46^5</f>
        <v>-7.93283106759191E-006</v>
      </c>
      <c r="DB46" s="0" t="n">
        <f aca="false">(CX46+CY46)/2</f>
        <v>9.9999965641473E-005</v>
      </c>
      <c r="DC46" s="0" t="n">
        <f aca="false">$C$6+$C$7*DB46+$C$8*DB46^2+$C$9*DB46^3+$C$10*DB46^4+$C$11*DB46^5</f>
        <v>3.4358527045697E-006</v>
      </c>
      <c r="DE46" s="6"/>
      <c r="DH46" s="0" t="n">
        <f aca="false">DH45-$DI$6</f>
        <v>6.49999998936224E-005</v>
      </c>
      <c r="DI46" s="6" t="n">
        <f aca="false">$C$6+$C$7*DH46+$C$8*DH46^2+$C$9*DH46^3+$C$10*DH46^4+$C$11*DH46^5</f>
        <v>3.50000001063776</v>
      </c>
      <c r="DJ46" s="0" t="n">
        <f aca="false">DH46*DI46*1000</f>
        <v>0.227500000319133</v>
      </c>
      <c r="DK46" s="0" t="n">
        <f aca="false">MIN(MAX(0.2,$E$5*SQRT(DH46)*($C$4/DI46/1000)^0.75),5)</f>
        <v>0.329939461835333</v>
      </c>
      <c r="DL46" s="0" t="n">
        <f aca="false">$AH$42+($AI$42-$AH$42)*($DK46-$AH$41)/($AI$41-$AH$41)</f>
        <v>0.462771739520797</v>
      </c>
      <c r="DM46" s="0" t="n">
        <f aca="false">$AH$43+($AI$43-$AH$43)*($DK46-$AH$41)/($AI$41-$AH$41)</f>
        <v>0.509438289491318</v>
      </c>
      <c r="DN46" s="0" t="n">
        <f aca="false">$AH$44+($AI$44-$AH$44)*($DK46-$AH$41)/($AI$41-$AH$41)</f>
        <v>0.130658711607524</v>
      </c>
      <c r="DO46" s="0" t="n">
        <f aca="false">$AH$45+($AI$45-$AH$45)*($DK46-$AH$41)/($AI$41-$AH$41)</f>
        <v>-0.102868740619639</v>
      </c>
      <c r="DP46" s="0" t="n">
        <f aca="false">($DL46+$DM46*($DH45/$DH46)+$DN46*($DH45/$DH46)^2+$DO46*($DH45/$DH46)^3)</f>
        <v>1.00706749983404</v>
      </c>
      <c r="DQ46" s="0" t="n">
        <f aca="false">(DL46+DM46+DN46+DO46)</f>
        <v>1</v>
      </c>
      <c r="DR46" s="0" t="n">
        <f aca="false">($DL46+$DM46*($DH47/$DH46)+$DN46*($DH47/$DH46)^2+$DO46*($DH47/$DH46)^3)</f>
        <v>0.992848264658148</v>
      </c>
      <c r="DS46" s="0" t="n">
        <f aca="false">DJ45/DP46</f>
        <v>0.222825183398953</v>
      </c>
      <c r="DT46" s="0" t="n">
        <f aca="false">DJ46/DQ46</f>
        <v>0.227500000319133</v>
      </c>
      <c r="DU46" s="0" t="n">
        <f aca="false">DJ47/DR46</f>
        <v>0.232059629345885</v>
      </c>
      <c r="DV46" s="0" t="n">
        <f aca="false">DU46-DS46</f>
        <v>0.00923444594693185</v>
      </c>
      <c r="DW46" s="0" t="n">
        <f aca="false">IF((DT46-DS46)*(DU46-DT46)&lt;0,1,0)</f>
        <v>0</v>
      </c>
      <c r="DX46" s="0" t="n">
        <f aca="false">ABS(DV46)/(ABS(DV46)+ABS(DV47))</f>
        <v>0.508354156323704</v>
      </c>
      <c r="DY46" s="0" t="n">
        <f aca="false">DH46+DX46*(DH47-DH46)</f>
        <v>6.44916457381306E-005</v>
      </c>
    </row>
    <row r="47" customFormat="false" ht="12.75" hidden="false" customHeight="false" outlineLevel="0" collapsed="false">
      <c r="A47" s="14"/>
      <c r="B47" s="15" t="s">
        <v>167</v>
      </c>
      <c r="C47" s="26" t="n">
        <f aca="false">AU28</f>
        <v>1458.1222506144</v>
      </c>
      <c r="D47" s="17" t="s">
        <v>57</v>
      </c>
      <c r="AB47" s="0" t="s">
        <v>168</v>
      </c>
      <c r="AC47" s="0" t="n">
        <f aca="false">AC46/C12</f>
        <v>0.22643024024973</v>
      </c>
      <c r="AD47" s="0" t="s">
        <v>110</v>
      </c>
      <c r="CW47" s="0" t="n">
        <f aca="false">CW46+1</f>
        <v>43</v>
      </c>
      <c r="CX47" s="0" t="n">
        <f aca="false">IF(DC46&gt;0,DB46,CX46)</f>
        <v>9.9999965641473E-005</v>
      </c>
      <c r="CY47" s="0" t="n">
        <f aca="false">IF(DC46&lt;0,DB46,CY46)</f>
        <v>0.000100000079328311</v>
      </c>
      <c r="CZ47" s="0" t="n">
        <f aca="false">$C$6+$C$7*CX47+$C$8*CX47^2+$C$9*CX47^3+$C$10*CX47^4+$C$11*CX47^5</f>
        <v>3.4358527045697E-006</v>
      </c>
      <c r="DA47" s="0" t="n">
        <f aca="false">$C$6+$C$7*CY47+$C$8*CY47^2+$C$9*CY47^3+$C$10*CY47^4+$C$11*CY47^5</f>
        <v>-7.93283106759191E-006</v>
      </c>
      <c r="DB47" s="0" t="n">
        <f aca="false">(CX47+CY47)/2</f>
        <v>0.000100000022484892</v>
      </c>
      <c r="DC47" s="0" t="n">
        <f aca="false">$C$6+$C$7*DB47+$C$8*DB47^2+$C$9*DB47^3+$C$10*DB47^4+$C$11*DB47^5</f>
        <v>-2.2484891815111E-006</v>
      </c>
      <c r="DE47" s="6"/>
      <c r="DH47" s="0" t="n">
        <f aca="false">DH46-$DI$6</f>
        <v>6.39999998952589E-005</v>
      </c>
      <c r="DI47" s="6" t="n">
        <f aca="false">$C$6+$C$7*DH47+$C$8*DH47^2+$C$9*DH47^3+$C$10*DH47^4+$C$11*DH47^5</f>
        <v>3.6000000104741</v>
      </c>
      <c r="DJ47" s="0" t="n">
        <f aca="false">DH47*DI47*1000</f>
        <v>0.230400000293275</v>
      </c>
      <c r="DK47" s="0" t="n">
        <f aca="false">MIN(MAX(0.2,$E$5*SQRT(DH47)*($C$4/DI47/1000)^0.75),5)</f>
        <v>0.320547008423068</v>
      </c>
      <c r="DL47" s="0" t="n">
        <f aca="false">$AH$42+($AI$42-$AH$42)*($DK47-$AH$41)/($AI$41-$AH$41)</f>
        <v>0.45968005693926</v>
      </c>
      <c r="DM47" s="0" t="n">
        <f aca="false">$AH$43+($AI$43-$AH$43)*($DK47-$AH$41)/($AI$41-$AH$41)</f>
        <v>0.522489886212112</v>
      </c>
      <c r="DN47" s="0" t="n">
        <f aca="false">$AH$44+($AI$44-$AH$44)*($DK47-$AH$41)/($AI$41-$AH$41)</f>
        <v>0.113263105183557</v>
      </c>
      <c r="DO47" s="0" t="n">
        <f aca="false">$AH$45+($AI$45-$AH$45)*($DK47-$AH$41)/($AI$41-$AH$41)</f>
        <v>-0.0954330483349288</v>
      </c>
      <c r="DP47" s="0" t="n">
        <f aca="false">($DL47+$DM47*($DH46/$DH47)+$DN47*($DH46/$DH47)^2+$DO47*($DH46/$DH47)^3)</f>
        <v>1.00718734319325</v>
      </c>
      <c r="DQ47" s="0" t="n">
        <f aca="false">(DL47+DM47+DN47+DO47)</f>
        <v>1</v>
      </c>
      <c r="DR47" s="0" t="n">
        <f aca="false">($DL47+$DM47*($DH48/$DH47)+$DN47*($DH48/$DH47)^2+$DO47*($DH48/$DH47)^3)</f>
        <v>0.992728166552928</v>
      </c>
      <c r="DS47" s="0" t="n">
        <f aca="false">DJ46/DP47</f>
        <v>0.225876548048997</v>
      </c>
      <c r="DT47" s="0" t="n">
        <f aca="false">DJ47/DQ47</f>
        <v>0.230400000293275</v>
      </c>
      <c r="DU47" s="0" t="n">
        <f aca="false">DJ48/DR47</f>
        <v>0.234807481163217</v>
      </c>
      <c r="DV47" s="0" t="n">
        <f aca="false">DU47-DS47</f>
        <v>0.00893093311421947</v>
      </c>
      <c r="DW47" s="0" t="n">
        <f aca="false">IF((DT47-DS47)*(DU47-DT47)&lt;0,1,0)</f>
        <v>0</v>
      </c>
      <c r="DX47" s="0" t="n">
        <f aca="false">ABS(DV47)/(ABS(DV47)+ABS(DV48))</f>
        <v>0.508641711611147</v>
      </c>
      <c r="DY47" s="0" t="n">
        <f aca="false">DH47+DX47*(DH48-DH47)</f>
        <v>6.34913581844802E-005</v>
      </c>
    </row>
    <row r="48" customFormat="false" ht="12.75" hidden="false" customHeight="false" outlineLevel="0" collapsed="false">
      <c r="A48" s="14"/>
      <c r="B48" s="15" t="s">
        <v>169</v>
      </c>
      <c r="C48" s="25" t="n">
        <f aca="false">C16*C15</f>
        <v>6</v>
      </c>
      <c r="D48" s="17" t="s">
        <v>110</v>
      </c>
      <c r="CW48" s="0" t="n">
        <f aca="false">CW47+1</f>
        <v>44</v>
      </c>
      <c r="CX48" s="0" t="n">
        <f aca="false">IF(DC47&gt;0,DB47,CX47)</f>
        <v>9.9999965641473E-005</v>
      </c>
      <c r="CY48" s="0" t="n">
        <f aca="false">IF(DC47&lt;0,DB47,CY47)</f>
        <v>0.000100000022484892</v>
      </c>
      <c r="CZ48" s="0" t="n">
        <f aca="false">$C$6+$C$7*CX48+$C$8*CX48^2+$C$9*CX48^3+$C$10*CX48^4+$C$11*CX48^5</f>
        <v>3.4358527045697E-006</v>
      </c>
      <c r="DA48" s="0" t="n">
        <f aca="false">$C$6+$C$7*CY48+$C$8*CY48^2+$C$9*CY48^3+$C$10*CY48^4+$C$11*CY48^5</f>
        <v>-2.2484891815111E-006</v>
      </c>
      <c r="DB48" s="0" t="n">
        <f aca="false">(CX48+CY48)/2</f>
        <v>9.99999940631824E-005</v>
      </c>
      <c r="DC48" s="0" t="n">
        <f aca="false">$C$6+$C$7*DB48+$C$8*DB48^2+$C$9*DB48^3+$C$10*DB48^4+$C$11*DB48^5</f>
        <v>5.93681761529297E-007</v>
      </c>
      <c r="DE48" s="6"/>
      <c r="DH48" s="0" t="n">
        <f aca="false">DH47-$DI$6</f>
        <v>6.29999998968955E-005</v>
      </c>
      <c r="DI48" s="6" t="n">
        <f aca="false">$C$6+$C$7*DH48+$C$8*DH48^2+$C$9*DH48^3+$C$10*DH48^4+$C$11*DH48^5</f>
        <v>3.70000001031045</v>
      </c>
      <c r="DJ48" s="0" t="n">
        <f aca="false">DH48*DI48*1000</f>
        <v>0.233100000268072</v>
      </c>
      <c r="DK48" s="0" t="n">
        <f aca="false">MIN(MAX(0.2,$E$5*SQRT(DH48)*($C$4/DI48/1000)^0.75),5)</f>
        <v>0.311564234960275</v>
      </c>
      <c r="DL48" s="0" t="n">
        <f aca="false">$AH$42+($AI$42-$AH$42)*($DK48-$AH$41)/($AI$41-$AH$41)</f>
        <v>0.456723227341091</v>
      </c>
      <c r="DM48" s="0" t="n">
        <f aca="false">$AH$43+($AI$43-$AH$43)*($DK48-$AH$41)/($AI$41-$AH$41)</f>
        <v>0.534972198503118</v>
      </c>
      <c r="DN48" s="0" t="n">
        <f aca="false">$AH$44+($AI$44-$AH$44)*($DK48-$AH$41)/($AI$41-$AH$41)</f>
        <v>0.0966262601660094</v>
      </c>
      <c r="DO48" s="0" t="n">
        <f aca="false">$AH$45+($AI$45-$AH$45)*($DK48-$AH$41)/($AI$41-$AH$41)</f>
        <v>-0.0883216860102178</v>
      </c>
      <c r="DP48" s="0" t="n">
        <f aca="false">($DL48+$DM48*($DH47/$DH48)+$DN48*($DH47/$DH48)^2+$DO48*($DH47/$DH48)^3)</f>
        <v>1.0073105613256</v>
      </c>
      <c r="DQ48" s="0" t="n">
        <f aca="false">(DL48+DM48+DN48+DO48)</f>
        <v>1</v>
      </c>
      <c r="DR48" s="0" t="n">
        <f aca="false">($DL48+$DM48*($DH49/$DH48)+$DN48*($DH49/$DH48)^2+$DO48*($DH49/$DH48)^3)</f>
        <v>0.992604611867719</v>
      </c>
      <c r="DS48" s="0" t="n">
        <f aca="false">DJ47/DP48</f>
        <v>0.228727871164255</v>
      </c>
      <c r="DT48" s="0" t="n">
        <f aca="false">DJ48/DQ48</f>
        <v>0.233100000268072</v>
      </c>
      <c r="DU48" s="0" t="n">
        <f aca="false">DJ49/DR48</f>
        <v>0.237355335071645</v>
      </c>
      <c r="DV48" s="0" t="n">
        <f aca="false">DU48-DS48</f>
        <v>0.00862746390738994</v>
      </c>
      <c r="DW48" s="0" t="n">
        <f aca="false">IF((DT48-DS48)*(DU48-DT48)&lt;0,1,0)</f>
        <v>0</v>
      </c>
      <c r="DX48" s="0" t="n">
        <f aca="false">ABS(DV48)/(ABS(DV48)+ABS(DV49))</f>
        <v>0.508949846519757</v>
      </c>
      <c r="DY48" s="0" t="n">
        <f aca="false">DH48+DX48*(DH49-DH48)</f>
        <v>6.24910500512087E-005</v>
      </c>
    </row>
    <row r="49" customFormat="false" ht="12.75" hidden="false" customHeight="false" outlineLevel="0" collapsed="false">
      <c r="A49" s="14"/>
      <c r="B49" s="15" t="s">
        <v>170</v>
      </c>
      <c r="C49" s="25" t="n">
        <f aca="false">AC88</f>
        <v>2.49666402110292</v>
      </c>
      <c r="D49" s="17" t="s">
        <v>110</v>
      </c>
      <c r="AA49" s="1" t="s">
        <v>171</v>
      </c>
      <c r="AB49" s="0" t="s">
        <v>172</v>
      </c>
      <c r="CW49" s="0" t="n">
        <f aca="false">CW48+1</f>
        <v>45</v>
      </c>
      <c r="CX49" s="0" t="n">
        <f aca="false">IF(DC48&gt;0,DB48,CX48)</f>
        <v>9.99999940631824E-005</v>
      </c>
      <c r="CY49" s="0" t="n">
        <f aca="false">IF(DC48&lt;0,DB48,CY48)</f>
        <v>0.000100000022484892</v>
      </c>
      <c r="CZ49" s="0" t="n">
        <f aca="false">$C$6+$C$7*CX49+$C$8*CX49^2+$C$9*CX49^3+$C$10*CX49^4+$C$11*CX49^5</f>
        <v>5.93681761529297E-007</v>
      </c>
      <c r="DA49" s="0" t="n">
        <f aca="false">$C$6+$C$7*CY49+$C$8*CY49^2+$C$9*CY49^3+$C$10*CY49^4+$C$11*CY49^5</f>
        <v>-2.2484891815111E-006</v>
      </c>
      <c r="DB49" s="0" t="n">
        <f aca="false">(CX49+CY49)/2</f>
        <v>0.000100000008274037</v>
      </c>
      <c r="DC49" s="0" t="n">
        <f aca="false">$C$6+$C$7*DB49+$C$8*DB49^2+$C$9*DB49^3+$C$10*DB49^4+$C$11*DB49^5</f>
        <v>-8.27403709990904E-007</v>
      </c>
      <c r="DE49" s="6"/>
      <c r="DH49" s="0" t="n">
        <f aca="false">DH48-$DI$6</f>
        <v>6.19999998985321E-005</v>
      </c>
      <c r="DI49" s="6" t="n">
        <f aca="false">$C$6+$C$7*DH49+$C$8*DH49^2+$C$9*DH49^3+$C$10*DH49^4+$C$11*DH49^5</f>
        <v>3.80000001014679</v>
      </c>
      <c r="DJ49" s="0" t="n">
        <f aca="false">DH49*DI49*1000</f>
        <v>0.235600000243523</v>
      </c>
      <c r="DK49" s="0" t="n">
        <f aca="false">MIN(MAX(0.2,$E$5*SQRT(DH49)*($C$4/DI49/1000)^0.75),5)</f>
        <v>0.302961026802312</v>
      </c>
      <c r="DL49" s="0" t="n">
        <f aca="false">$AH$42+($AI$42-$AH$42)*($DK49-$AH$41)/($AI$41-$AH$41)</f>
        <v>0.453891337989094</v>
      </c>
      <c r="DM49" s="0" t="n">
        <f aca="false">$AH$43+($AI$43-$AH$43)*($DK49-$AH$41)/($AI$41-$AH$41)</f>
        <v>0.546927073172621</v>
      </c>
      <c r="DN49" s="0" t="n">
        <f aca="false">$AH$44+($AI$44-$AH$44)*($DK49-$AH$41)/($AI$41-$AH$41)</f>
        <v>0.0806924017234484</v>
      </c>
      <c r="DO49" s="0" t="n">
        <f aca="false">$AH$45+($AI$45-$AH$45)*($DK49-$AH$41)/($AI$41-$AH$41)</f>
        <v>-0.0815108128851635</v>
      </c>
      <c r="DP49" s="0" t="n">
        <f aca="false">($DL49+$DM49*($DH48/$DH49)+$DN49*($DH48/$DH49)^2+$DO49*($DH48/$DH49)^3)</f>
        <v>1.00743734922641</v>
      </c>
      <c r="DQ49" s="0" t="n">
        <f aca="false">(DL49+DM49+DN49+DO49)</f>
        <v>1</v>
      </c>
      <c r="DR49" s="0" t="n">
        <f aca="false">($DL49+$DM49*($DH50/$DH49)+$DN49*($DH50/$DH49)^2+$DO49*($DH50/$DH49)^3)</f>
        <v>0.992477406217437</v>
      </c>
      <c r="DS49" s="0" t="n">
        <f aca="false">DJ48/DP49</f>
        <v>0.231379152705689</v>
      </c>
      <c r="DT49" s="0" t="n">
        <f aca="false">DJ49/DQ49</f>
        <v>0.235600000243523</v>
      </c>
      <c r="DU49" s="0" t="n">
        <f aca="false">DJ50/DR49</f>
        <v>0.239703189945977</v>
      </c>
      <c r="DV49" s="0" t="n">
        <f aca="false">DU49-DS49</f>
        <v>0.00832403724028755</v>
      </c>
      <c r="DW49" s="0" t="n">
        <f aca="false">IF((DT49-DS49)*(DU49-DT49)&lt;0,1,0)</f>
        <v>0</v>
      </c>
      <c r="DX49" s="0" t="n">
        <f aca="false">ABS(DV49)/(ABS(DV49)+ABS(DV50))</f>
        <v>0.509280846609272</v>
      </c>
      <c r="DY49" s="0" t="n">
        <f aca="false">DH49+DX49*(DH50-DH49)</f>
        <v>6.14907190527563E-005</v>
      </c>
    </row>
    <row r="50" customFormat="false" ht="13.5" hidden="false" customHeight="false" outlineLevel="0" collapsed="false">
      <c r="A50" s="27"/>
      <c r="B50" s="28" t="s">
        <v>173</v>
      </c>
      <c r="C50" s="29" t="n">
        <f aca="false">AC89</f>
        <v>0.41611067018382</v>
      </c>
      <c r="D50" s="30" t="s">
        <v>98</v>
      </c>
      <c r="AB50" s="0" t="s">
        <v>174</v>
      </c>
      <c r="AC50" s="0" t="n">
        <f aca="false">C17/C4</f>
        <v>1</v>
      </c>
      <c r="CW50" s="0" t="n">
        <f aca="false">CW49+1</f>
        <v>46</v>
      </c>
      <c r="CX50" s="0" t="n">
        <f aca="false">IF(DC49&gt;0,DB49,CX49)</f>
        <v>9.99999940631824E-005</v>
      </c>
      <c r="CY50" s="0" t="n">
        <f aca="false">IF(DC49&lt;0,DB49,CY49)</f>
        <v>0.000100000008274037</v>
      </c>
      <c r="CZ50" s="0" t="n">
        <f aca="false">$C$6+$C$7*CX50+$C$8*CX50^2+$C$9*CX50^3+$C$10*CX50^4+$C$11*CX50^5</f>
        <v>5.93681761529297E-007</v>
      </c>
      <c r="DA50" s="0" t="n">
        <f aca="false">$C$6+$C$7*CY50+$C$8*CY50^2+$C$9*CY50^3+$C$10*CY50^4+$C$11*CY50^5</f>
        <v>-8.27403709990904E-007</v>
      </c>
      <c r="DB50" s="0" t="n">
        <f aca="false">(CX50+CY50)/2</f>
        <v>0.00010000000116861</v>
      </c>
      <c r="DC50" s="0" t="n">
        <f aca="false">$C$6+$C$7*DB50+$C$8*DB50^2+$C$9*DB50^3+$C$10*DB50^4+$C$11*DB50^5</f>
        <v>-1.16860974230804E-007</v>
      </c>
      <c r="DE50" s="6"/>
      <c r="DH50" s="0" t="n">
        <f aca="false">DH49-$DI$6</f>
        <v>6.09999999001687E-005</v>
      </c>
      <c r="DI50" s="6" t="n">
        <f aca="false">$C$6+$C$7*DH50+$C$8*DH50^2+$C$9*DH50^3+$C$10*DH50^4+$C$11*DH50^5</f>
        <v>3.90000000998313</v>
      </c>
      <c r="DJ50" s="0" t="n">
        <f aca="false">DH50*DI50*1000</f>
        <v>0.237900000219629</v>
      </c>
      <c r="DK50" s="0" t="n">
        <f aca="false">MIN(MAX(0.2,$E$5*SQRT(DH50)*($C$4/DI50/1000)^0.75),5)</f>
        <v>0.29471014018923</v>
      </c>
      <c r="DL50" s="0" t="n">
        <f aca="false">$AH$42+($AI$42-$AH$42)*($DK50-$AH$41)/($AI$41-$AH$41)</f>
        <v>0.451175421145622</v>
      </c>
      <c r="DM50" s="0" t="n">
        <f aca="false">$AH$43+($AI$43-$AH$43)*($DK50-$AH$41)/($AI$41-$AH$41)</f>
        <v>0.558392367695382</v>
      </c>
      <c r="DN50" s="0" t="n">
        <f aca="false">$AH$44+($AI$44-$AH$44)*($DK50-$AH$41)/($AI$41-$AH$41)</f>
        <v>0.0654110721421372</v>
      </c>
      <c r="DO50" s="0" t="n">
        <f aca="false">$AH$45+($AI$45-$AH$45)*($DK50-$AH$41)/($AI$41-$AH$41)</f>
        <v>-0.0749788609831408</v>
      </c>
      <c r="DP50" s="0" t="n">
        <f aca="false">($DL50+$DM50*($DH49/$DH50)+$DN50*($DH49/$DH50)^2+$DO50*($DH49/$DH50)^3)</f>
        <v>1.00756791158247</v>
      </c>
      <c r="DQ50" s="0" t="n">
        <f aca="false">(DL50+DM50+DN50+DO50)</f>
        <v>1</v>
      </c>
      <c r="DR50" s="0" t="n">
        <f aca="false">($DL50+$DM50*($DH51/$DH50)+$DN50*($DH51/$DH50)^2+$DO50*($DH51/$DH50)^3)</f>
        <v>0.992346345063156</v>
      </c>
      <c r="DS50" s="0" t="n">
        <f aca="false">DJ49/DP50</f>
        <v>0.233830392507729</v>
      </c>
      <c r="DT50" s="0" t="n">
        <f aca="false">DJ50/DQ50</f>
        <v>0.237900000219629</v>
      </c>
      <c r="DU50" s="0" t="n">
        <f aca="false">DJ51/DR50</f>
        <v>0.241851044638165</v>
      </c>
      <c r="DV50" s="0" t="n">
        <f aca="false">DU50-DS50</f>
        <v>0.00802065213043579</v>
      </c>
      <c r="DW50" s="0" t="n">
        <f aca="false">IF((DT50-DS50)*(DU50-DT50)&lt;0,1,0)</f>
        <v>0</v>
      </c>
      <c r="DX50" s="0" t="n">
        <f aca="false">ABS(DV50)/(ABS(DV50)+ABS(DV51))</f>
        <v>0.509637349544298</v>
      </c>
      <c r="DY50" s="0" t="n">
        <f aca="false">DH50+DX50*(DH51-DH50)</f>
        <v>6.04903625514585E-005</v>
      </c>
    </row>
    <row r="51" customFormat="false" ht="15" hidden="false" customHeight="false" outlineLevel="0" collapsed="false">
      <c r="AB51" s="0" t="s">
        <v>175</v>
      </c>
      <c r="AC51" s="0" t="n">
        <f aca="false">C20*PI()/30</f>
        <v>104.71975511966</v>
      </c>
      <c r="AD51" s="0" t="n">
        <f aca="false">C26*PI()/30</f>
        <v>52.3598775598299</v>
      </c>
      <c r="AE51" s="0" t="s">
        <v>58</v>
      </c>
      <c r="CW51" s="0" t="n">
        <f aca="false">CW50+1</f>
        <v>47</v>
      </c>
      <c r="CX51" s="0" t="n">
        <f aca="false">IF(DC50&gt;0,DB50,CX50)</f>
        <v>9.99999940631824E-005</v>
      </c>
      <c r="CY51" s="0" t="n">
        <f aca="false">IF(DC50&lt;0,DB50,CY50)</f>
        <v>0.00010000000116861</v>
      </c>
      <c r="CZ51" s="0" t="n">
        <f aca="false">$C$6+$C$7*CX51+$C$8*CX51^2+$C$9*CX51^3+$C$10*CX51^4+$C$11*CX51^5</f>
        <v>5.93681761529297E-007</v>
      </c>
      <c r="DA51" s="0" t="n">
        <f aca="false">$C$6+$C$7*CY51+$C$8*CY51^2+$C$9*CY51^3+$C$10*CY51^4+$C$11*CY51^5</f>
        <v>-1.16860974230804E-007</v>
      </c>
      <c r="DB51" s="0" t="n">
        <f aca="false">(CX51+CY51)/2</f>
        <v>9.99999976158961E-005</v>
      </c>
      <c r="DC51" s="0" t="n">
        <f aca="false">$C$6+$C$7*DB51+$C$8*DB51^2+$C$9*DB51^3+$C$10*DB51^4+$C$11*DB51^5</f>
        <v>2.38410393649247E-007</v>
      </c>
      <c r="DE51" s="6"/>
      <c r="DH51" s="0" t="n">
        <f aca="false">DH50-$DI$6</f>
        <v>5.99999999018053E-005</v>
      </c>
      <c r="DI51" s="6" t="n">
        <f aca="false">$C$6+$C$7*DH51+$C$8*DH51^2+$C$9*DH51^3+$C$10*DH51^4+$C$11*DH51^5</f>
        <v>4.00000000981947</v>
      </c>
      <c r="DJ51" s="0" t="n">
        <f aca="false">DH51*DI51*1000</f>
        <v>0.240000000196389</v>
      </c>
      <c r="DK51" s="0" t="n">
        <f aca="false">MIN(MAX(0.2,$E$5*SQRT(DH51)*($C$4/DI51/1000)^0.75),5)</f>
        <v>0.286786859714581</v>
      </c>
      <c r="DL51" s="0" t="n">
        <f aca="false">$AH$42+($AI$42-$AH$42)*($DK51-$AH$41)/($AI$41-$AH$41)</f>
        <v>0.448567341322716</v>
      </c>
      <c r="DM51" s="0" t="n">
        <f aca="false">$AH$43+($AI$43-$AH$43)*($DK51-$AH$41)/($AI$41-$AH$41)</f>
        <v>0.56940242618828</v>
      </c>
      <c r="DN51" s="0" t="n">
        <f aca="false">$AH$44+($AI$44-$AH$44)*($DK51-$AH$41)/($AI$41-$AH$41)</f>
        <v>0.0507364964297138</v>
      </c>
      <c r="DO51" s="0" t="n">
        <f aca="false">$AH$45+($AI$45-$AH$45)*($DK51-$AH$41)/($AI$41-$AH$41)</f>
        <v>-0.06870626394071</v>
      </c>
      <c r="DP51" s="0" t="n">
        <f aca="false">($DL51+$DM51*($DH50/$DH51)+$DN51*($DH50/$DH51)^2+$DO51*($DH50/$DH51)^3)</f>
        <v>1.00770246395382</v>
      </c>
      <c r="DQ51" s="0" t="n">
        <f aca="false">(DL51+DM51+DN51+DO51)</f>
        <v>1</v>
      </c>
      <c r="DR51" s="0" t="n">
        <f aca="false">($DL51+$DM51*($DH52/$DH51)+$DN51*($DH52/$DH51)^2+$DO51*($DH52/$DH51)^3)</f>
        <v>0.992211212548742</v>
      </c>
      <c r="DS51" s="0" t="n">
        <f aca="false">DJ50/DP51</f>
        <v>0.236081590280335</v>
      </c>
      <c r="DT51" s="0" t="n">
        <f aca="false">DJ51/DQ51</f>
        <v>0.240000000196389</v>
      </c>
      <c r="DU51" s="0" t="n">
        <f aca="false">DJ52/DR51</f>
        <v>0.243798897970951</v>
      </c>
      <c r="DV51" s="0" t="n">
        <f aca="false">DU51-DS51</f>
        <v>0.0077173076906166</v>
      </c>
      <c r="DW51" s="0" t="n">
        <f aca="false">IF((DT51-DS51)*(DU51-DT51)&lt;0,1,0)</f>
        <v>0</v>
      </c>
      <c r="DX51" s="0" t="n">
        <f aca="false">ABS(DV51)/(ABS(DV51)+ABS(DV52))</f>
        <v>0.510022415534631</v>
      </c>
      <c r="DY51" s="0" t="n">
        <f aca="false">DH51+DX51*(DH52-DH51)</f>
        <v>5.94899774871053E-005</v>
      </c>
    </row>
    <row r="52" customFormat="false" ht="12.75" hidden="false" customHeight="false" outlineLevel="0" collapsed="false">
      <c r="A52" s="31" t="s">
        <v>176</v>
      </c>
      <c r="B52" s="32"/>
      <c r="C52" s="32"/>
      <c r="D52" s="32"/>
      <c r="E52" s="32"/>
      <c r="F52" s="32"/>
      <c r="G52" s="32"/>
      <c r="H52" s="32"/>
      <c r="I52" s="32"/>
      <c r="J52" s="32"/>
      <c r="K52" s="33"/>
      <c r="AB52" s="0" t="s">
        <v>177</v>
      </c>
      <c r="AC52" s="0" t="n">
        <f aca="false">C20/C5</f>
        <v>1</v>
      </c>
      <c r="AD52" s="0" t="n">
        <f aca="false">C26/C5</f>
        <v>0.5</v>
      </c>
      <c r="CW52" s="0" t="n">
        <f aca="false">CW51+1</f>
        <v>48</v>
      </c>
      <c r="CX52" s="0" t="n">
        <f aca="false">IF(DC51&gt;0,DB51,CX51)</f>
        <v>9.99999976158961E-005</v>
      </c>
      <c r="CY52" s="0" t="n">
        <f aca="false">IF(DC51&lt;0,DB51,CY51)</f>
        <v>0.00010000000116861</v>
      </c>
      <c r="CZ52" s="0" t="n">
        <f aca="false">$C$6+$C$7*CX52+$C$8*CX52^2+$C$9*CX52^3+$C$10*CX52^4+$C$11*CX52^5</f>
        <v>2.38410393649247E-007</v>
      </c>
      <c r="DA52" s="0" t="n">
        <f aca="false">$C$6+$C$7*CY52+$C$8*CY52^2+$C$9*CY52^3+$C$10*CY52^4+$C$11*CY52^5</f>
        <v>-1.16860974230804E-007</v>
      </c>
      <c r="DB52" s="0" t="n">
        <f aca="false">(CX52+CY52)/2</f>
        <v>9.99999993922529E-005</v>
      </c>
      <c r="DC52" s="0" t="n">
        <f aca="false">$C$6+$C$7*DB52+$C$8*DB52^2+$C$9*DB52^3+$C$10*DB52^4+$C$11*DB52^5</f>
        <v>6.07747097092215E-008</v>
      </c>
      <c r="DE52" s="6"/>
      <c r="DH52" s="0" t="n">
        <f aca="false">DH51-$DI$6</f>
        <v>5.89999999034418E-005</v>
      </c>
      <c r="DI52" s="6" t="n">
        <f aca="false">$C$6+$C$7*DH52+$C$8*DH52^2+$C$9*DH52^3+$C$10*DH52^4+$C$11*DH52^5</f>
        <v>4.10000000965582</v>
      </c>
      <c r="DJ52" s="0" t="n">
        <f aca="false">DH52*DI52*1000</f>
        <v>0.241900000173805</v>
      </c>
      <c r="DK52" s="0" t="n">
        <f aca="false">MIN(MAX(0.2,$E$5*SQRT(DH52)*($C$4/DI52/1000)^0.75),5)</f>
        <v>0.279168703815754</v>
      </c>
      <c r="DL52" s="0" t="n">
        <f aca="false">$AH$42+($AI$42-$AH$42)*($DK52-$AH$41)/($AI$41-$AH$41)</f>
        <v>0.446059698339352</v>
      </c>
      <c r="DM52" s="0" t="n">
        <f aca="false">$AH$43+($AI$43-$AH$43)*($DK52-$AH$41)/($AI$41-$AH$41)</f>
        <v>0.579988488656026</v>
      </c>
      <c r="DN52" s="0" t="n">
        <f aca="false">$AH$44+($AI$44-$AH$44)*($DK52-$AH$41)/($AI$41-$AH$41)</f>
        <v>0.0366270368587604</v>
      </c>
      <c r="DO52" s="0" t="n">
        <f aca="false">$AH$45+($AI$45-$AH$45)*($DK52-$AH$41)/($AI$41-$AH$41)</f>
        <v>-0.0626752238541383</v>
      </c>
      <c r="DP52" s="0" t="n">
        <f aca="false">($DL52+$DM52*($DH51/$DH52)+$DN52*($DH51/$DH52)^2+$DO52*($DH51/$DH52)^3)</f>
        <v>1.00784123402218</v>
      </c>
      <c r="DQ52" s="0" t="n">
        <f aca="false">(DL52+DM52+DN52+DO52)</f>
        <v>1</v>
      </c>
      <c r="DR52" s="0" t="n">
        <f aca="false">($DL52+$DM52*($DH53/$DH52)+$DN52*($DH53/$DH52)^2+$DO52*($DH53/$DH52)^3)</f>
        <v>0.992071780264111</v>
      </c>
      <c r="DS52" s="0" t="n">
        <f aca="false">DJ51/DP52</f>
        <v>0.238132745609718</v>
      </c>
      <c r="DT52" s="0" t="n">
        <f aca="false">DJ52/DQ52</f>
        <v>0.241900000173805</v>
      </c>
      <c r="DU52" s="0" t="n">
        <f aca="false">DJ53/DR52</f>
        <v>0.245546748731249</v>
      </c>
      <c r="DV52" s="0" t="n">
        <f aca="false">DU52-DS52</f>
        <v>0.00741400312153062</v>
      </c>
      <c r="DW52" s="0" t="n">
        <f aca="false">IF((DT52-DS52)*(DU52-DT52)&lt;0,1,0)</f>
        <v>0</v>
      </c>
      <c r="DX52" s="0" t="n">
        <f aca="false">ABS(DV52)/(ABS(DV52)+ABS(DV53))</f>
        <v>0.510439615403636</v>
      </c>
      <c r="DY52" s="0" t="n">
        <f aca="false">DH52+DX52*(DH53-DH52)</f>
        <v>5.84895602888736E-005</v>
      </c>
    </row>
    <row r="53" customFormat="false" ht="12.75" hidden="false" customHeight="false" outlineLevel="0" collapsed="false">
      <c r="A53" s="34"/>
      <c r="B53" s="35" t="s">
        <v>178</v>
      </c>
      <c r="C53" s="15"/>
      <c r="D53" s="15"/>
      <c r="E53" s="15"/>
      <c r="F53" s="15"/>
      <c r="G53" s="15"/>
      <c r="H53" s="15"/>
      <c r="I53" s="15"/>
      <c r="J53" s="15"/>
      <c r="K53" s="36"/>
      <c r="N53" s="7" t="s">
        <v>179</v>
      </c>
      <c r="P53" s="19" t="s">
        <v>180</v>
      </c>
      <c r="AB53" s="0" t="s">
        <v>181</v>
      </c>
      <c r="AC53" s="0" t="n">
        <f aca="false">DI8*AC52</f>
        <v>3.46475540221535E-005</v>
      </c>
      <c r="AD53" s="0" t="n">
        <f aca="false">DI8*AD52</f>
        <v>1.73237770110767E-005</v>
      </c>
      <c r="AE53" s="0" t="s">
        <v>41</v>
      </c>
      <c r="CW53" s="0" t="n">
        <f aca="false">CW52+1</f>
        <v>49</v>
      </c>
      <c r="CX53" s="0" t="n">
        <f aca="false">IF(DC52&gt;0,DB52,CX52)</f>
        <v>9.99999993922529E-005</v>
      </c>
      <c r="CY53" s="0" t="n">
        <f aca="false">IF(DC52&lt;0,DB52,CY52)</f>
        <v>0.00010000000116861</v>
      </c>
      <c r="CZ53" s="0" t="n">
        <f aca="false">$C$6+$C$7*CX53+$C$8*CX53^2+$C$9*CX53^3+$C$10*CX53^4+$C$11*CX53^5</f>
        <v>6.07747097092215E-008</v>
      </c>
      <c r="DA53" s="0" t="n">
        <f aca="false">$C$6+$C$7*CY53+$C$8*CY53^2+$C$9*CY53^3+$C$10*CY53^4+$C$11*CY53^5</f>
        <v>-1.16860974230804E-007</v>
      </c>
      <c r="DB53" s="0" t="n">
        <f aca="false">(CX53+CY53)/2</f>
        <v>0.000100000000280431</v>
      </c>
      <c r="DC53" s="0" t="n">
        <f aca="false">$C$6+$C$7*DB53+$C$8*DB53^2+$C$9*DB53^3+$C$10*DB53^4+$C$11*DB53^5</f>
        <v>-2.8043132260791E-008</v>
      </c>
      <c r="DE53" s="6"/>
      <c r="DH53" s="0" t="n">
        <f aca="false">DH52-$DI$6</f>
        <v>5.79999999050784E-005</v>
      </c>
      <c r="DI53" s="6" t="n">
        <f aca="false">$C$6+$C$7*DH53+$C$8*DH53^2+$C$9*DH53^3+$C$10*DH53^4+$C$11*DH53^5</f>
        <v>4.20000000949216</v>
      </c>
      <c r="DJ53" s="0" t="n">
        <f aca="false">DH53*DI53*1000</f>
        <v>0.243600000151874</v>
      </c>
      <c r="DK53" s="0" t="n">
        <f aca="false">MIN(MAX(0.2,$E$5*SQRT(DH53)*($C$4/DI53/1000)^0.75),5)</f>
        <v>0.271835170543969</v>
      </c>
      <c r="DL53" s="0" t="n">
        <f aca="false">$AH$42+($AI$42-$AH$42)*($DK53-$AH$41)/($AI$41-$AH$41)</f>
        <v>0.44364574363739</v>
      </c>
      <c r="DM53" s="0" t="n">
        <f aca="false">$AH$43+($AI$43-$AH$43)*($DK53-$AH$41)/($AI$41-$AH$41)</f>
        <v>0.590179044264942</v>
      </c>
      <c r="DN53" s="0" t="n">
        <f aca="false">$AH$44+($AI$44-$AH$44)*($DK53-$AH$41)/($AI$41-$AH$41)</f>
        <v>0.0230447221116434</v>
      </c>
      <c r="DO53" s="0" t="n">
        <f aca="false">$AH$45+($AI$45-$AH$45)*($DK53-$AH$41)/($AI$41-$AH$41)</f>
        <v>-0.0568695100139758</v>
      </c>
      <c r="DP53" s="0" t="n">
        <f aca="false">($DL53+$DM53*($DH52/$DH53)+$DN53*($DH52/$DH53)^2+$DO53*($DH52/$DH53)^3)</f>
        <v>1.00798446292306</v>
      </c>
      <c r="DQ53" s="0" t="n">
        <f aca="false">(DL53+DM53+DN53+DO53)</f>
        <v>1</v>
      </c>
      <c r="DR53" s="0" t="n">
        <f aca="false">($DL53+$DM53*($DH54/$DH53)+$DN53*($DH54/$DH53)^2+$DO53*($DH54/$DH53)^3)</f>
        <v>0.99192780591884</v>
      </c>
      <c r="DS53" s="0" t="n">
        <f aca="false">DJ52/DP53</f>
        <v>0.239983857957809</v>
      </c>
      <c r="DT53" s="0" t="n">
        <f aca="false">DJ53/DQ53</f>
        <v>0.243600000151874</v>
      </c>
      <c r="DU53" s="0" t="n">
        <f aca="false">DJ54/DR53</f>
        <v>0.247094595663198</v>
      </c>
      <c r="DV53" s="0" t="n">
        <f aca="false">DU53-DS53</f>
        <v>0.00711073770538956</v>
      </c>
      <c r="DW53" s="0" t="n">
        <f aca="false">IF((DT53-DS53)*(DU53-DT53)&lt;0,1,0)</f>
        <v>0</v>
      </c>
      <c r="DX53" s="0" t="n">
        <f aca="false">ABS(DV53)/(ABS(DV53)+ABS(DV54))</f>
        <v>0.510893141652805</v>
      </c>
      <c r="DY53" s="0" t="n">
        <f aca="false">DH53+DX53*(DH54-DH53)</f>
        <v>5.74891067642617E-005</v>
      </c>
    </row>
    <row r="54" customFormat="false" ht="12.75" hidden="false" customHeight="false" outlineLevel="0" collapsed="false">
      <c r="A54" s="34"/>
      <c r="B54" s="35" t="s">
        <v>182</v>
      </c>
      <c r="C54" s="15"/>
      <c r="D54" s="15"/>
      <c r="E54" s="15"/>
      <c r="F54" s="15"/>
      <c r="G54" s="15"/>
      <c r="H54" s="15"/>
      <c r="I54" s="15"/>
      <c r="J54" s="15"/>
      <c r="K54" s="36"/>
      <c r="AB54" s="0" t="s">
        <v>183</v>
      </c>
      <c r="AC54" s="0" t="n">
        <f aca="false">AC47*AC50*AC52^3</f>
        <v>0.22643024024973</v>
      </c>
      <c r="AD54" s="0" t="n">
        <f aca="false">AC47*AC50*AD52^3</f>
        <v>0.0283037800312163</v>
      </c>
      <c r="AE54" s="0" t="s">
        <v>110</v>
      </c>
      <c r="CW54" s="0" t="n">
        <f aca="false">CW53+1</f>
        <v>50</v>
      </c>
      <c r="CX54" s="0" t="n">
        <f aca="false">IF(DC53&gt;0,DB53,CX53)</f>
        <v>9.99999993922529E-005</v>
      </c>
      <c r="CY54" s="0" t="n">
        <f aca="false">IF(DC53&lt;0,DB53,CY53)</f>
        <v>0.000100000000280431</v>
      </c>
      <c r="CZ54" s="0" t="n">
        <f aca="false">$C$6+$C$7*CX54+$C$8*CX54^2+$C$9*CX54^3+$C$10*CX54^4+$C$11*CX54^5</f>
        <v>6.07747097092215E-008</v>
      </c>
      <c r="DA54" s="0" t="n">
        <f aca="false">$C$6+$C$7*CY54+$C$8*CY54^2+$C$9*CY54^3+$C$10*CY54^4+$C$11*CY54^5</f>
        <v>-2.8043132260791E-008</v>
      </c>
      <c r="DB54" s="0" t="n">
        <f aca="false">(CX54+CY54)/2</f>
        <v>9.99999998363421E-005</v>
      </c>
      <c r="DC54" s="0" t="n">
        <f aca="false">$C$6+$C$7*DB54+$C$8*DB54^2+$C$9*DB54^3+$C$10*DB54^4+$C$11*DB54^5</f>
        <v>1.63657887242152E-008</v>
      </c>
      <c r="DE54" s="6"/>
      <c r="DH54" s="0" t="n">
        <f aca="false">DH53-$DI$6</f>
        <v>5.6999999906715E-005</v>
      </c>
      <c r="DI54" s="6" t="n">
        <f aca="false">$C$6+$C$7*DH54+$C$8*DH54^2+$C$9*DH54^3+$C$10*DH54^4+$C$11*DH54^5</f>
        <v>4.3000000093285</v>
      </c>
      <c r="DJ54" s="0" t="n">
        <f aca="false">DH54*DI54*1000</f>
        <v>0.245100000130599</v>
      </c>
      <c r="DK54" s="0" t="n">
        <f aca="false">MIN(MAX(0.2,$E$5*SQRT(DH54)*($C$4/DI54/1000)^0.75),5)</f>
        <v>0.264767517269523</v>
      </c>
      <c r="DL54" s="0" t="n">
        <f aca="false">$AH$42+($AI$42-$AH$42)*($DK54-$AH$41)/($AI$41-$AH$41)</f>
        <v>0.441319307767885</v>
      </c>
      <c r="DM54" s="0" t="n">
        <f aca="false">$AH$43+($AI$43-$AH$43)*($DK54-$AH$41)/($AI$41-$AH$41)</f>
        <v>0.600000137460892</v>
      </c>
      <c r="DN54" s="0" t="n">
        <f aca="false">$AH$44+($AI$44-$AH$44)*($DK54-$AH$41)/($AI$41-$AH$41)</f>
        <v>0.00995483927626292</v>
      </c>
      <c r="DO54" s="0" t="n">
        <f aca="false">$AH$45+($AI$45-$AH$45)*($DK54-$AH$41)/($AI$41-$AH$41)</f>
        <v>-0.0512742845050393</v>
      </c>
      <c r="DP54" s="0" t="n">
        <f aca="false">($DL54+$DM54*($DH53/$DH54)+$DN54*($DH53/$DH54)^2+$DO54*($DH53/$DH54)^3)</f>
        <v>1.00813240667877</v>
      </c>
      <c r="DQ54" s="0" t="n">
        <f aca="false">(DL54+DM54+DN54+DO54)</f>
        <v>1</v>
      </c>
      <c r="DR54" s="0" t="n">
        <f aca="false">($DL54+$DM54*($DH55/$DH54)+$DN54*($DH55/$DH54)^2+$DO54*($DH55/$DH54)^3)</f>
        <v>0.991779031908959</v>
      </c>
      <c r="DS54" s="0" t="n">
        <f aca="false">DJ53/DP54</f>
        <v>0.241634926660478</v>
      </c>
      <c r="DT54" s="0" t="n">
        <f aca="false">DJ54/DQ54</f>
        <v>0.245100000130599</v>
      </c>
      <c r="DU54" s="0" t="n">
        <f aca="false">DJ55/DR54</f>
        <v>0.248442437460804</v>
      </c>
      <c r="DV54" s="0" t="n">
        <f aca="false">DU54-DS54</f>
        <v>0.00680751080032616</v>
      </c>
      <c r="DW54" s="0" t="n">
        <f aca="false">IF((DT54-DS54)*(DU54-DT54)&lt;0,1,0)</f>
        <v>0</v>
      </c>
      <c r="DX54" s="0" t="n">
        <f aca="false">ABS(DV54)/(ABS(DV54)+ABS(DV55))</f>
        <v>0.511387949845086</v>
      </c>
      <c r="DY54" s="0" t="n">
        <f aca="false">DH54+DX54*(DH55-DH54)</f>
        <v>5.64886119577068E-005</v>
      </c>
    </row>
    <row r="55" customFormat="false" ht="12.75" hidden="false" customHeight="false" outlineLevel="0" collapsed="false">
      <c r="A55" s="34"/>
      <c r="B55" s="35" t="s">
        <v>184</v>
      </c>
      <c r="C55" s="15"/>
      <c r="D55" s="15"/>
      <c r="E55" s="15"/>
      <c r="F55" s="15"/>
      <c r="G55" s="15"/>
      <c r="H55" s="15"/>
      <c r="I55" s="15"/>
      <c r="J55" s="15"/>
      <c r="K55" s="36"/>
      <c r="AB55" s="0" t="s">
        <v>185</v>
      </c>
      <c r="AC55" s="0" t="n">
        <f aca="false">C22/AC53</f>
        <v>1.44310331309478</v>
      </c>
      <c r="AD55" s="0" t="n">
        <f aca="false">AC55</f>
        <v>1.44310331309478</v>
      </c>
      <c r="DB55" s="6"/>
      <c r="DE55" s="6"/>
      <c r="DH55" s="0" t="n">
        <f aca="false">DH54-$DI$6</f>
        <v>5.59999999083516E-005</v>
      </c>
      <c r="DI55" s="6" t="n">
        <f aca="false">$C$6+$C$7*DH55+$C$8*DH55^2+$C$9*DH55^3+$C$10*DH55^4+$C$11*DH55^5</f>
        <v>4.40000000916484</v>
      </c>
      <c r="DJ55" s="0" t="n">
        <f aca="false">DH55*DI55*1000</f>
        <v>0.246400000109978</v>
      </c>
      <c r="DK55" s="0" t="n">
        <f aca="false">MIN(MAX(0.2,$E$5*SQRT(DH55)*($C$4/DI55/1000)^0.75),5)</f>
        <v>0.257948569096676</v>
      </c>
      <c r="DL55" s="0" t="n">
        <f aca="false">$AH$42+($AI$42-$AH$42)*($DK55-$AH$41)/($AI$41-$AH$41)</f>
        <v>0.439074737327656</v>
      </c>
      <c r="DM55" s="0" t="n">
        <f aca="false">$AH$43+($AI$43-$AH$43)*($DK55-$AH$41)/($AI$41-$AH$41)</f>
        <v>0.609475634192744</v>
      </c>
      <c r="DN55" s="0" t="n">
        <f aca="false">$AH$44+($AI$44-$AH$44)*($DK55-$AH$41)/($AI$41-$AH$41)</f>
        <v>-0.00267442098553183</v>
      </c>
      <c r="DO55" s="0" t="n">
        <f aca="false">$AH$45+($AI$45-$AH$45)*($DK55-$AH$41)/($AI$41-$AH$41)</f>
        <v>-0.0458759505348683</v>
      </c>
      <c r="DP55" s="0" t="n">
        <f aca="false">($DL55+$DM55*($DH54/$DH55)+$DN55*($DH54/$DH55)^2+$DO55*($DH54/$DH55)^3)</f>
        <v>1.00828533775146</v>
      </c>
      <c r="DQ55" s="0" t="n">
        <f aca="false">(DL55+DM55+DN55+DO55)</f>
        <v>1</v>
      </c>
      <c r="DR55" s="0" t="n">
        <f aca="false">($DL55+$DM55*($DH56/$DH55)+$DN55*($DH56/$DH55)^2+$DO55*($DH56/$DH55)^3)</f>
        <v>0.991625183758372</v>
      </c>
      <c r="DS55" s="0" t="n">
        <f aca="false">DJ54/DP55</f>
        <v>0.243085950924555</v>
      </c>
      <c r="DT55" s="0" t="n">
        <f aca="false">DJ55/DQ55</f>
        <v>0.246400000109978</v>
      </c>
      <c r="DU55" s="0" t="n">
        <f aca="false">DJ56/DR55</f>
        <v>0.249590272760075</v>
      </c>
      <c r="DV55" s="0" t="n">
        <f aca="false">DU55-DS55</f>
        <v>0.00650432183551977</v>
      </c>
      <c r="DW55" s="0" t="n">
        <f aca="false">IF((DT55-DS55)*(DU55-DT55)&lt;0,1,0)</f>
        <v>0</v>
      </c>
      <c r="DX55" s="0" t="n">
        <f aca="false">ABS(DV55)/(ABS(DV55)+ABS(DV56))</f>
        <v>0.511929940421303</v>
      </c>
      <c r="DY55" s="0" t="n">
        <f aca="false">DH55+DX55*(DH56-DH55)</f>
        <v>5.54880699687681E-005</v>
      </c>
    </row>
    <row r="56" customFormat="false" ht="12.75" hidden="false" customHeight="false" outlineLevel="0" collapsed="false">
      <c r="A56" s="34"/>
      <c r="B56" s="35" t="s">
        <v>186</v>
      </c>
      <c r="C56" s="35"/>
      <c r="D56" s="15"/>
      <c r="E56" s="15"/>
      <c r="F56" s="15"/>
      <c r="G56" s="15"/>
      <c r="H56" s="15"/>
      <c r="I56" s="15"/>
      <c r="J56" s="15"/>
      <c r="K56" s="36"/>
      <c r="AB56" s="0" t="s">
        <v>187</v>
      </c>
      <c r="AC56" s="0" t="n">
        <f aca="false">$AC$42+$AC$43*AC55+$AC$44*AC55^2+$AC$45*AC55^3</f>
        <v>1.18666109708623</v>
      </c>
      <c r="AD56" s="0" t="n">
        <f aca="false">AC56</f>
        <v>1.18666109708623</v>
      </c>
      <c r="DB56" s="6"/>
      <c r="DE56" s="6"/>
      <c r="DH56" s="0" t="n">
        <f aca="false">DH55-$DI$6</f>
        <v>5.49999999099882E-005</v>
      </c>
      <c r="DI56" s="6" t="n">
        <f aca="false">$C$6+$C$7*DH56+$C$8*DH56^2+$C$9*DH56^3+$C$10*DH56^4+$C$11*DH56^5</f>
        <v>4.50000000900118</v>
      </c>
      <c r="DJ56" s="0" t="n">
        <f aca="false">DH56*DI56*1000</f>
        <v>0.247500000090012</v>
      </c>
      <c r="DK56" s="0" t="n">
        <f aca="false">MIN(MAX(0.2,$E$5*SQRT(DH56)*($C$4/DI56/1000)^0.75),5)</f>
        <v>0.251362551663228</v>
      </c>
      <c r="DL56" s="0" t="n">
        <f aca="false">$AH$42+($AI$42-$AH$42)*($DK56-$AH$41)/($AI$41-$AH$41)</f>
        <v>0.436906839922479</v>
      </c>
      <c r="DM56" s="0" t="n">
        <f aca="false">$AH$43+($AI$43-$AH$43)*($DK56-$AH$41)/($AI$41-$AH$41)</f>
        <v>0.618627454251305</v>
      </c>
      <c r="DN56" s="0" t="n">
        <f aca="false">$AH$44+($AI$44-$AH$44)*($DK56-$AH$41)/($AI$41-$AH$41)</f>
        <v>-0.0148722741070623</v>
      </c>
      <c r="DO56" s="0" t="n">
        <f aca="false">$AH$45+($AI$45-$AH$45)*($DK56-$AH$41)/($AI$41-$AH$41)</f>
        <v>-0.0406620200667225</v>
      </c>
      <c r="DP56" s="0" t="n">
        <f aca="false">($DL56+$DM56*($DH55/$DH56)+$DN56*($DH55/$DH56)^2+$DO56*($DH55/$DH56)^3)</f>
        <v>1.00844354673629</v>
      </c>
      <c r="DQ56" s="0" t="n">
        <f aca="false">(DL56+DM56+DN56+DO56)</f>
        <v>1</v>
      </c>
      <c r="DR56" s="0" t="n">
        <f aca="false">($DL56+$DM56*($DH57/$DH56)+$DN56*($DH57/$DH56)^2+$DO56*($DH57/$DH56)^3)</f>
        <v>0.991465968414583</v>
      </c>
      <c r="DS56" s="0" t="n">
        <f aca="false">DJ55/DP56</f>
        <v>0.244336929823611</v>
      </c>
      <c r="DT56" s="0" t="n">
        <f aca="false">DJ56/DQ56</f>
        <v>0.247500000090012</v>
      </c>
      <c r="DU56" s="0" t="n">
        <f aca="false">DJ57/DR56</f>
        <v>0.250538100130565</v>
      </c>
      <c r="DV56" s="0" t="n">
        <f aca="false">DU56-DS56</f>
        <v>0.00620117030695369</v>
      </c>
      <c r="DW56" s="0" t="n">
        <f aca="false">IF((DT56-DS56)*(DU56-DT56)&lt;0,1,0)</f>
        <v>0</v>
      </c>
      <c r="DX56" s="0" t="n">
        <f aca="false">ABS(DV56)/(ABS(DV56)+ABS(DV57))</f>
        <v>0.51252619511356</v>
      </c>
      <c r="DY56" s="0" t="n">
        <f aca="false">DH56+DX56*(DH57-DH56)</f>
        <v>5.44874737157134E-005</v>
      </c>
    </row>
    <row r="57" customFormat="false" ht="12.75" hidden="false" customHeight="false" outlineLevel="0" collapsed="false">
      <c r="A57" s="34"/>
      <c r="B57" s="35" t="s">
        <v>188</v>
      </c>
      <c r="C57" s="35"/>
      <c r="D57" s="15"/>
      <c r="E57" s="15"/>
      <c r="F57" s="15"/>
      <c r="G57" s="15"/>
      <c r="H57" s="15"/>
      <c r="I57" s="15"/>
      <c r="J57" s="15"/>
      <c r="K57" s="36"/>
      <c r="AB57" s="0" t="s">
        <v>189</v>
      </c>
      <c r="AC57" s="0" t="n">
        <f aca="false">AC56*AC54</f>
        <v>0.268695957308244</v>
      </c>
      <c r="AD57" s="0" t="n">
        <f aca="false">AD56*AD54</f>
        <v>0.0335869946635305</v>
      </c>
      <c r="AE57" s="0" t="s">
        <v>110</v>
      </c>
      <c r="DB57" s="6"/>
      <c r="DE57" s="6"/>
      <c r="DH57" s="0" t="n">
        <f aca="false">DH56-$DI$6</f>
        <v>5.39999999116247E-005</v>
      </c>
      <c r="DI57" s="6" t="n">
        <f aca="false">$C$6+$C$7*DH57+$C$8*DH57^2+$C$9*DH57^3+$C$10*DH57^4+$C$11*DH57^5</f>
        <v>4.60000000883753</v>
      </c>
      <c r="DJ57" s="0" t="n">
        <f aca="false">DH57*DI57*1000</f>
        <v>0.2484000000707</v>
      </c>
      <c r="DK57" s="0" t="n">
        <f aca="false">MIN(MAX(0.2,$E$5*SQRT(DH57)*($C$4/DI57/1000)^0.75),5)</f>
        <v>0.244994944728602</v>
      </c>
      <c r="DL57" s="0" t="n">
        <f aca="false">$AH$42+($AI$42-$AH$42)*($DK57-$AH$41)/($AI$41-$AH$41)</f>
        <v>0.434810835973165</v>
      </c>
      <c r="DM57" s="0" t="n">
        <f aca="false">$AH$43+($AI$43-$AH$43)*($DK57-$AH$41)/($AI$41-$AH$41)</f>
        <v>0.62747577472088</v>
      </c>
      <c r="DN57" s="0" t="n">
        <f aca="false">$AH$44+($AI$44-$AH$44)*($DK57-$AH$41)/($AI$41-$AH$41)</f>
        <v>-0.026665612783901</v>
      </c>
      <c r="DO57" s="0" t="n">
        <f aca="false">$AH$45+($AI$45-$AH$45)*($DK57-$AH$41)/($AI$41-$AH$41)</f>
        <v>-0.0356209979101436</v>
      </c>
      <c r="DP57" s="0" t="n">
        <f aca="false">($DL57+$DM57*($DH56/$DH57)+$DN57*($DH56/$DH57)^2+$DO57*($DH56/$DH57)^3)</f>
        <v>1.00860734421749</v>
      </c>
      <c r="DQ57" s="0" t="n">
        <f aca="false">(DL57+DM57+DN57+DO57)</f>
        <v>1</v>
      </c>
      <c r="DR57" s="0" t="n">
        <f aca="false">($DL57+$DM57*($DH58/$DH57)+$DN57*($DH58/$DH57)^2+$DO57*($DH58/$DH57)^3)</f>
        <v>0.991301072376122</v>
      </c>
      <c r="DS57" s="0" t="n">
        <f aca="false">DJ56/DP57</f>
        <v>0.245387862292467</v>
      </c>
      <c r="DT57" s="0" t="n">
        <f aca="false">DJ57/DQ57</f>
        <v>0.2484000000707</v>
      </c>
      <c r="DU57" s="0" t="n">
        <f aca="false">DJ58/DR57</f>
        <v>0.251285918066201</v>
      </c>
      <c r="DV57" s="0" t="n">
        <f aca="false">DU57-DS57</f>
        <v>0.00589805577373415</v>
      </c>
      <c r="DW57" s="0" t="n">
        <f aca="false">IF((DT57-DS57)*(DU57-DT57)&lt;0,1,0)</f>
        <v>0</v>
      </c>
      <c r="DX57" s="0" t="n">
        <f aca="false">ABS(DV57)/(ABS(DV57)+ABS(DV58))</f>
        <v>0.513185288089095</v>
      </c>
      <c r="DY57" s="0" t="n">
        <f aca="false">DH57+DX57*(DH58-DH57)</f>
        <v>5.34868146243755E-005</v>
      </c>
    </row>
    <row r="58" customFormat="false" ht="12.75" hidden="false" customHeight="false" outlineLevel="0" collapsed="false">
      <c r="A58" s="34"/>
      <c r="B58" s="15"/>
      <c r="C58" s="35"/>
      <c r="D58" s="15"/>
      <c r="E58" s="15"/>
      <c r="F58" s="15"/>
      <c r="G58" s="15"/>
      <c r="H58" s="15"/>
      <c r="I58" s="15"/>
      <c r="J58" s="15"/>
      <c r="K58" s="36"/>
      <c r="DB58" s="6"/>
      <c r="DE58" s="6"/>
      <c r="DH58" s="0" t="n">
        <f aca="false">DH57-$DI$6</f>
        <v>5.29999999132613E-005</v>
      </c>
      <c r="DI58" s="6" t="n">
        <f aca="false">$C$6+$C$7*DH58+$C$8*DH58^2+$C$9*DH58^3+$C$10*DH58^4+$C$11*DH58^5</f>
        <v>4.70000000867387</v>
      </c>
      <c r="DJ58" s="0" t="n">
        <f aca="false">DH58*DI58*1000</f>
        <v>0.249100000052043</v>
      </c>
      <c r="DK58" s="0" t="n">
        <f aca="false">MIN(MAX(0.2,$E$5*SQRT(DH58)*($C$4/DI58/1000)^0.75),5)</f>
        <v>0.238832353546885</v>
      </c>
      <c r="DL58" s="0" t="n">
        <f aca="false">$AH$42+($AI$42-$AH$42)*($DK58-$AH$41)/($AI$41-$AH$41)</f>
        <v>0.43278231637585</v>
      </c>
      <c r="DM58" s="0" t="n">
        <f aca="false">$AH$43+($AI$43-$AH$43)*($DK58-$AH$41)/($AI$41-$AH$41)</f>
        <v>0.636039208717141</v>
      </c>
      <c r="DN58" s="0" t="n">
        <f aca="false">$AH$44+($AI$44-$AH$44)*($DK58-$AH$41)/($AI$41-$AH$41)</f>
        <v>-0.0380792452017063</v>
      </c>
      <c r="DO58" s="0" t="n">
        <f aca="false">$AH$45+($AI$45-$AH$45)*($DK58-$AH$41)/($AI$41-$AH$41)</f>
        <v>-0.0307422798912841</v>
      </c>
      <c r="DP58" s="0" t="n">
        <f aca="false">($DL58+$DM58*($DH57/$DH58)+$DN58*($DH57/$DH58)^2+$DO58*($DH57/$DH58)^3)</f>
        <v>1.0087770628124</v>
      </c>
      <c r="DQ58" s="0" t="n">
        <f aca="false">(DL58+DM58+DN58+DO58)</f>
        <v>1</v>
      </c>
      <c r="DR58" s="0" t="n">
        <f aca="false">($DL58+$DM58*($DH59/$DH58)+$DN58*($DH59/$DH58)^2+$DO58*($DH59/$DH58)^3)</f>
        <v>0.991130159626282</v>
      </c>
      <c r="DS58" s="0" t="n">
        <f aca="false">DJ57/DP58</f>
        <v>0.246238747120379</v>
      </c>
      <c r="DT58" s="0" t="n">
        <f aca="false">DJ58/DQ58</f>
        <v>0.249100000052043</v>
      </c>
      <c r="DU58" s="0" t="n">
        <f aca="false">DJ59/DR58</f>
        <v>0.25183372497529</v>
      </c>
      <c r="DV58" s="0" t="n">
        <f aca="false">DU58-DS58</f>
        <v>0.00559497785491145</v>
      </c>
      <c r="DW58" s="0" t="n">
        <f aca="false">IF((DT58-DS58)*(DU58-DT58)&lt;0,1,0)</f>
        <v>0</v>
      </c>
      <c r="DX58" s="0" t="n">
        <f aca="false">ABS(DV58)/(ABS(DV58)+ABS(DV59))</f>
        <v>0.513917700915257</v>
      </c>
      <c r="DY58" s="0" t="n">
        <f aca="false">DH58+DX58*(DH59-DH58)</f>
        <v>5.24860822131871E-005</v>
      </c>
    </row>
    <row r="59" customFormat="false" ht="12.75" hidden="false" customHeight="false" outlineLevel="0" collapsed="false">
      <c r="A59" s="37" t="s">
        <v>190</v>
      </c>
      <c r="B59" s="15"/>
      <c r="C59" s="35"/>
      <c r="D59" s="15"/>
      <c r="E59" s="15"/>
      <c r="F59" s="15"/>
      <c r="G59" s="15"/>
      <c r="H59" s="15"/>
      <c r="I59" s="15"/>
      <c r="J59" s="15"/>
      <c r="K59" s="36"/>
      <c r="AA59" s="1" t="s">
        <v>191</v>
      </c>
      <c r="AB59" s="0" t="s">
        <v>192</v>
      </c>
      <c r="DB59" s="6"/>
      <c r="DE59" s="6"/>
      <c r="DH59" s="0" t="n">
        <f aca="false">DH58-$DI$6</f>
        <v>5.19999999148979E-005</v>
      </c>
      <c r="DI59" s="6" t="n">
        <f aca="false">$C$6+$C$7*DH59+$C$8*DH59^2+$C$9*DH59^3+$C$10*DH59^4+$C$11*DH59^5</f>
        <v>4.80000000851021</v>
      </c>
      <c r="DJ59" s="0" t="n">
        <f aca="false">DH59*DI59*1000</f>
        <v>0.249600000034041</v>
      </c>
      <c r="DK59" s="0" t="n">
        <f aca="false">MIN(MAX(0.2,$E$5*SQRT(DH59)*($C$4/DI59/1000)^0.75),5)</f>
        <v>0.232862395505509</v>
      </c>
      <c r="DL59" s="0" t="n">
        <f aca="false">$AH$42+($AI$42-$AH$42)*($DK59-$AH$41)/($AI$41-$AH$41)</f>
        <v>0.43081720518723</v>
      </c>
      <c r="DM59" s="0" t="n">
        <f aca="false">$AH$43+($AI$43-$AH$43)*($DK59-$AH$41)/($AI$41-$AH$41)</f>
        <v>0.644334962912137</v>
      </c>
      <c r="DN59" s="0" t="n">
        <f aca="false">$AH$44+($AI$44-$AH$44)*($DK59-$AH$41)/($AI$41-$AH$41)</f>
        <v>-0.0491361049908388</v>
      </c>
      <c r="DO59" s="0" t="n">
        <f aca="false">$AH$45+($AI$45-$AH$45)*($DK59-$AH$41)/($AI$41-$AH$41)</f>
        <v>-0.0260160631085278</v>
      </c>
      <c r="DP59" s="0" t="n">
        <f aca="false">($DL59+$DM59*($DH58/$DH59)+$DN59*($DH58/$DH59)^2+$DO59*($DH58/$DH59)^3)</f>
        <v>1.00895305943204</v>
      </c>
      <c r="DQ59" s="0" t="n">
        <f aca="false">(DL59+DM59+DN59+DO59)</f>
        <v>1</v>
      </c>
      <c r="DR59" s="0" t="n">
        <f aca="false">($DL59+$DM59*($DH60/$DH59)+$DN59*($DH60/$DH59)^2+$DO59*($DH60/$DH59)^3)</f>
        <v>0.990952869344355</v>
      </c>
      <c r="DS59" s="0" t="n">
        <f aca="false">DJ58/DP59</f>
        <v>0.246889582942805</v>
      </c>
      <c r="DT59" s="0" t="n">
        <f aca="false">DJ59/DQ59</f>
        <v>0.249600000034041</v>
      </c>
      <c r="DU59" s="0" t="n">
        <f aca="false">DJ60/DR59</f>
        <v>0.252181519169559</v>
      </c>
      <c r="DV59" s="0" t="n">
        <f aca="false">DU59-DS59</f>
        <v>0.005291936226754</v>
      </c>
      <c r="DW59" s="0" t="n">
        <f aca="false">IF((DT59-DS59)*(DU59-DT59)&lt;0,1,0)</f>
        <v>0</v>
      </c>
      <c r="DX59" s="0" t="n">
        <f aca="false">ABS(DV59)/(ABS(DV59)+ABS(DV60))</f>
        <v>0.514736384140792</v>
      </c>
      <c r="DY59" s="0" t="n">
        <f aca="false">DH59+DX59*(DH60-DH59)</f>
        <v>5.14852635315995E-005</v>
      </c>
    </row>
    <row r="60" customFormat="false" ht="12.75" hidden="false" customHeight="false" outlineLevel="0" collapsed="false">
      <c r="A60" s="34"/>
      <c r="B60" s="15" t="s">
        <v>193</v>
      </c>
      <c r="C60" s="35"/>
      <c r="D60" s="15"/>
      <c r="E60" s="15"/>
      <c r="F60" s="15"/>
      <c r="G60" s="15"/>
      <c r="H60" s="15"/>
      <c r="I60" s="15"/>
      <c r="J60" s="15"/>
      <c r="K60" s="36"/>
      <c r="AB60" s="0" t="s">
        <v>126</v>
      </c>
      <c r="AC60" s="0" t="n">
        <f aca="false">AC57/AC51^3</f>
        <v>2.33978136818085E-007</v>
      </c>
      <c r="AD60" s="0" t="n">
        <f aca="false">AD57/AD51^3</f>
        <v>2.33978136818085E-007</v>
      </c>
      <c r="AE60" s="0" t="s">
        <v>194</v>
      </c>
      <c r="DB60" s="6"/>
      <c r="DE60" s="6"/>
      <c r="DH60" s="0" t="n">
        <f aca="false">DH59-$DI$6</f>
        <v>5.09999999165345E-005</v>
      </c>
      <c r="DI60" s="6" t="n">
        <f aca="false">$C$6+$C$7*DH60+$C$8*DH60^2+$C$9*DH60^3+$C$10*DH60^4+$C$11*DH60^5</f>
        <v>4.90000000834655</v>
      </c>
      <c r="DJ60" s="0" t="n">
        <f aca="false">DH60*DI60*1000</f>
        <v>0.249900000016693</v>
      </c>
      <c r="DK60" s="0" t="n">
        <f aca="false">MIN(MAX(0.2,$E$5*SQRT(DH60)*($C$4/DI60/1000)^0.75),5)</f>
        <v>0.227073599907554</v>
      </c>
      <c r="DL60" s="0" t="n">
        <f aca="false">$AH$42+($AI$42-$AH$42)*($DK60-$AH$41)/($AI$41-$AH$41)</f>
        <v>0.428911726636237</v>
      </c>
      <c r="DM60" s="0" t="n">
        <f aca="false">$AH$43+($AI$43-$AH$43)*($DK60-$AH$41)/($AI$41-$AH$41)</f>
        <v>0.652378976795128</v>
      </c>
      <c r="DN60" s="0" t="n">
        <f aca="false">$AH$44+($AI$44-$AH$44)*($DK60-$AH$41)/($AI$41-$AH$41)</f>
        <v>-0.0598574368378842</v>
      </c>
      <c r="DO60" s="0" t="n">
        <f aca="false">$AH$45+($AI$45-$AH$45)*($DK60-$AH$41)/($AI$41-$AH$41)</f>
        <v>-0.0214332665934803</v>
      </c>
      <c r="DP60" s="0" t="n">
        <f aca="false">($DL60+$DM60*($DH59/$DH60)+$DN60*($DH59/$DH60)^2+$DO60*($DH59/$DH60)^3)</f>
        <v>1.00913571779067</v>
      </c>
      <c r="DQ60" s="0" t="n">
        <f aca="false">(DL60+DM60+DN60+DO60)</f>
        <v>1</v>
      </c>
      <c r="DR60" s="0" t="n">
        <f aca="false">($DL60+$DM60*($DH61/$DH60)+$DN60*($DH61/$DH60)^2+$DO60*($DH61/$DH60)^3)</f>
        <v>0.990768813361486</v>
      </c>
      <c r="DS60" s="0" t="n">
        <f aca="false">DJ59/DP60</f>
        <v>0.247340368231636</v>
      </c>
      <c r="DT60" s="0" t="n">
        <f aca="false">DJ60/DQ60</f>
        <v>0.249900000016693</v>
      </c>
      <c r="DU60" s="0" t="n">
        <f aca="false">DJ61/DR60</f>
        <v>0.252329298852069</v>
      </c>
      <c r="DV60" s="0" t="n">
        <f aca="false">DU60-DS60</f>
        <v>0.00498893062043304</v>
      </c>
      <c r="DW60" s="0" t="n">
        <f aca="false">IF((DT60-DS60)*(DU60-DT60)&lt;0,1,0)</f>
        <v>0</v>
      </c>
      <c r="DX60" s="0" t="n">
        <f aca="false">ABS(DV60)/(ABS(DV60)+ABS(DV61))</f>
        <v>0.51565752971039</v>
      </c>
      <c r="DY60" s="0" t="n">
        <f aca="false">DH60+DX60*(DH61-DH60)</f>
        <v>5.0484342387668E-005</v>
      </c>
    </row>
    <row r="61" customFormat="false" ht="12.75" hidden="false" customHeight="false" outlineLevel="0" collapsed="false">
      <c r="A61" s="34"/>
      <c r="B61" s="35" t="s">
        <v>195</v>
      </c>
      <c r="C61" s="35"/>
      <c r="D61" s="15"/>
      <c r="E61" s="15"/>
      <c r="F61" s="15"/>
      <c r="G61" s="15"/>
      <c r="H61" s="15"/>
      <c r="I61" s="15"/>
      <c r="J61" s="15"/>
      <c r="K61" s="36"/>
      <c r="DB61" s="6"/>
      <c r="DE61" s="6"/>
      <c r="DH61" s="0" t="n">
        <f aca="false">DH60-$DI$6</f>
        <v>4.99999999181711E-005</v>
      </c>
      <c r="DI61" s="6" t="n">
        <f aca="false">$C$6+$C$7*DH61+$C$8*DH61^2+$C$9*DH61^3+$C$10*DH61^4+$C$11*DH61^5</f>
        <v>5.00000000818289</v>
      </c>
      <c r="DJ61" s="0" t="n">
        <f aca="false">DH61*DI61*1000</f>
        <v>0.25</v>
      </c>
      <c r="DK61" s="0" t="n">
        <f aca="false">MIN(MAX(0.2,$E$5*SQRT(DH61)*($C$4/DI61/1000)^0.75),5)</f>
        <v>0.221455319103086</v>
      </c>
      <c r="DL61" s="0" t="n">
        <f aca="false">$AH$42+($AI$42-$AH$42)*($DK61-$AH$41)/($AI$41-$AH$41)</f>
        <v>0.427062375871432</v>
      </c>
      <c r="DM61" s="0" t="n">
        <f aca="false">$AH$43+($AI$43-$AH$43)*($DK61-$AH$41)/($AI$41-$AH$41)</f>
        <v>0.660186046163004</v>
      </c>
      <c r="DN61" s="0" t="n">
        <f aca="false">$AH$44+($AI$44-$AH$44)*($DK61-$AH$41)/($AI$41-$AH$41)</f>
        <v>-0.0702629610778264</v>
      </c>
      <c r="DO61" s="0" t="n">
        <f aca="false">$AH$45+($AI$45-$AH$45)*($DK61-$AH$41)/($AI$41-$AH$41)</f>
        <v>-0.0169854609566097</v>
      </c>
      <c r="DP61" s="0" t="n">
        <f aca="false">($DL61+$DM61*($DH60/$DH61)+$DN61*($DH60/$DH61)^2+$DO61*($DH60/$DH61)^3)</f>
        <v>1.00932545120148</v>
      </c>
      <c r="DQ61" s="0" t="n">
        <f aca="false">(DL61+DM61+DN61+DO61)</f>
        <v>1</v>
      </c>
      <c r="DR61" s="0" t="n">
        <f aca="false">($DL61+$DM61*($DH62/$DH61)+$DN61*($DH62/$DH61)^2+$DO61*($DH62/$DH61)^3)</f>
        <v>0.990577573323358</v>
      </c>
      <c r="DS61" s="0" t="n">
        <f aca="false">DJ60/DP61</f>
        <v>0.24759110128375</v>
      </c>
      <c r="DT61" s="0" t="n">
        <f aca="false">DJ61/DQ61</f>
        <v>0.25</v>
      </c>
      <c r="DU61" s="0" t="n">
        <f aca="false">DJ62/DR61</f>
        <v>0.252277062103833</v>
      </c>
      <c r="DV61" s="0" t="n">
        <f aca="false">DU61-DS61</f>
        <v>0.00468596082008366</v>
      </c>
      <c r="DW61" s="0" t="n">
        <f aca="false">IF((DT61-DS61)*(DU61-DT61)&lt;0,1,0)</f>
        <v>0</v>
      </c>
      <c r="DX61" s="0" t="n">
        <f aca="false">ABS(DV61)/(ABS(DV61)+ABS(DV62))</f>
        <v>0.516701652719955</v>
      </c>
      <c r="DY61" s="0" t="n">
        <f aca="false">DH61+DX61*(DH62-DH61)</f>
        <v>4.94832982662967E-005</v>
      </c>
    </row>
    <row r="62" customFormat="false" ht="13.5" hidden="false" customHeight="false" outlineLevel="0" collapsed="false">
      <c r="A62" s="38"/>
      <c r="B62" s="39" t="s">
        <v>196</v>
      </c>
      <c r="C62" s="39"/>
      <c r="D62" s="40"/>
      <c r="E62" s="40"/>
      <c r="F62" s="40"/>
      <c r="G62" s="40"/>
      <c r="H62" s="40"/>
      <c r="I62" s="40"/>
      <c r="J62" s="40"/>
      <c r="K62" s="41"/>
      <c r="AA62" s="1" t="s">
        <v>197</v>
      </c>
      <c r="AB62" s="0" t="s">
        <v>198</v>
      </c>
      <c r="DB62" s="6"/>
      <c r="DE62" s="6"/>
      <c r="DH62" s="0" t="n">
        <f aca="false">DH61-$DI$6</f>
        <v>4.89999999198076E-005</v>
      </c>
      <c r="DI62" s="6" t="n">
        <f aca="false">$C$6+$C$7*DH62+$C$8*DH62^2+$C$9*DH62^3+$C$10*DH62^4+$C$11*DH62^5</f>
        <v>5.10000000801924</v>
      </c>
      <c r="DJ62" s="0" t="n">
        <f aca="false">DH62*DI62*1000</f>
        <v>0.249899999983961</v>
      </c>
      <c r="DK62" s="0" t="n">
        <f aca="false">MIN(MAX(0.2,$E$5*SQRT(DH62)*($C$4/DI62/1000)^0.75),5)</f>
        <v>0.21599764944576</v>
      </c>
      <c r="DL62" s="0" t="n">
        <f aca="false">$AH$42+($AI$42-$AH$42)*($DK62-$AH$41)/($AI$41-$AH$41)</f>
        <v>0.425265892942563</v>
      </c>
      <c r="DM62" s="0" t="n">
        <f aca="false">$AH$43+($AI$43-$AH$43)*($DK62-$AH$41)/($AI$41-$AH$41)</f>
        <v>0.667769932957663</v>
      </c>
      <c r="DN62" s="0" t="n">
        <f aca="false">$AH$44+($AI$44-$AH$44)*($DK62-$AH$41)/($AI$41-$AH$41)</f>
        <v>-0.0803710200889995</v>
      </c>
      <c r="DO62" s="0" t="n">
        <f aca="false">$AH$45+($AI$45-$AH$45)*($DK62-$AH$41)/($AI$41-$AH$41)</f>
        <v>-0.0126648058112263</v>
      </c>
      <c r="DP62" s="0" t="n">
        <f aca="false">($DL62+$DM62*($DH61/$DH62)+$DN62*($DH61/$DH62)^2+$DO62*($DH61/$DH62)^3)</f>
        <v>1.00952270570138</v>
      </c>
      <c r="DQ62" s="0" t="n">
        <f aca="false">(DL62+DM62+DN62+DO62)</f>
        <v>1</v>
      </c>
      <c r="DR62" s="0" t="n">
        <f aca="false">($DL62+$DM62*($DH63/$DH62)+$DN62*($DH63/$DH62)^2+$DO62*($DH63/$DH62)^3)</f>
        <v>0.990378697516013</v>
      </c>
      <c r="DS62" s="0" t="n">
        <f aca="false">DJ61/DP62</f>
        <v>0.247641780207717</v>
      </c>
      <c r="DT62" s="0" t="n">
        <f aca="false">DJ62/DQ62</f>
        <v>0.249899999983961</v>
      </c>
      <c r="DU62" s="0" t="n">
        <f aca="false">DJ63/DR62</f>
        <v>0.252024806868932</v>
      </c>
      <c r="DV62" s="0" t="n">
        <f aca="false">DU62-DS62</f>
        <v>0.00438302666121512</v>
      </c>
      <c r="DW62" s="0" t="n">
        <f aca="false">IF((DT62-DS62)*(DU62-DT62)&lt;0,1,0)</f>
        <v>0</v>
      </c>
      <c r="DX62" s="0" t="n">
        <f aca="false">ABS(DV62)/(ABS(DV62)+ABS(DV63))</f>
        <v>0.517895137383285</v>
      </c>
      <c r="DY62" s="0" t="n">
        <f aca="false">DH62+DX62*(DH63-DH62)</f>
        <v>4.84821047832719E-005</v>
      </c>
    </row>
    <row r="63" customFormat="false" ht="12.75" hidden="false" customHeight="false" outlineLevel="0" collapsed="false">
      <c r="A63" s="34"/>
      <c r="B63" s="15"/>
      <c r="C63" s="35"/>
      <c r="D63" s="15"/>
      <c r="I63" s="15"/>
      <c r="AB63" s="0" t="s">
        <v>199</v>
      </c>
      <c r="DB63" s="6"/>
      <c r="DE63" s="6"/>
      <c r="DH63" s="0" t="n">
        <f aca="false">DH62-$DI$6</f>
        <v>4.79999999214442E-005</v>
      </c>
      <c r="DI63" s="6" t="n">
        <f aca="false">$C$6+$C$7*DH63+$C$8*DH63^2+$C$9*DH63^3+$C$10*DH63^4+$C$11*DH63^5</f>
        <v>5.20000000785558</v>
      </c>
      <c r="DJ63" s="0" t="n">
        <f aca="false">DH63*DI63*1000</f>
        <v>0.249599999968578</v>
      </c>
      <c r="DK63" s="0" t="n">
        <f aca="false">MIN(MAX(0.2,$E$5*SQRT(DH63)*($C$4/DI63/1000)^0.75),5)</f>
        <v>0.210691360775771</v>
      </c>
      <c r="DL63" s="0" t="n">
        <f aca="false">$AH$42+($AI$42-$AH$42)*($DK63-$AH$41)/($AI$41-$AH$41)</f>
        <v>0.423519239588691</v>
      </c>
      <c r="DM63" s="0" t="n">
        <f aca="false">$AH$43+($AI$43-$AH$43)*($DK63-$AH$41)/($AI$41-$AH$41)</f>
        <v>0.675143463255334</v>
      </c>
      <c r="DN63" s="0" t="n">
        <f aca="false">$AH$44+($AI$44-$AH$44)*($DK63-$AH$41)/($AI$41-$AH$41)</f>
        <v>-0.09019870889654</v>
      </c>
      <c r="DO63" s="0" t="n">
        <f aca="false">$AH$45+($AI$45-$AH$45)*($DK63-$AH$41)/($AI$41-$AH$41)</f>
        <v>-0.00846399394748572</v>
      </c>
      <c r="DP63" s="0" t="n">
        <f aca="false">($DL63+$DM63*($DH62/$DH63)+$DN63*($DH62/$DH63)^2+$DO63*($DH62/$DH63)^3)</f>
        <v>1.0097279635546</v>
      </c>
      <c r="DQ63" s="0" t="n">
        <f aca="false">(DL63+DM63+DN63+DO63)</f>
        <v>1</v>
      </c>
      <c r="DR63" s="0" t="n">
        <f aca="false">($DL63+$DM63*($DH64/$DH63)+$DN63*($DH64/$DH63)^2+$DO63*($DH64/$DH63)^3)</f>
        <v>0.990171697304131</v>
      </c>
      <c r="DS63" s="0" t="n">
        <f aca="false">DJ62/DP63</f>
        <v>0.247492402908427</v>
      </c>
      <c r="DT63" s="0" t="n">
        <f aca="false">DJ63/DQ63</f>
        <v>0.249599999968578</v>
      </c>
      <c r="DU63" s="0" t="n">
        <f aca="false">DJ64/DR63</f>
        <v>0.251572530937872</v>
      </c>
      <c r="DV63" s="0" t="n">
        <f aca="false">DU63-DS63</f>
        <v>0.00408012802944444</v>
      </c>
      <c r="DW63" s="0" t="n">
        <f aca="false">IF((DT63-DS63)*(DU63-DT63)&lt;0,1,0)</f>
        <v>0</v>
      </c>
      <c r="DX63" s="0" t="n">
        <f aca="false">ABS(DV63)/(ABS(DV63)+ABS(DV64))</f>
        <v>0.519272497518296</v>
      </c>
      <c r="DY63" s="0" t="n">
        <f aca="false">DH63+DX63*(DH64-DH63)</f>
        <v>4.74807274247757E-005</v>
      </c>
    </row>
    <row r="64" customFormat="false" ht="12.75" hidden="false" customHeight="false" outlineLevel="0" collapsed="false">
      <c r="A64" s="34"/>
      <c r="B64" s="15"/>
      <c r="C64" s="35"/>
      <c r="D64" s="15"/>
      <c r="I64" s="15"/>
      <c r="DB64" s="6"/>
      <c r="DE64" s="6"/>
      <c r="DH64" s="0" t="n">
        <f aca="false">DH63-$DI$6</f>
        <v>4.69999999230808E-005</v>
      </c>
      <c r="DI64" s="6" t="n">
        <f aca="false">$C$6+$C$7*DH64+$C$8*DH64^2+$C$9*DH64^3+$C$10*DH64^4+$C$11*DH64^5</f>
        <v>5.30000000769192</v>
      </c>
      <c r="DJ64" s="0" t="n">
        <f aca="false">DH64*DI64*1000</f>
        <v>0.249099999953848</v>
      </c>
      <c r="DK64" s="0" t="n">
        <f aca="false">MIN(MAX(0.2,$E$5*SQRT(DH64)*($C$4/DI64/1000)^0.75),5)</f>
        <v>0.205527833317484</v>
      </c>
      <c r="DL64" s="0" t="n">
        <f aca="false">$AH$42+($AI$42-$AH$42)*($DK64-$AH$41)/($AI$41-$AH$41)</f>
        <v>0.421819578467005</v>
      </c>
      <c r="DM64" s="0" t="n">
        <f aca="false">$AH$43+($AI$43-$AH$43)*($DK64-$AH$41)/($AI$41-$AH$41)</f>
        <v>0.68231861495258</v>
      </c>
      <c r="DN64" s="0" t="n">
        <f aca="false">$AH$44+($AI$44-$AH$44)*($DK64-$AH$41)/($AI$41-$AH$41)</f>
        <v>-0.0997619920432441</v>
      </c>
      <c r="DO64" s="0" t="n">
        <f aca="false">$AH$45+($AI$45-$AH$45)*($DK64-$AH$41)/($AI$41-$AH$41)</f>
        <v>-0.00437620137634112</v>
      </c>
      <c r="DP64" s="0" t="n">
        <f aca="false">($DL64+$DM64*($DH63/$DH64)+$DN64*($DH63/$DH64)^2+$DO64*($DH63/$DH64)^3)</f>
        <v>1.00994174719321</v>
      </c>
      <c r="DQ64" s="0" t="n">
        <f aca="false">(DL64+DM64+DN64+DO64)</f>
        <v>1</v>
      </c>
      <c r="DR64" s="0" t="n">
        <f aca="false">($DL64+$DM64*($DH65/$DH64)+$DN64*($DH65/$DH64)^2+$DO64*($DH65/$DH64)^3)</f>
        <v>0.989956043122614</v>
      </c>
      <c r="DS64" s="0" t="n">
        <f aca="false">DJ63/DP64</f>
        <v>0.247142967069394</v>
      </c>
      <c r="DT64" s="0" t="n">
        <f aca="false">DJ64/DQ64</f>
        <v>0.249099999953848</v>
      </c>
      <c r="DU64" s="0" t="n">
        <f aca="false">DJ65/DR64</f>
        <v>0.250920231928932</v>
      </c>
      <c r="DV64" s="0" t="n">
        <f aca="false">DU64-DS64</f>
        <v>0.00377726485953805</v>
      </c>
      <c r="DW64" s="0" t="n">
        <f aca="false">IF((DT64-DS64)*(DU64-DT64)&lt;0,1,0)</f>
        <v>0</v>
      </c>
      <c r="DX64" s="0" t="n">
        <f aca="false">ABS(DV64)/(ABS(DV64)+ABS(DV65))</f>
        <v>0.520879768985961</v>
      </c>
      <c r="DY64" s="0" t="n">
        <f aca="false">DH64+DX64*(DH65-DH64)</f>
        <v>4.64791201549473E-005</v>
      </c>
    </row>
    <row r="65" customFormat="false" ht="12.75" hidden="false" customHeight="false" outlineLevel="0" collapsed="false">
      <c r="A65" s="34"/>
      <c r="B65" s="15"/>
      <c r="C65" s="35"/>
      <c r="D65" s="15"/>
      <c r="AA65" s="1" t="s">
        <v>200</v>
      </c>
      <c r="AB65" s="0" t="s">
        <v>201</v>
      </c>
      <c r="DB65" s="6"/>
      <c r="DE65" s="6"/>
      <c r="DH65" s="0" t="n">
        <f aca="false">DH64-$DI$6</f>
        <v>4.59999999247174E-005</v>
      </c>
      <c r="DI65" s="6" t="n">
        <f aca="false">$C$6+$C$7*DH65+$C$8*DH65^2+$C$9*DH65^3+$C$10*DH65^4+$C$11*DH65^5</f>
        <v>5.40000000752826</v>
      </c>
      <c r="DJ65" s="0" t="n">
        <f aca="false">DH65*DI65*1000</f>
        <v>0.248399999939774</v>
      </c>
      <c r="DK65" s="0" t="n">
        <f aca="false">MIN(MAX(0.2,$E$5*SQRT(DH65)*($C$4/DI65/1000)^0.75),5)</f>
        <v>0.200499001036452</v>
      </c>
      <c r="DL65" s="0" t="n">
        <f aca="false">$AH$42+($AI$42-$AH$42)*($DK65-$AH$41)/($AI$41-$AH$41)</f>
        <v>0.420164254507832</v>
      </c>
      <c r="DM65" s="0" t="n">
        <f aca="false">$AH$43+($AI$43-$AH$43)*($DK65-$AH$41)/($AI$41-$AH$41)</f>
        <v>0.68930659647643</v>
      </c>
      <c r="DN65" s="0" t="n">
        <f aca="false">$AH$44+($AI$44-$AH$44)*($DK65-$AH$41)/($AI$41-$AH$41)</f>
        <v>-0.109075808497071</v>
      </c>
      <c r="DO65" s="0" t="n">
        <f aca="false">$AH$45+($AI$45-$AH$45)*($DK65-$AH$41)/($AI$41-$AH$41)</f>
        <v>-0.00039504248719115</v>
      </c>
      <c r="DP65" s="0" t="n">
        <f aca="false">($DL65+$DM65*($DH64/$DH65)+$DN65*($DH64/$DH65)^2+$DO65*($DH64/$DH65)^3)</f>
        <v>1.01016462366215</v>
      </c>
      <c r="DQ65" s="0" t="n">
        <f aca="false">(DL65+DM65+DN65+DO65)</f>
        <v>1</v>
      </c>
      <c r="DR65" s="0" t="n">
        <f aca="false">($DL65+$DM65*($DH66/$DH65)+$DN65*($DH66/$DH65)^2+$DO65*($DH66/$DH65)^3)</f>
        <v>0.989731159952254</v>
      </c>
      <c r="DS65" s="0" t="n">
        <f aca="false">DJ64/DP65</f>
        <v>0.246593470132408</v>
      </c>
      <c r="DT65" s="0" t="n">
        <f aca="false">DJ65/DQ65</f>
        <v>0.248399999939774</v>
      </c>
      <c r="DU65" s="0" t="n">
        <f aca="false">DJ66/DR65</f>
        <v>0.250067907267155</v>
      </c>
      <c r="DV65" s="0" t="n">
        <f aca="false">DU65-DS65</f>
        <v>0.00347443713474666</v>
      </c>
      <c r="DW65" s="0" t="n">
        <f aca="false">IF((DT65-DS65)*(DU65-DT65)&lt;0,1,0)</f>
        <v>0</v>
      </c>
      <c r="DX65" s="0" t="n">
        <f aca="false">ABS(DV65)/(ABS(DV65)+ABS(DV66))</f>
        <v>0.523010744102268</v>
      </c>
      <c r="DY65" s="0" t="n">
        <f aca="false">DH65+DX65*(DH66-DH65)</f>
        <v>4.5476989181471E-005</v>
      </c>
    </row>
    <row r="66" customFormat="false" ht="12.75" hidden="false" customHeight="false" outlineLevel="0" collapsed="false">
      <c r="A66" s="34"/>
      <c r="B66" s="15"/>
      <c r="C66" s="35"/>
      <c r="D66" s="15"/>
      <c r="AB66" s="0" t="s">
        <v>202</v>
      </c>
      <c r="DB66" s="6"/>
      <c r="DE66" s="6"/>
      <c r="DH66" s="0" t="n">
        <f aca="false">DH65-$DI$6</f>
        <v>4.4999999926354E-005</v>
      </c>
      <c r="DI66" s="6" t="n">
        <f aca="false">$C$6+$C$7*DH66+$C$8*DH66^2+$C$9*DH66^3+$C$10*DH66^4+$C$11*DH66^5</f>
        <v>5.50000000736461</v>
      </c>
      <c r="DJ66" s="0" t="n">
        <f aca="false">DH66*DI66*1000</f>
        <v>0.247499999926354</v>
      </c>
      <c r="DK66" s="0" t="n">
        <f aca="false">MIN(MAX(0.2,$E$5*SQRT(DH66)*($C$4/DI66/1000)^0.75),5)</f>
        <v>0.2</v>
      </c>
      <c r="DL66" s="0" t="n">
        <f aca="false">$AH$42+($AI$42-$AH$42)*($DK66-$AH$41)/($AI$41-$AH$41)</f>
        <v>0.42</v>
      </c>
      <c r="DM66" s="0" t="n">
        <f aca="false">$AH$43+($AI$43-$AH$43)*($DK66-$AH$41)/($AI$41-$AH$41)</f>
        <v>0.69</v>
      </c>
      <c r="DN66" s="0" t="n">
        <f aca="false">$AH$44+($AI$44-$AH$44)*($DK66-$AH$41)/($AI$41-$AH$41)</f>
        <v>-0.11</v>
      </c>
      <c r="DO66" s="0" t="n">
        <f aca="false">$AH$45+($AI$45-$AH$45)*($DK66-$AH$41)/($AI$41-$AH$41)</f>
        <v>0</v>
      </c>
      <c r="DP66" s="0" t="n">
        <f aca="false">($DL66+$DM66*($DH65/$DH66)+$DN66*($DH65/$DH66)^2+$DO66*($DH65/$DH66)^3)</f>
        <v>1.01039012345679</v>
      </c>
      <c r="DQ66" s="0" t="n">
        <f aca="false">(DL66+DM66+DN66+DO66)</f>
        <v>1</v>
      </c>
      <c r="DR66" s="0" t="n">
        <f aca="false">($DL66+$DM66*($DH67/$DH66)+$DN66*($DH67/$DH66)^2+$DO66*($DH67/$DH66)^3)</f>
        <v>0.989501234567901</v>
      </c>
      <c r="DS66" s="0" t="n">
        <f aca="false">DJ65/DP66</f>
        <v>0.245845633456844</v>
      </c>
      <c r="DT66" s="0" t="n">
        <f aca="false">DJ66/DQ66</f>
        <v>0.247499999926354</v>
      </c>
      <c r="DU66" s="0" t="n">
        <f aca="false">DJ67/DR66</f>
        <v>0.249014343090928</v>
      </c>
      <c r="DV66" s="0" t="n">
        <f aca="false">DU66-DS66</f>
        <v>0.00316870963408392</v>
      </c>
      <c r="DW66" s="0" t="n">
        <f aca="false">IF((DT66-DS66)*(DU66-DT66)&lt;0,1,0)</f>
        <v>0</v>
      </c>
      <c r="DX66" s="0" t="n">
        <f aca="false">ABS(DV66)/(ABS(DV66)+ABS(DV67))</f>
        <v>0.52537219290808</v>
      </c>
      <c r="DY66" s="0" t="n">
        <f aca="false">DH66+DX66*(DH67-DH66)</f>
        <v>4.44746277343057E-005</v>
      </c>
    </row>
    <row r="67" customFormat="false" ht="12.75" hidden="false" customHeight="false" outlineLevel="0" collapsed="false">
      <c r="C67" s="15"/>
      <c r="D67" s="15"/>
      <c r="AB67" s="0" t="s">
        <v>203</v>
      </c>
      <c r="AC67" s="0" t="n">
        <f aca="false">C21-AC57</f>
        <v>2.73130404269176</v>
      </c>
      <c r="AD67" s="0" t="n">
        <f aca="false">C27-AD57</f>
        <v>1.96641300533647</v>
      </c>
      <c r="AE67" s="0" t="s">
        <v>110</v>
      </c>
      <c r="DB67" s="6"/>
      <c r="DE67" s="6"/>
      <c r="DH67" s="0" t="n">
        <f aca="false">DH66-$DI$6</f>
        <v>4.39999999279905E-005</v>
      </c>
      <c r="DI67" s="6" t="n">
        <f aca="false">$C$6+$C$7*DH67+$C$8*DH67^2+$C$9*DH67^3+$C$10*DH67^4+$C$11*DH67^5</f>
        <v>5.60000000720095</v>
      </c>
      <c r="DJ67" s="0" t="n">
        <f aca="false">DH67*DI67*1000</f>
        <v>0.246399999913589</v>
      </c>
      <c r="DK67" s="0" t="n">
        <f aca="false">MIN(MAX(0.2,$E$5*SQRT(DH67)*($C$4/DI67/1000)^0.75),5)</f>
        <v>0.2</v>
      </c>
      <c r="DL67" s="0" t="n">
        <f aca="false">$AH$42+($AI$42-$AH$42)*($DK67-$AH$41)/($AI$41-$AH$41)</f>
        <v>0.42</v>
      </c>
      <c r="DM67" s="0" t="n">
        <f aca="false">$AH$43+($AI$43-$AH$43)*($DK67-$AH$41)/($AI$41-$AH$41)</f>
        <v>0.69</v>
      </c>
      <c r="DN67" s="0" t="n">
        <f aca="false">$AH$44+($AI$44-$AH$44)*($DK67-$AH$41)/($AI$41-$AH$41)</f>
        <v>-0.11</v>
      </c>
      <c r="DO67" s="0" t="n">
        <f aca="false">$AH$45+($AI$45-$AH$45)*($DK67-$AH$41)/($AI$41-$AH$41)</f>
        <v>0</v>
      </c>
      <c r="DP67" s="0" t="n">
        <f aca="false">($DL67+$DM67*($DH66/$DH67)+$DN67*($DH66/$DH67)^2+$DO67*($DH66/$DH67)^3)</f>
        <v>1.010625</v>
      </c>
      <c r="DQ67" s="0" t="n">
        <f aca="false">(DL67+DM67+DN67+DO67)</f>
        <v>1</v>
      </c>
      <c r="DR67" s="0" t="n">
        <f aca="false">($DL67+$DM67*($DH68/$DH67)+$DN67*($DH68/$DH67)^2+$DO67*($DH68/$DH67)^3)</f>
        <v>0.989261363636363</v>
      </c>
      <c r="DS67" s="0" t="n">
        <f aca="false">DJ66/DP67</f>
        <v>0.244897959110802</v>
      </c>
      <c r="DT67" s="0" t="n">
        <f aca="false">DJ67/DQ67</f>
        <v>0.246399999913589</v>
      </c>
      <c r="DU67" s="0" t="n">
        <f aca="false">DJ68/DR67</f>
        <v>0.247760611008329</v>
      </c>
      <c r="DV67" s="0" t="n">
        <f aca="false">DU67-DS67</f>
        <v>0.0028626518975271</v>
      </c>
      <c r="DW67" s="0" t="n">
        <f aca="false">IF((DT67-DS67)*(DU67-DT67)&lt;0,1,0)</f>
        <v>0</v>
      </c>
      <c r="DX67" s="0" t="n">
        <f aca="false">ABS(DV67)/(ABS(DV67)+ABS(DV68))</f>
        <v>0.528238430208893</v>
      </c>
      <c r="DY67" s="0" t="n">
        <f aca="false">DH67+DX67*(DH68-DH67)</f>
        <v>4.34717614986461E-005</v>
      </c>
    </row>
    <row r="68" customFormat="false" ht="12.75" hidden="false" customHeight="false" outlineLevel="0" collapsed="false">
      <c r="C68" s="15"/>
      <c r="D68" s="15"/>
      <c r="AB68" s="0" t="s">
        <v>204</v>
      </c>
      <c r="AC68" s="0" t="n">
        <f aca="false">MIN(AC67:AD67)</f>
        <v>1.96641300533647</v>
      </c>
      <c r="AE68" s="0" t="s">
        <v>110</v>
      </c>
      <c r="AF68" s="0" t="s">
        <v>205</v>
      </c>
      <c r="DB68" s="6"/>
      <c r="DE68" s="6"/>
      <c r="DH68" s="0" t="n">
        <f aca="false">DH67-$DI$6</f>
        <v>4.29999999296271E-005</v>
      </c>
      <c r="DI68" s="6" t="n">
        <f aca="false">$C$6+$C$7*DH68+$C$8*DH68^2+$C$9*DH68^3+$C$10*DH68^4+$C$11*DH68^5</f>
        <v>5.70000000703729</v>
      </c>
      <c r="DJ68" s="0" t="n">
        <f aca="false">DH68*DI68*1000</f>
        <v>0.245099999901478</v>
      </c>
      <c r="DK68" s="0" t="n">
        <f aca="false">MIN(MAX(0.2,$E$5*SQRT(DH68)*($C$4/DI68/1000)^0.75),5)</f>
        <v>0.2</v>
      </c>
      <c r="DL68" s="0" t="n">
        <f aca="false">$AH$42+($AI$42-$AH$42)*($DK68-$AH$41)/($AI$41-$AH$41)</f>
        <v>0.42</v>
      </c>
      <c r="DM68" s="0" t="n">
        <f aca="false">$AH$43+($AI$43-$AH$43)*($DK68-$AH$41)/($AI$41-$AH$41)</f>
        <v>0.69</v>
      </c>
      <c r="DN68" s="0" t="n">
        <f aca="false">$AH$44+($AI$44-$AH$44)*($DK68-$AH$41)/($AI$41-$AH$41)</f>
        <v>-0.11</v>
      </c>
      <c r="DO68" s="0" t="n">
        <f aca="false">$AH$45+($AI$45-$AH$45)*($DK68-$AH$41)/($AI$41-$AH$41)</f>
        <v>0</v>
      </c>
      <c r="DP68" s="0" t="n">
        <f aca="false">($DL68+$DM68*($DH67/$DH68)+$DN68*($DH67/$DH68)^2+$DO68*($DH67/$DH68)^3)</f>
        <v>1.01087074094105</v>
      </c>
      <c r="DQ68" s="0" t="n">
        <f aca="false">(DL68+DM68+DN68+DO68)</f>
        <v>1</v>
      </c>
      <c r="DR68" s="0" t="n">
        <f aca="false">($DL68+$DM68*($DH69/$DH68)+$DN68*($DH69/$DH68)^2+$DO68*($DH69/$DH68)^3)</f>
        <v>0.98901027582477</v>
      </c>
      <c r="DS68" s="0" t="n">
        <f aca="false">DJ67/DP68</f>
        <v>0.243750254047523</v>
      </c>
      <c r="DT68" s="0" t="n">
        <f aca="false">DJ68/DQ68</f>
        <v>0.245099999901478</v>
      </c>
      <c r="DU68" s="0" t="n">
        <f aca="false">DJ69/DR68</f>
        <v>0.246306844169921</v>
      </c>
      <c r="DV68" s="0" t="n">
        <f aca="false">DU68-DS68</f>
        <v>0.00255659012239762</v>
      </c>
      <c r="DW68" s="0" t="n">
        <f aca="false">IF((DT68-DS68)*(DU68-DT68)&lt;0,1,0)</f>
        <v>0</v>
      </c>
      <c r="DX68" s="0" t="n">
        <f aca="false">ABS(DV68)/(ABS(DV68)+ABS(DV69))</f>
        <v>0.531834713971566</v>
      </c>
      <c r="DY68" s="0" t="n">
        <f aca="false">DH68+DX68*(DH69-DH68)</f>
        <v>4.24681652165259E-005</v>
      </c>
    </row>
    <row r="69" customFormat="false" ht="12.75" hidden="false" customHeight="false" outlineLevel="0" collapsed="false">
      <c r="C69" s="15"/>
      <c r="D69" s="15"/>
      <c r="DB69" s="6"/>
      <c r="DE69" s="6"/>
      <c r="DH69" s="0" t="n">
        <f aca="false">DH68-$DI$6</f>
        <v>4.19999999312637E-005</v>
      </c>
      <c r="DI69" s="6" t="n">
        <f aca="false">$C$6+$C$7*DH69+$C$8*DH69^2+$C$9*DH69^3+$C$10*DH69^4+$C$11*DH69^5</f>
        <v>5.80000000687363</v>
      </c>
      <c r="DJ69" s="0" t="n">
        <f aca="false">DH69*DI69*1000</f>
        <v>0.243599999890022</v>
      </c>
      <c r="DK69" s="0" t="n">
        <f aca="false">MIN(MAX(0.2,$E$5*SQRT(DH69)*($C$4/DI69/1000)^0.75),5)</f>
        <v>0.2</v>
      </c>
      <c r="DL69" s="0" t="n">
        <f aca="false">$AH$42+($AI$42-$AH$42)*($DK69-$AH$41)/($AI$41-$AH$41)</f>
        <v>0.42</v>
      </c>
      <c r="DM69" s="0" t="n">
        <f aca="false">$AH$43+($AI$43-$AH$43)*($DK69-$AH$41)/($AI$41-$AH$41)</f>
        <v>0.69</v>
      </c>
      <c r="DN69" s="0" t="n">
        <f aca="false">$AH$44+($AI$44-$AH$44)*($DK69-$AH$41)/($AI$41-$AH$41)</f>
        <v>-0.11</v>
      </c>
      <c r="DO69" s="0" t="n">
        <f aca="false">$AH$45+($AI$45-$AH$45)*($DK69-$AH$41)/($AI$41-$AH$41)</f>
        <v>0</v>
      </c>
      <c r="DP69" s="0" t="n">
        <f aca="false">($DL69+$DM69*($DH68/$DH69)+$DN69*($DH68/$DH69)^2+$DO69*($DH68/$DH69)^3)</f>
        <v>1.01112811791383</v>
      </c>
      <c r="DQ69" s="0" t="n">
        <f aca="false">(DL69+DM69+DN69+DO69)</f>
        <v>1</v>
      </c>
      <c r="DR69" s="0" t="n">
        <f aca="false">($DL69+$DM69*($DH70/$DH69)+$DN69*($DH70/$DH69)^2+$DO69*($DH70/$DH69)^3)</f>
        <v>0.98874716553288</v>
      </c>
      <c r="DS69" s="0" t="n">
        <f aca="false">DJ68/DP69</f>
        <v>0.242402516119491</v>
      </c>
      <c r="DT69" s="0" t="n">
        <f aca="false">DJ69/DQ69</f>
        <v>0.243599999890022</v>
      </c>
      <c r="DU69" s="0" t="n">
        <f aca="false">DJ70/DR69</f>
        <v>0.244653040040676</v>
      </c>
      <c r="DV69" s="0" t="n">
        <f aca="false">DU69-DS69</f>
        <v>0.0022505239211853</v>
      </c>
      <c r="DW69" s="0" t="n">
        <f aca="false">IF((DT69-DS69)*(DU69-DT69)&lt;0,1,0)</f>
        <v>0</v>
      </c>
      <c r="DX69" s="0" t="n">
        <f aca="false">ABS(DV69)/(ABS(DV69)+ABS(DV70))</f>
        <v>0.536480662299596</v>
      </c>
      <c r="DY69" s="0" t="n">
        <f aca="false">DH69+DX69*(DH70-DH69)</f>
        <v>4.14635192698421E-005</v>
      </c>
    </row>
    <row r="70" customFormat="false" ht="12.75" hidden="false" customHeight="false" outlineLevel="0" collapsed="false">
      <c r="C70" s="15"/>
      <c r="D70" s="15"/>
      <c r="AA70" s="1" t="s">
        <v>206</v>
      </c>
      <c r="AB70" s="0" t="s">
        <v>207</v>
      </c>
      <c r="DB70" s="6"/>
      <c r="DE70" s="6"/>
      <c r="DH70" s="0" t="n">
        <f aca="false">DH69-$DI$6</f>
        <v>4.09999999329003E-005</v>
      </c>
      <c r="DI70" s="6" t="n">
        <f aca="false">$C$6+$C$7*DH70+$C$8*DH70^2+$C$9*DH70^3+$C$10*DH70^4+$C$11*DH70^5</f>
        <v>5.90000000670997</v>
      </c>
      <c r="DJ70" s="0" t="n">
        <f aca="false">DH70*DI70*1000</f>
        <v>0.24189999987922</v>
      </c>
      <c r="DK70" s="0" t="n">
        <f aca="false">MIN(MAX(0.2,$E$5*SQRT(DH70)*($C$4/DI70/1000)^0.75),5)</f>
        <v>0.2</v>
      </c>
      <c r="DL70" s="0" t="n">
        <f aca="false">$AH$42+($AI$42-$AH$42)*($DK70-$AH$41)/($AI$41-$AH$41)</f>
        <v>0.42</v>
      </c>
      <c r="DM70" s="0" t="n">
        <f aca="false">$AH$43+($AI$43-$AH$43)*($DK70-$AH$41)/($AI$41-$AH$41)</f>
        <v>0.69</v>
      </c>
      <c r="DN70" s="0" t="n">
        <f aca="false">$AH$44+($AI$44-$AH$44)*($DK70-$AH$41)/($AI$41-$AH$41)</f>
        <v>-0.11</v>
      </c>
      <c r="DO70" s="0" t="n">
        <f aca="false">$AH$45+($AI$45-$AH$45)*($DK70-$AH$41)/($AI$41-$AH$41)</f>
        <v>0</v>
      </c>
      <c r="DP70" s="0" t="n">
        <f aca="false">($DL70+$DM70*($DH69/$DH70)+$DN70*($DH69/$DH70)^2+$DO70*($DH69/$DH70)^3)</f>
        <v>1.01139797739441</v>
      </c>
      <c r="DQ70" s="0" t="n">
        <f aca="false">(DL70+DM70+DN70+DO70)</f>
        <v>1</v>
      </c>
      <c r="DR70" s="0" t="n">
        <f aca="false">($DL70+$DM70*($DH71/$DH70)+$DN70*($DH71/$DH70)^2+$DO70*($DH71/$DH70)^3)</f>
        <v>0.988471148126115</v>
      </c>
      <c r="DS70" s="0" t="n">
        <f aca="false">DJ69/DP70</f>
        <v>0.240854742974265</v>
      </c>
      <c r="DT70" s="0" t="n">
        <f aca="false">DJ70/DQ70</f>
        <v>0.24189999987922</v>
      </c>
      <c r="DU70" s="0" t="n">
        <f aca="false">DJ71/DR70</f>
        <v>0.24279919583293</v>
      </c>
      <c r="DV70" s="0" t="n">
        <f aca="false">DU70-DS70</f>
        <v>0.0019444528586646</v>
      </c>
      <c r="DW70" s="0" t="n">
        <f aca="false">IF((DT70-DS70)*(DU70-DT70)&lt;0,1,0)</f>
        <v>0</v>
      </c>
      <c r="DX70" s="0" t="n">
        <f aca="false">ABS(DV70)/(ABS(DV70)+ABS(DV71))</f>
        <v>0.542714345018089</v>
      </c>
      <c r="DY70" s="0" t="n">
        <f aca="false">DH70+DX70*(DH71-DH70)</f>
        <v>4.04572855887704E-005</v>
      </c>
    </row>
    <row r="71" customFormat="false" ht="12.75" hidden="false" customHeight="false" outlineLevel="0" collapsed="false">
      <c r="AB71" s="0" t="s">
        <v>208</v>
      </c>
      <c r="AC71" s="0" t="n">
        <f aca="false">(C15-(C21-AC68)*C39/C15)/AC51</f>
        <v>0.0474257507541105</v>
      </c>
      <c r="AD71" s="0" t="s">
        <v>148</v>
      </c>
      <c r="AF71" s="0" t="s">
        <v>209</v>
      </c>
      <c r="DB71" s="6"/>
      <c r="DE71" s="6"/>
      <c r="DH71" s="0" t="n">
        <f aca="false">DH70-$DI$6</f>
        <v>3.99999999345368E-005</v>
      </c>
      <c r="DI71" s="6" t="n">
        <f aca="false">$C$6+$C$7*DH71+$C$8*DH71^2+$C$9*DH71^3+$C$10*DH71^4+$C$11*DH71^5</f>
        <v>6.00000000654632</v>
      </c>
      <c r="DJ71" s="0" t="n">
        <f aca="false">DH71*DI71*1000</f>
        <v>0.239999999869074</v>
      </c>
      <c r="DK71" s="0" t="n">
        <f aca="false">MIN(MAX(0.2,$E$5*SQRT(DH71)*($C$4/DI71/1000)^0.75),5)</f>
        <v>0.2</v>
      </c>
      <c r="DL71" s="0" t="n">
        <f aca="false">$AH$42+($AI$42-$AH$42)*($DK71-$AH$41)/($AI$41-$AH$41)</f>
        <v>0.42</v>
      </c>
      <c r="DM71" s="0" t="n">
        <f aca="false">$AH$43+($AI$43-$AH$43)*($DK71-$AH$41)/($AI$41-$AH$41)</f>
        <v>0.69</v>
      </c>
      <c r="DN71" s="0" t="n">
        <f aca="false">$AH$44+($AI$44-$AH$44)*($DK71-$AH$41)/($AI$41-$AH$41)</f>
        <v>-0.11</v>
      </c>
      <c r="DO71" s="0" t="n">
        <f aca="false">$AH$45+($AI$45-$AH$45)*($DK71-$AH$41)/($AI$41-$AH$41)</f>
        <v>0</v>
      </c>
      <c r="DP71" s="0" t="n">
        <f aca="false">($DL71+$DM71*($DH70/$DH71)+$DN71*($DH70/$DH71)^2+$DO71*($DH70/$DH71)^3)</f>
        <v>1.01168125</v>
      </c>
      <c r="DQ71" s="0" t="n">
        <f aca="false">(DL71+DM71+DN71+DO71)</f>
        <v>1</v>
      </c>
      <c r="DR71" s="0" t="n">
        <f aca="false">($DL71+$DM71*($DH72/$DH71)+$DN71*($DH72/$DH71)^2+$DO71*($DH72/$DH71)^3)</f>
        <v>0.98818125</v>
      </c>
      <c r="DS71" s="0" t="n">
        <f aca="false">DJ70/DP71</f>
        <v>0.239106932029451</v>
      </c>
      <c r="DT71" s="0" t="n">
        <f aca="false">DJ71/DQ71</f>
        <v>0.239999999869074</v>
      </c>
      <c r="DU71" s="0" t="n">
        <f aca="false">DJ72/DR71</f>
        <v>0.24074530847411</v>
      </c>
      <c r="DV71" s="0" t="n">
        <f aca="false">DU71-DS71</f>
        <v>0.00163837644465847</v>
      </c>
      <c r="DW71" s="0" t="n">
        <f aca="false">IF((DT71-DS71)*(DU71-DT71)&lt;0,1,0)</f>
        <v>0</v>
      </c>
      <c r="DX71" s="0" t="n">
        <f aca="false">ABS(DV71)/(ABS(DV71)+ABS(DV72))</f>
        <v>0.551517378306092</v>
      </c>
      <c r="DY71" s="0" t="n">
        <f aca="false">DH71+DX71*(DH72-DH71)</f>
        <v>3.94484825571334E-005</v>
      </c>
    </row>
    <row r="72" customFormat="false" ht="12.75" hidden="false" customHeight="false" outlineLevel="0" collapsed="false">
      <c r="DB72" s="6"/>
      <c r="DE72" s="6"/>
      <c r="DH72" s="0" t="n">
        <f aca="false">DH71-$DI$6</f>
        <v>3.89999999361734E-005</v>
      </c>
      <c r="DI72" s="6" t="n">
        <f aca="false">$C$6+$C$7*DH72+$C$8*DH72^2+$C$9*DH72^3+$C$10*DH72^4+$C$11*DH72^5</f>
        <v>6.10000000638266</v>
      </c>
      <c r="DJ72" s="0" t="n">
        <f aca="false">DH72*DI72*1000</f>
        <v>0.237899999859582</v>
      </c>
      <c r="DK72" s="0" t="n">
        <f aca="false">MIN(MAX(0.2,$E$5*SQRT(DH72)*($C$4/DI72/1000)^0.75),5)</f>
        <v>0.2</v>
      </c>
      <c r="DL72" s="0" t="n">
        <f aca="false">$AH$42+($AI$42-$AH$42)*($DK72-$AH$41)/($AI$41-$AH$41)</f>
        <v>0.42</v>
      </c>
      <c r="DM72" s="0" t="n">
        <f aca="false">$AH$43+($AI$43-$AH$43)*($DK72-$AH$41)/($AI$41-$AH$41)</f>
        <v>0.69</v>
      </c>
      <c r="DN72" s="0" t="n">
        <f aca="false">$AH$44+($AI$44-$AH$44)*($DK72-$AH$41)/($AI$41-$AH$41)</f>
        <v>-0.11</v>
      </c>
      <c r="DO72" s="0" t="n">
        <f aca="false">$AH$45+($AI$45-$AH$45)*($DK72-$AH$41)/($AI$41-$AH$41)</f>
        <v>0</v>
      </c>
      <c r="DP72" s="0" t="n">
        <f aca="false">($DL72+$DM72*($DH71/$DH72)+$DN72*($DH71/$DH72)^2+$DO72*($DH71/$DH72)^3)</f>
        <v>1.01197896120973</v>
      </c>
      <c r="DQ72" s="0" t="n">
        <f aca="false">(DL72+DM72+DN72+DO72)</f>
        <v>1</v>
      </c>
      <c r="DR72" s="0" t="n">
        <f aca="false">($DL72+$DM72*($DH73/$DH72)+$DN72*($DH73/$DH72)^2+$DO72*($DH73/$DH72)^3)</f>
        <v>0.987876397107166</v>
      </c>
      <c r="DS72" s="0" t="n">
        <f aca="false">DJ71/DP72</f>
        <v>0.237159080443901</v>
      </c>
      <c r="DT72" s="0" t="n">
        <f aca="false">DJ72/DQ72</f>
        <v>0.237899999859582</v>
      </c>
      <c r="DU72" s="0" t="n">
        <f aca="false">DJ73/DR72</f>
        <v>0.238491374569389</v>
      </c>
      <c r="DV72" s="0" t="n">
        <f aca="false">DU72-DS72</f>
        <v>0.00133229412548841</v>
      </c>
      <c r="DW72" s="0" t="n">
        <f aca="false">IF((DT72-DS72)*(DU72-DT72)&lt;0,1,0)</f>
        <v>0</v>
      </c>
      <c r="DX72" s="0" t="n">
        <f aca="false">ABS(DV72)/(ABS(DV72)+ABS(DV73))</f>
        <v>0.564890593516098</v>
      </c>
      <c r="DY72" s="0" t="n">
        <f aca="false">DH72+DX72*(DH73-DH72)</f>
        <v>3.84351093435818E-005</v>
      </c>
    </row>
    <row r="73" customFormat="false" ht="12.75" hidden="false" customHeight="false" outlineLevel="0" collapsed="false">
      <c r="AA73" s="1" t="s">
        <v>210</v>
      </c>
      <c r="AB73" s="0" t="s">
        <v>211</v>
      </c>
      <c r="DB73" s="6"/>
      <c r="DE73" s="6"/>
      <c r="DH73" s="0" t="n">
        <f aca="false">DH72-$DI$6</f>
        <v>3.799999993781E-005</v>
      </c>
      <c r="DI73" s="6" t="n">
        <f aca="false">$C$6+$C$7*DH73+$C$8*DH73^2+$C$9*DH73^3+$C$10*DH73^4+$C$11*DH73^5</f>
        <v>6.200000006219</v>
      </c>
      <c r="DJ73" s="0" t="n">
        <f aca="false">DH73*DI73*1000</f>
        <v>0.235599999850744</v>
      </c>
      <c r="DK73" s="0" t="n">
        <f aca="false">MIN(MAX(0.2,$E$5*SQRT(DH73)*($C$4/DI73/1000)^0.75),5)</f>
        <v>0.2</v>
      </c>
      <c r="DL73" s="0" t="n">
        <f aca="false">$AH$42+($AI$42-$AH$42)*($DK73-$AH$41)/($AI$41-$AH$41)</f>
        <v>0.42</v>
      </c>
      <c r="DM73" s="0" t="n">
        <f aca="false">$AH$43+($AI$43-$AH$43)*($DK73-$AH$41)/($AI$41-$AH$41)</f>
        <v>0.69</v>
      </c>
      <c r="DN73" s="0" t="n">
        <f aca="false">$AH$44+($AI$44-$AH$44)*($DK73-$AH$41)/($AI$41-$AH$41)</f>
        <v>-0.11</v>
      </c>
      <c r="DO73" s="0" t="n">
        <f aca="false">$AH$45+($AI$45-$AH$45)*($DK73-$AH$41)/($AI$41-$AH$41)</f>
        <v>0</v>
      </c>
      <c r="DP73" s="0" t="n">
        <f aca="false">($DL73+$DM73*($DH72/$DH73)+$DN73*($DH72/$DH73)^2+$DO73*($DH72/$DH73)^3)</f>
        <v>1.01229224376731</v>
      </c>
      <c r="DQ73" s="0" t="n">
        <f aca="false">(DL73+DM73+DN73+DO73)</f>
        <v>1</v>
      </c>
      <c r="DR73" s="0" t="n">
        <f aca="false">($DL73+$DM73*($DH74/$DH73)+$DN73*($DH74/$DH73)^2+$DO73*($DH74/$DH73)^3)</f>
        <v>0.98755540166205</v>
      </c>
      <c r="DS73" s="0" t="n">
        <f aca="false">DJ72/DP73</f>
        <v>0.235011185084478</v>
      </c>
      <c r="DT73" s="0" t="n">
        <f aca="false">DJ73/DQ73</f>
        <v>0.235599999850744</v>
      </c>
      <c r="DU73" s="0" t="n">
        <f aca="false">DJ74/DR73</f>
        <v>0.236037390358308</v>
      </c>
      <c r="DV73" s="0" t="n">
        <f aca="false">DU73-DS73</f>
        <v>0.00102620527383013</v>
      </c>
      <c r="DW73" s="0" t="n">
        <f aca="false">IF((DT73-DS73)*(DU73-DT73)&lt;0,1,0)</f>
        <v>0</v>
      </c>
      <c r="DX73" s="0" t="n">
        <f aca="false">ABS(DV73)/(ABS(DV73)+ABS(DV74))</f>
        <v>0.587640601360475</v>
      </c>
      <c r="DY73" s="0" t="n">
        <f aca="false">DH73+DX73*(DH74-DH73)</f>
        <v>3.74123593374112E-005</v>
      </c>
    </row>
    <row r="74" customFormat="false" ht="12.75" hidden="false" customHeight="false" outlineLevel="0" collapsed="false">
      <c r="DB74" s="6"/>
      <c r="DE74" s="6"/>
      <c r="DH74" s="0" t="n">
        <f aca="false">DH73-$DI$6</f>
        <v>3.69999999394466E-005</v>
      </c>
      <c r="DI74" s="6" t="n">
        <f aca="false">$C$6+$C$7*DH74+$C$8*DH74^2+$C$9*DH74^3+$C$10*DH74^4+$C$11*DH74^5</f>
        <v>6.30000000605534</v>
      </c>
      <c r="DJ74" s="0" t="n">
        <f aca="false">DH74*DI74*1000</f>
        <v>0.233099999842561</v>
      </c>
      <c r="DK74" s="0" t="n">
        <f aca="false">MIN(MAX(0.2,$E$5*SQRT(DH74)*($C$4/DI74/1000)^0.75),5)</f>
        <v>0.2</v>
      </c>
      <c r="DL74" s="0" t="n">
        <f aca="false">$AH$42+($AI$42-$AH$42)*($DK74-$AH$41)/($AI$41-$AH$41)</f>
        <v>0.42</v>
      </c>
      <c r="DM74" s="0" t="n">
        <f aca="false">$AH$43+($AI$43-$AH$43)*($DK74-$AH$41)/($AI$41-$AH$41)</f>
        <v>0.69</v>
      </c>
      <c r="DN74" s="0" t="n">
        <f aca="false">$AH$44+($AI$44-$AH$44)*($DK74-$AH$41)/($AI$41-$AH$41)</f>
        <v>-0.11</v>
      </c>
      <c r="DO74" s="0" t="n">
        <f aca="false">$AH$45+($AI$45-$AH$45)*($DK74-$AH$41)/($AI$41-$AH$41)</f>
        <v>0</v>
      </c>
      <c r="DP74" s="0" t="n">
        <f aca="false">($DL74+$DM74*($DH73/$DH74)+$DN74*($DH73/$DH74)^2+$DO74*($DH73/$DH74)^3)</f>
        <v>1.01262235208181</v>
      </c>
      <c r="DQ74" s="0" t="n">
        <f aca="false">(DL74+DM74+DN74+DO74)</f>
        <v>1</v>
      </c>
      <c r="DR74" s="0" t="n">
        <f aca="false">($DL74+$DM74*($DH75/$DH74)+$DN74*($DH75/$DH74)^2+$DO74*($DH75/$DH74)^3)</f>
        <v>0.987216946676406</v>
      </c>
      <c r="DS74" s="0" t="n">
        <f aca="false">DJ73/DP74</f>
        <v>0.23266324248757</v>
      </c>
      <c r="DT74" s="0" t="n">
        <f aca="false">DJ74/DQ74</f>
        <v>0.233099999842561</v>
      </c>
      <c r="DU74" s="0" t="n">
        <f aca="false">DJ75/DR74</f>
        <v>0.233383351664195</v>
      </c>
      <c r="DV74" s="0" t="n">
        <f aca="false">DU74-DS74</f>
        <v>0.000720109176625322</v>
      </c>
      <c r="DW74" s="0" t="n">
        <f aca="false">IF((DT74-DS74)*(DU74-DT74)&lt;0,1,0)</f>
        <v>0</v>
      </c>
      <c r="DX74" s="0" t="n">
        <f aca="false">ABS(DV74)/(ABS(DV74)+ABS(DV75))</f>
        <v>0.634952968915575</v>
      </c>
      <c r="DY74" s="0" t="n">
        <f aca="false">DH74+DX74*(DH75-DH74)</f>
        <v>3.63650469715702E-005</v>
      </c>
    </row>
    <row r="75" customFormat="false" ht="12.75" hidden="false" customHeight="false" outlineLevel="0" collapsed="false">
      <c r="AA75" s="1" t="s">
        <v>212</v>
      </c>
      <c r="AB75" s="0" t="s">
        <v>213</v>
      </c>
      <c r="DB75" s="6"/>
      <c r="DE75" s="6"/>
      <c r="DH75" s="0" t="n">
        <f aca="false">DH74-$DI$6</f>
        <v>3.59999999410832E-005</v>
      </c>
      <c r="DI75" s="6" t="n">
        <f aca="false">$C$6+$C$7*DH75+$C$8*DH75^2+$C$9*DH75^3+$C$10*DH75^4+$C$11*DH75^5</f>
        <v>6.40000000589168</v>
      </c>
      <c r="DJ75" s="0" t="n">
        <f aca="false">DH75*DI75*1000</f>
        <v>0.230399999835033</v>
      </c>
      <c r="DK75" s="0" t="n">
        <f aca="false">MIN(MAX(0.2,$E$5*SQRT(DH75)*($C$4/DI75/1000)^0.75),5)</f>
        <v>0.2</v>
      </c>
      <c r="DL75" s="0" t="n">
        <f aca="false">$AH$42+($AI$42-$AH$42)*($DK75-$AH$41)/($AI$41-$AH$41)</f>
        <v>0.42</v>
      </c>
      <c r="DM75" s="0" t="n">
        <f aca="false">$AH$43+($AI$43-$AH$43)*($DK75-$AH$41)/($AI$41-$AH$41)</f>
        <v>0.69</v>
      </c>
      <c r="DN75" s="0" t="n">
        <f aca="false">$AH$44+($AI$44-$AH$44)*($DK75-$AH$41)/($AI$41-$AH$41)</f>
        <v>-0.11</v>
      </c>
      <c r="DO75" s="0" t="n">
        <f aca="false">$AH$45+($AI$45-$AH$45)*($DK75-$AH$41)/($AI$41-$AH$41)</f>
        <v>0</v>
      </c>
      <c r="DP75" s="0" t="n">
        <f aca="false">($DL75+$DM75*($DH74/$DH75)+$DN75*($DH74/$DH75)^2+$DO75*($DH74/$DH75)^3)</f>
        <v>1.01297067901235</v>
      </c>
      <c r="DQ75" s="0" t="n">
        <f aca="false">(DL75+DM75+DN75+DO75)</f>
        <v>1</v>
      </c>
      <c r="DR75" s="0" t="n">
        <f aca="false">($DL75+$DM75*($DH76/$DH75)+$DN75*($DH76/$DH75)^2+$DO75*($DH76/$DH75)^3)</f>
        <v>0.986859567901234</v>
      </c>
      <c r="DS75" s="0" t="n">
        <f aca="false">DJ74/DP75</f>
        <v>0.230115248814344</v>
      </c>
      <c r="DT75" s="0" t="n">
        <f aca="false">DJ75/DQ75</f>
        <v>0.230399999835033</v>
      </c>
      <c r="DU75" s="0" t="n">
        <f aca="false">DJ76/DR75</f>
        <v>0.230529253834956</v>
      </c>
      <c r="DV75" s="0" t="n">
        <f aca="false">DU75-DS75</f>
        <v>0.000414005020612285</v>
      </c>
      <c r="DW75" s="0" t="n">
        <f aca="false">IF((DT75-DS75)*(DU75-DT75)&lt;0,1,0)</f>
        <v>0</v>
      </c>
      <c r="DX75" s="0" t="n">
        <f aca="false">ABS(DV75)/(ABS(DV75)+ABS(DV76))</f>
        <v>0.793269751464449</v>
      </c>
      <c r="DY75" s="0" t="n">
        <f aca="false">DH75+DX75*(DH76-DH75)</f>
        <v>3.5206730190917E-005</v>
      </c>
    </row>
    <row r="76" customFormat="false" ht="12.75" hidden="false" customHeight="false" outlineLevel="0" collapsed="false">
      <c r="AB76" s="0" t="s">
        <v>214</v>
      </c>
      <c r="AC76" s="0" t="n">
        <f aca="false">BU252</f>
        <v>0.0166068339049352</v>
      </c>
      <c r="AD76" s="0" t="s">
        <v>148</v>
      </c>
      <c r="DB76" s="6"/>
      <c r="DE76" s="6"/>
      <c r="DH76" s="0" t="n">
        <f aca="false">DH75-$DI$6</f>
        <v>3.49999999427197E-005</v>
      </c>
      <c r="DI76" s="6" t="n">
        <f aca="false">$C$6+$C$7*DH76+$C$8*DH76^2+$C$9*DH76^3+$C$10*DH76^4+$C$11*DH76^5</f>
        <v>6.50000000572803</v>
      </c>
      <c r="DJ76" s="0" t="n">
        <f aca="false">DH76*DI76*1000</f>
        <v>0.227499999828159</v>
      </c>
      <c r="DK76" s="0" t="n">
        <f aca="false">MIN(MAX(0.2,$E$5*SQRT(DH76)*($C$4/DI76/1000)^0.75),5)</f>
        <v>0.2</v>
      </c>
      <c r="DL76" s="0" t="n">
        <f aca="false">$AH$42+($AI$42-$AH$42)*($DK76-$AH$41)/($AI$41-$AH$41)</f>
        <v>0.42</v>
      </c>
      <c r="DM76" s="0" t="n">
        <f aca="false">$AH$43+($AI$43-$AH$43)*($DK76-$AH$41)/($AI$41-$AH$41)</f>
        <v>0.69</v>
      </c>
      <c r="DN76" s="0" t="n">
        <f aca="false">$AH$44+($AI$44-$AH$44)*($DK76-$AH$41)/($AI$41-$AH$41)</f>
        <v>-0.11</v>
      </c>
      <c r="DO76" s="0" t="n">
        <f aca="false">$AH$45+($AI$45-$AH$45)*($DK76-$AH$41)/($AI$41-$AH$41)</f>
        <v>0</v>
      </c>
      <c r="DP76" s="0" t="n">
        <f aca="false">($DL76+$DM76*($DH75/$DH76)+$DN76*($DH75/$DH76)^2+$DO76*($DH75/$DH76)^3)</f>
        <v>1.0133387755102</v>
      </c>
      <c r="DQ76" s="0" t="n">
        <f aca="false">(DL76+DM76+DN76+DO76)</f>
        <v>1</v>
      </c>
      <c r="DR76" s="0" t="n">
        <f aca="false">($DL76+$DM76*($DH77/$DH76)+$DN76*($DH77/$DH76)^2+$DO76*($DH77/$DH76)^3)</f>
        <v>0.986481632653061</v>
      </c>
      <c r="DS76" s="0" t="n">
        <f aca="false">DJ75/DP76</f>
        <v>0.227367199798536</v>
      </c>
      <c r="DT76" s="0" t="n">
        <f aca="false">DJ76/DQ76</f>
        <v>0.227499999828159</v>
      </c>
      <c r="DU76" s="0" t="n">
        <f aca="false">DJ77/DR76</f>
        <v>0.227475091673461</v>
      </c>
      <c r="DV76" s="0" t="n">
        <f aca="false">DU76-DS76</f>
        <v>0.000107891874924188</v>
      </c>
      <c r="DW76" s="0" t="n">
        <f aca="false">IF((DT76-DS76)*(DU76-DT76)&lt;0,1,0)</f>
        <v>1</v>
      </c>
      <c r="DX76" s="0" t="n">
        <f aca="false">ABS(DV76)/(ABS(DV76)+ABS(DV77))</f>
        <v>0.352445921143046</v>
      </c>
      <c r="DY76" s="0" t="n">
        <f aca="false">DH76+DX76*(DH77-DH76)</f>
        <v>3.46475540221535E-005</v>
      </c>
    </row>
    <row r="77" customFormat="false" ht="12.75" hidden="false" customHeight="false" outlineLevel="0" collapsed="false">
      <c r="AB77" s="0" t="s">
        <v>215</v>
      </c>
      <c r="AC77" s="0" t="n">
        <f aca="false">BZ252</f>
        <v>2.7067175557692E-005</v>
      </c>
      <c r="AD77" s="0" t="s">
        <v>216</v>
      </c>
      <c r="DB77" s="6"/>
      <c r="DE77" s="6"/>
      <c r="DH77" s="0" t="n">
        <f aca="false">DH76-$DI$6</f>
        <v>3.39999999443563E-005</v>
      </c>
      <c r="DI77" s="6" t="n">
        <f aca="false">$C$6+$C$7*DH77+$C$8*DH77^2+$C$9*DH77^3+$C$10*DH77^4+$C$11*DH77^5</f>
        <v>6.60000000556437</v>
      </c>
      <c r="DJ77" s="0" t="n">
        <f aca="false">DH77*DI77*1000</f>
        <v>0.22439999982194</v>
      </c>
      <c r="DK77" s="0" t="n">
        <f aca="false">MIN(MAX(0.2,$E$5*SQRT(DH77)*($C$4/DI77/1000)^0.75),5)</f>
        <v>0.2</v>
      </c>
      <c r="DL77" s="0" t="n">
        <f aca="false">$AH$42+($AI$42-$AH$42)*($DK77-$AH$41)/($AI$41-$AH$41)</f>
        <v>0.42</v>
      </c>
      <c r="DM77" s="0" t="n">
        <f aca="false">$AH$43+($AI$43-$AH$43)*($DK77-$AH$41)/($AI$41-$AH$41)</f>
        <v>0.69</v>
      </c>
      <c r="DN77" s="0" t="n">
        <f aca="false">$AH$44+($AI$44-$AH$44)*($DK77-$AH$41)/($AI$41-$AH$41)</f>
        <v>-0.11</v>
      </c>
      <c r="DO77" s="0" t="n">
        <f aca="false">$AH$45+($AI$45-$AH$45)*($DK77-$AH$41)/($AI$41-$AH$41)</f>
        <v>0</v>
      </c>
      <c r="DP77" s="0" t="n">
        <f aca="false">($DL77+$DM77*($DH76/$DH77)+$DN77*($DH76/$DH77)^2+$DO77*($DH76/$DH77)^3)</f>
        <v>1.01372837370242</v>
      </c>
      <c r="DQ77" s="0" t="n">
        <f aca="false">(DL77+DM77+DN77+DO77)</f>
        <v>1</v>
      </c>
      <c r="DR77" s="0" t="n">
        <f aca="false">($DL77+$DM77*($DH78/$DH77)+$DN77*($DH78/$DH77)^2+$DO77*($DH78/$DH77)^3)</f>
        <v>0.986081314878893</v>
      </c>
      <c r="DS77" s="0" t="n">
        <f aca="false">DJ76/DP77</f>
        <v>0.224419090685274</v>
      </c>
      <c r="DT77" s="0" t="n">
        <f aca="false">DJ77/DQ77</f>
        <v>0.22439999982194</v>
      </c>
      <c r="DU77" s="0" t="n">
        <f aca="false">DJ78/DR77</f>
        <v>0.224220859355327</v>
      </c>
      <c r="DV77" s="0" t="n">
        <f aca="false">DU77-DS77</f>
        <v>-0.000198231329947285</v>
      </c>
      <c r="DW77" s="0" t="n">
        <f aca="false">IF((DT77-DS77)*(DU77-DT77)&lt;0,1,0)</f>
        <v>0</v>
      </c>
      <c r="DX77" s="0" t="n">
        <f aca="false">ABS(DV77)/(ABS(DV77)+ABS(DV78))</f>
        <v>0.282140808265104</v>
      </c>
      <c r="DY77" s="0" t="n">
        <f aca="false">DH77+DX77*(DH78-DH77)</f>
        <v>3.3717859136553E-005</v>
      </c>
    </row>
    <row r="78" customFormat="false" ht="12.75" hidden="false" customHeight="false" outlineLevel="0" collapsed="false">
      <c r="DB78" s="6"/>
      <c r="DE78" s="6"/>
      <c r="DH78" s="0" t="n">
        <f aca="false">DH77-$DI$6</f>
        <v>3.29999999459929E-005</v>
      </c>
      <c r="DI78" s="6" t="n">
        <f aca="false">$C$6+$C$7*DH78+$C$8*DH78^2+$C$9*DH78^3+$C$10*DH78^4+$C$11*DH78^5</f>
        <v>6.70000000540071</v>
      </c>
      <c r="DJ78" s="0" t="n">
        <f aca="false">DH78*DI78*1000</f>
        <v>0.221099999816376</v>
      </c>
      <c r="DK78" s="0" t="n">
        <f aca="false">MIN(MAX(0.2,$E$5*SQRT(DH78)*($C$4/DI78/1000)^0.75),5)</f>
        <v>0.2</v>
      </c>
      <c r="DL78" s="0" t="n">
        <f aca="false">$AH$42+($AI$42-$AH$42)*($DK78-$AH$41)/($AI$41-$AH$41)</f>
        <v>0.42</v>
      </c>
      <c r="DM78" s="0" t="n">
        <f aca="false">$AH$43+($AI$43-$AH$43)*($DK78-$AH$41)/($AI$41-$AH$41)</f>
        <v>0.69</v>
      </c>
      <c r="DN78" s="0" t="n">
        <f aca="false">$AH$44+($AI$44-$AH$44)*($DK78-$AH$41)/($AI$41-$AH$41)</f>
        <v>-0.11</v>
      </c>
      <c r="DO78" s="0" t="n">
        <f aca="false">$AH$45+($AI$45-$AH$45)*($DK78-$AH$41)/($AI$41-$AH$41)</f>
        <v>0</v>
      </c>
      <c r="DP78" s="0" t="n">
        <f aca="false">($DL78+$DM78*($DH77/$DH78)+$DN78*($DH77/$DH78)^2+$DO78*($DH77/$DH78)^3)</f>
        <v>1.01414141414141</v>
      </c>
      <c r="DQ78" s="0" t="n">
        <f aca="false">(DL78+DM78+DN78+DO78)</f>
        <v>1</v>
      </c>
      <c r="DR78" s="0" t="n">
        <f aca="false">($DL78+$DM78*($DH79/$DH78)+$DN78*($DH79/$DH78)^2+$DO78*($DH79/$DH78)^3)</f>
        <v>0.985656565656566</v>
      </c>
      <c r="DS78" s="0" t="n">
        <f aca="false">DJ77/DP78</f>
        <v>0.221270916159084</v>
      </c>
      <c r="DT78" s="0" t="n">
        <f aca="false">DJ78/DQ78</f>
        <v>0.221099999816376</v>
      </c>
      <c r="DU78" s="0" t="n">
        <f aca="false">DJ79/DR78</f>
        <v>0.220766550331371</v>
      </c>
      <c r="DV78" s="0" t="n">
        <f aca="false">DU78-DS78</f>
        <v>-0.000504365827713876</v>
      </c>
      <c r="DW78" s="0" t="n">
        <f aca="false">IF((DT78-DS78)*(DU78-DT78)&lt;0,1,0)</f>
        <v>0</v>
      </c>
      <c r="DX78" s="0" t="n">
        <f aca="false">ABS(DV78)/(ABS(DV78)+ABS(DV79))</f>
        <v>0.383583489863651</v>
      </c>
      <c r="DY78" s="0" t="n">
        <f aca="false">DH78+DX78*(DH79-DH78)</f>
        <v>3.2616416456757E-005</v>
      </c>
    </row>
    <row r="79" customFormat="false" ht="12.75" hidden="false" customHeight="false" outlineLevel="0" collapsed="false">
      <c r="AA79" s="1" t="s">
        <v>217</v>
      </c>
      <c r="AB79" s="0" t="s">
        <v>218</v>
      </c>
      <c r="AG79" s="0" t="s">
        <v>219</v>
      </c>
      <c r="DB79" s="6"/>
      <c r="DE79" s="6"/>
      <c r="DH79" s="0" t="n">
        <f aca="false">DH78-$DI$6</f>
        <v>3.19999999476295E-005</v>
      </c>
      <c r="DI79" s="6" t="n">
        <f aca="false">$C$6+$C$7*DH79+$C$8*DH79^2+$C$9*DH79^3+$C$10*DH79^4+$C$11*DH79^5</f>
        <v>6.80000000523705</v>
      </c>
      <c r="DJ79" s="0" t="n">
        <f aca="false">DH79*DI79*1000</f>
        <v>0.217599999811466</v>
      </c>
      <c r="DK79" s="0" t="n">
        <f aca="false">MIN(MAX(0.2,$E$5*SQRT(DH79)*($C$4/DI79/1000)^0.75),5)</f>
        <v>0.2</v>
      </c>
      <c r="DL79" s="0" t="n">
        <f aca="false">$AH$42+($AI$42-$AH$42)*($DK79-$AH$41)/($AI$41-$AH$41)</f>
        <v>0.42</v>
      </c>
      <c r="DM79" s="0" t="n">
        <f aca="false">$AH$43+($AI$43-$AH$43)*($DK79-$AH$41)/($AI$41-$AH$41)</f>
        <v>0.69</v>
      </c>
      <c r="DN79" s="0" t="n">
        <f aca="false">$AH$44+($AI$44-$AH$44)*($DK79-$AH$41)/($AI$41-$AH$41)</f>
        <v>-0.11</v>
      </c>
      <c r="DO79" s="0" t="n">
        <f aca="false">$AH$45+($AI$45-$AH$45)*($DK79-$AH$41)/($AI$41-$AH$41)</f>
        <v>0</v>
      </c>
      <c r="DP79" s="0" t="n">
        <f aca="false">($DL79+$DM79*($DH78/$DH79)+$DN79*($DH78/$DH79)^2+$DO79*($DH78/$DH79)^3)</f>
        <v>1.014580078125</v>
      </c>
      <c r="DQ79" s="0" t="n">
        <f aca="false">(DL79+DM79+DN79+DO79)</f>
        <v>1</v>
      </c>
      <c r="DR79" s="0" t="n">
        <f aca="false">($DL79+$DM79*($DH80/$DH79)+$DN79*($DH80/$DH79)^2+$DO79*($DH80/$DH79)^3)</f>
        <v>0.985205078125</v>
      </c>
      <c r="DS79" s="0" t="n">
        <f aca="false">DJ78/DP79</f>
        <v>0.217922670258794</v>
      </c>
      <c r="DT79" s="0" t="n">
        <f aca="false">DJ79/DQ79</f>
        <v>0.217599999811466</v>
      </c>
      <c r="DU79" s="0" t="n">
        <f aca="false">DJ80/DR79</f>
        <v>0.217112157211264</v>
      </c>
      <c r="DV79" s="0" t="n">
        <f aca="false">DU79-DS79</f>
        <v>-0.000810513047529576</v>
      </c>
      <c r="DW79" s="0" t="n">
        <f aca="false">IF((DT79-DS79)*(DU79-DT79)&lt;0,1,0)</f>
        <v>0</v>
      </c>
      <c r="DX79" s="0" t="n">
        <f aca="false">ABS(DV79)/(ABS(DV79)+ABS(DV80))</f>
        <v>0.420567777368873</v>
      </c>
      <c r="DY79" s="0" t="n">
        <f aca="false">DH79+DX79*(DH80-DH79)</f>
        <v>3.15794321709489E-005</v>
      </c>
    </row>
    <row r="80" customFormat="false" ht="12.75" hidden="false" customHeight="false" outlineLevel="0" collapsed="false">
      <c r="AB80" s="0" t="s">
        <v>220</v>
      </c>
      <c r="AC80" s="42" t="n">
        <f aca="false">AC76*C15/C39</f>
        <v>0.0166068339049352</v>
      </c>
      <c r="AD80" s="0" t="s">
        <v>105</v>
      </c>
      <c r="AH80" s="0" t="s">
        <v>221</v>
      </c>
      <c r="DB80" s="6"/>
      <c r="DE80" s="6"/>
      <c r="DH80" s="0" t="n">
        <f aca="false">DH79-$DI$6</f>
        <v>3.0999999949266E-005</v>
      </c>
      <c r="DI80" s="6" t="n">
        <f aca="false">$C$6+$C$7*DH80+$C$8*DH80^2+$C$9*DH80^3+$C$10*DH80^4+$C$11*DH80^5</f>
        <v>6.90000000507339</v>
      </c>
      <c r="DJ80" s="0" t="n">
        <f aca="false">DH80*DI80*1000</f>
        <v>0.213899999807211</v>
      </c>
      <c r="DK80" s="0" t="n">
        <f aca="false">MIN(MAX(0.2,$E$5*SQRT(DH80)*($C$4/DI80/1000)^0.75),5)</f>
        <v>0.2</v>
      </c>
      <c r="DL80" s="0" t="n">
        <f aca="false">$AH$42+($AI$42-$AH$42)*($DK80-$AH$41)/($AI$41-$AH$41)</f>
        <v>0.42</v>
      </c>
      <c r="DM80" s="0" t="n">
        <f aca="false">$AH$43+($AI$43-$AH$43)*($DK80-$AH$41)/($AI$41-$AH$41)</f>
        <v>0.69</v>
      </c>
      <c r="DN80" s="0" t="n">
        <f aca="false">$AH$44+($AI$44-$AH$44)*($DK80-$AH$41)/($AI$41-$AH$41)</f>
        <v>-0.11</v>
      </c>
      <c r="DO80" s="0" t="n">
        <f aca="false">$AH$45+($AI$45-$AH$45)*($DK80-$AH$41)/($AI$41-$AH$41)</f>
        <v>0</v>
      </c>
      <c r="DP80" s="0" t="n">
        <f aca="false">($DL80+$DM80*($DH79/$DH80)+$DN80*($DH79/$DH80)^2+$DO80*($DH79/$DH80)^3)</f>
        <v>1.01504682622268</v>
      </c>
      <c r="DQ80" s="0" t="n">
        <f aca="false">(DL80+DM80+DN80+DO80)</f>
        <v>1</v>
      </c>
      <c r="DR80" s="0" t="n">
        <f aca="false">($DL80+$DM80*($DH81/$DH80)+$DN80*($DH81/$DH80)^2+$DO80*($DH81/$DH80)^3)</f>
        <v>0.984724245577523</v>
      </c>
      <c r="DS80" s="0" t="n">
        <f aca="false">DJ79/DP80</f>
        <v>0.214374346276443</v>
      </c>
      <c r="DT80" s="0" t="n">
        <f aca="false">DJ80/DQ80</f>
        <v>0.213899999807211</v>
      </c>
      <c r="DU80" s="0" t="n">
        <f aca="false">DJ81/DR80</f>
        <v>0.213257671624049</v>
      </c>
      <c r="DV80" s="0" t="n">
        <f aca="false">DU80-DS80</f>
        <v>-0.00111667465239421</v>
      </c>
      <c r="DW80" s="0" t="n">
        <f aca="false">IF((DT80-DS80)*(DU80-DT80)&lt;0,1,0)</f>
        <v>0</v>
      </c>
      <c r="DX80" s="0" t="n">
        <f aca="false">ABS(DV80)/(ABS(DV80)+ABS(DV81))</f>
        <v>0.439717532940953</v>
      </c>
      <c r="DY80" s="0" t="n">
        <f aca="false">DH80+DX80*(DH81-DH80)</f>
        <v>3.05602824170447E-005</v>
      </c>
    </row>
    <row r="81" customFormat="false" ht="12.75" hidden="false" customHeight="false" outlineLevel="0" collapsed="false">
      <c r="AB81" s="0" t="s">
        <v>222</v>
      </c>
      <c r="AC81" s="42" t="n">
        <f aca="false">AC76*(C15-AC76*AC51)/C39-AC77*AC51-AC60*AC51^2</f>
        <v>0.00639311851767351</v>
      </c>
      <c r="AD81" s="0" t="s">
        <v>105</v>
      </c>
      <c r="AH81" s="0" t="s">
        <v>223</v>
      </c>
      <c r="DB81" s="6"/>
      <c r="DE81" s="6"/>
      <c r="DH81" s="0" t="n">
        <f aca="false">DH80-$DI$6</f>
        <v>2.99999999509026E-005</v>
      </c>
      <c r="DI81" s="6" t="n">
        <f aca="false">$C$6+$C$7*DH81+$C$8*DH81^2+$C$9*DH81^3+$C$10*DH81^4+$C$11*DH81^5</f>
        <v>7.00000000490974</v>
      </c>
      <c r="DJ81" s="0" t="n">
        <f aca="false">DH81*DI81*1000</f>
        <v>0.209999999803611</v>
      </c>
      <c r="DK81" s="0" t="n">
        <f aca="false">MIN(MAX(0.2,$E$5*SQRT(DH81)*($C$4/DI81/1000)^0.75),5)</f>
        <v>0.2</v>
      </c>
      <c r="DL81" s="0" t="n">
        <f aca="false">$AH$42+($AI$42-$AH$42)*($DK81-$AH$41)/($AI$41-$AH$41)</f>
        <v>0.42</v>
      </c>
      <c r="DM81" s="0" t="n">
        <f aca="false">$AH$43+($AI$43-$AH$43)*($DK81-$AH$41)/($AI$41-$AH$41)</f>
        <v>0.69</v>
      </c>
      <c r="DN81" s="0" t="n">
        <f aca="false">$AH$44+($AI$44-$AH$44)*($DK81-$AH$41)/($AI$41-$AH$41)</f>
        <v>-0.11</v>
      </c>
      <c r="DO81" s="0" t="n">
        <f aca="false">$AH$45+($AI$45-$AH$45)*($DK81-$AH$41)/($AI$41-$AH$41)</f>
        <v>0</v>
      </c>
      <c r="DP81" s="0" t="n">
        <f aca="false">($DL81+$DM81*($DH80/$DH81)+$DN81*($DH80/$DH81)^2+$DO81*($DH80/$DH81)^3)</f>
        <v>1.01554444444444</v>
      </c>
      <c r="DQ81" s="0" t="n">
        <f aca="false">(DL81+DM81+DN81+DO81)</f>
        <v>1</v>
      </c>
      <c r="DR81" s="0" t="n">
        <f aca="false">($DL81+$DM81*($DH82/$DH81)+$DN81*($DH82/$DH81)^2+$DO81*($DH82/$DH81)^3)</f>
        <v>0.984211111111111</v>
      </c>
      <c r="DS81" s="0" t="n">
        <f aca="false">DJ80/DP81</f>
        <v>0.210625936636604</v>
      </c>
      <c r="DT81" s="0" t="n">
        <f aca="false">DJ81/DQ81</f>
        <v>0.209999999803611</v>
      </c>
      <c r="DU81" s="0" t="n">
        <f aca="false">DJ82/DR81</f>
        <v>0.209203084049942</v>
      </c>
      <c r="DV81" s="0" t="n">
        <f aca="false">DU81-DS81</f>
        <v>-0.00142285258666214</v>
      </c>
      <c r="DW81" s="0" t="n">
        <f aca="false">IF((DT81-DS81)*(DU81-DT81)&lt;0,1,0)</f>
        <v>0</v>
      </c>
      <c r="DX81" s="0" t="n">
        <f aca="false">ABS(DV81)/(ABS(DV81)+ABS(DV82))</f>
        <v>0.451426697979305</v>
      </c>
      <c r="DY81" s="0" t="n">
        <f aca="false">DH81+DX81*(DH82-DH81)</f>
        <v>2.95485732536621E-005</v>
      </c>
    </row>
    <row r="82" customFormat="false" ht="12.75" hidden="false" customHeight="false" outlineLevel="0" collapsed="false">
      <c r="AB82" s="0" t="s">
        <v>224</v>
      </c>
      <c r="AC82" s="0" t="n">
        <f aca="false">(AC80+AC81)/2</f>
        <v>0.0114999762113044</v>
      </c>
      <c r="AD82" s="0" t="s">
        <v>105</v>
      </c>
      <c r="AH82" s="0" t="s">
        <v>225</v>
      </c>
      <c r="DB82" s="6"/>
      <c r="DE82" s="6"/>
      <c r="DH82" s="0" t="n">
        <f aca="false">DH81-$DI$6</f>
        <v>2.89999999525392E-005</v>
      </c>
      <c r="DI82" s="6" t="n">
        <f aca="false">$C$6+$C$7*DH82+$C$8*DH82^2+$C$9*DH82^3+$C$10*DH82^4+$C$11*DH82^5</f>
        <v>7.10000000474608</v>
      </c>
      <c r="DJ82" s="0" t="n">
        <f aca="false">DH82*DI82*1000</f>
        <v>0.205899999800665</v>
      </c>
      <c r="DK82" s="0" t="n">
        <f aca="false">MIN(MAX(0.2,$E$5*SQRT(DH82)*($C$4/DI82/1000)^0.75),5)</f>
        <v>0.2</v>
      </c>
      <c r="DL82" s="0" t="n">
        <f aca="false">$AH$42+($AI$42-$AH$42)*($DK82-$AH$41)/($AI$41-$AH$41)</f>
        <v>0.42</v>
      </c>
      <c r="DM82" s="0" t="n">
        <f aca="false">$AH$43+($AI$43-$AH$43)*($DK82-$AH$41)/($AI$41-$AH$41)</f>
        <v>0.69</v>
      </c>
      <c r="DN82" s="0" t="n">
        <f aca="false">$AH$44+($AI$44-$AH$44)*($DK82-$AH$41)/($AI$41-$AH$41)</f>
        <v>-0.11</v>
      </c>
      <c r="DO82" s="0" t="n">
        <f aca="false">$AH$45+($AI$45-$AH$45)*($DK82-$AH$41)/($AI$41-$AH$41)</f>
        <v>0</v>
      </c>
      <c r="DP82" s="0" t="n">
        <f aca="false">($DL82+$DM82*($DH81/$DH82)+$DN82*($DH81/$DH82)^2+$DO82*($DH81/$DH82)^3)</f>
        <v>1.01607609988109</v>
      </c>
      <c r="DQ82" s="0" t="n">
        <f aca="false">(DL82+DM82+DN82+DO82)</f>
        <v>1</v>
      </c>
      <c r="DR82" s="0" t="n">
        <f aca="false">($DL82+$DM82*($DH83/$DH82)+$DN82*($DH83/$DH82)^2+$DO82*($DH83/$DH82)^3)</f>
        <v>0.983662306777646</v>
      </c>
      <c r="DS82" s="0" t="n">
        <f aca="false">DJ81/DP82</f>
        <v>0.206677432751529</v>
      </c>
      <c r="DT82" s="0" t="n">
        <f aca="false">DJ82/DQ82</f>
        <v>0.205899999800665</v>
      </c>
      <c r="DU82" s="0" t="n">
        <f aca="false">DJ83/DR82</f>
        <v>0.204948383616314</v>
      </c>
      <c r="DV82" s="0" t="n">
        <f aca="false">DU82-DS82</f>
        <v>-0.00172904913521468</v>
      </c>
      <c r="DW82" s="0" t="n">
        <f aca="false">IF((DT82-DS82)*(DU82-DT82)&lt;0,1,0)</f>
        <v>0</v>
      </c>
      <c r="DX82" s="0" t="n">
        <f aca="false">ABS(DV82)/(ABS(DV82)+ABS(DV83))</f>
        <v>0.459326229299168</v>
      </c>
      <c r="DY82" s="0" t="n">
        <f aca="false">DH82+DX82*(DH83-DH82)</f>
        <v>2.85406737239918E-005</v>
      </c>
    </row>
    <row r="83" customFormat="false" ht="12.75" hidden="false" customHeight="false" outlineLevel="0" collapsed="false">
      <c r="AB83" s="0" t="s">
        <v>226</v>
      </c>
      <c r="AC83" s="0" t="n">
        <f aca="false">AC82*C23/AC51</f>
        <v>0.000549083417840489</v>
      </c>
      <c r="AD83" s="0" t="s">
        <v>158</v>
      </c>
      <c r="DB83" s="6"/>
      <c r="DE83" s="6"/>
      <c r="DH83" s="0" t="n">
        <f aca="false">DH82-$DI$6</f>
        <v>2.79999999541758E-005</v>
      </c>
      <c r="DI83" s="6" t="n">
        <f aca="false">$C$6+$C$7*DH83+$C$8*DH83^2+$C$9*DH83^3+$C$10*DH83^4+$C$11*DH83^5</f>
        <v>7.20000000458242</v>
      </c>
      <c r="DJ83" s="0" t="n">
        <f aca="false">DH83*DI83*1000</f>
        <v>0.201599999798373</v>
      </c>
      <c r="DK83" s="0" t="n">
        <f aca="false">MIN(MAX(0.2,$E$5*SQRT(DH83)*($C$4/DI83/1000)^0.75),5)</f>
        <v>0.2</v>
      </c>
      <c r="DL83" s="0" t="n">
        <f aca="false">$AH$42+($AI$42-$AH$42)*($DK83-$AH$41)/($AI$41-$AH$41)</f>
        <v>0.42</v>
      </c>
      <c r="DM83" s="0" t="n">
        <f aca="false">$AH$43+($AI$43-$AH$43)*($DK83-$AH$41)/($AI$41-$AH$41)</f>
        <v>0.69</v>
      </c>
      <c r="DN83" s="0" t="n">
        <f aca="false">$AH$44+($AI$44-$AH$44)*($DK83-$AH$41)/($AI$41-$AH$41)</f>
        <v>-0.11</v>
      </c>
      <c r="DO83" s="0" t="n">
        <f aca="false">$AH$45+($AI$45-$AH$45)*($DK83-$AH$41)/($AI$41-$AH$41)</f>
        <v>0</v>
      </c>
      <c r="DP83" s="0" t="n">
        <f aca="false">($DL83+$DM83*($DH82/$DH83)+$DN83*($DH82/$DH83)^2+$DO83*($DH82/$DH83)^3)</f>
        <v>1.01664540816327</v>
      </c>
      <c r="DQ83" s="0" t="n">
        <f aca="false">(DL83+DM83+DN83+DO83)</f>
        <v>1</v>
      </c>
      <c r="DR83" s="0" t="n">
        <f aca="false">($DL83+$DM83*($DH84/$DH83)+$DN83*($DH84/$DH83)^2+$DO83*($DH84/$DH83)^3)</f>
        <v>0.983073979591837</v>
      </c>
      <c r="DS83" s="0" t="n">
        <f aca="false">DJ82/DP83</f>
        <v>0.202528824846272</v>
      </c>
      <c r="DT83" s="0" t="n">
        <f aca="false">DJ83/DQ83</f>
        <v>0.201599999798373</v>
      </c>
      <c r="DU83" s="0" t="n">
        <f aca="false">DJ84/DR83</f>
        <v>0.200493557848587</v>
      </c>
      <c r="DV83" s="0" t="n">
        <f aca="false">DU83-DS83</f>
        <v>-0.00203526699768466</v>
      </c>
      <c r="DW83" s="0" t="n">
        <f aca="false">IF((DT83-DS83)*(DU83-DT83)&lt;0,1,0)</f>
        <v>0</v>
      </c>
      <c r="DX83" s="0" t="n">
        <f aca="false">ABS(DV83)/(ABS(DV83)+ABS(DV84))</f>
        <v>0.465015075250812</v>
      </c>
      <c r="DY83" s="0" t="n">
        <f aca="false">DH83+DX83*(DH84-DH83)</f>
        <v>2.7534984879686E-005</v>
      </c>
    </row>
    <row r="84" customFormat="false" ht="12.75" hidden="false" customHeight="false" outlineLevel="0" collapsed="false">
      <c r="DB84" s="6"/>
      <c r="DE84" s="6"/>
      <c r="DH84" s="0" t="n">
        <f aca="false">DH83-$DI$6</f>
        <v>2.69999999558124E-005</v>
      </c>
      <c r="DI84" s="6" t="n">
        <f aca="false">$C$6+$C$7*DH84+$C$8*DH84^2+$C$9*DH84^3+$C$10*DH84^4+$C$11*DH84^5</f>
        <v>7.30000000441876</v>
      </c>
      <c r="DJ84" s="0" t="n">
        <f aca="false">DH84*DI84*1000</f>
        <v>0.197099999796737</v>
      </c>
      <c r="DK84" s="0" t="n">
        <f aca="false">MIN(MAX(0.2,$E$5*SQRT(DH84)*($C$4/DI84/1000)^0.75),5)</f>
        <v>0.2</v>
      </c>
      <c r="DL84" s="0" t="n">
        <f aca="false">$AH$42+($AI$42-$AH$42)*($DK84-$AH$41)/($AI$41-$AH$41)</f>
        <v>0.42</v>
      </c>
      <c r="DM84" s="0" t="n">
        <f aca="false">$AH$43+($AI$43-$AH$43)*($DK84-$AH$41)/($AI$41-$AH$41)</f>
        <v>0.69</v>
      </c>
      <c r="DN84" s="0" t="n">
        <f aca="false">$AH$44+($AI$44-$AH$44)*($DK84-$AH$41)/($AI$41-$AH$41)</f>
        <v>-0.11</v>
      </c>
      <c r="DO84" s="0" t="n">
        <f aca="false">$AH$45+($AI$45-$AH$45)*($DK84-$AH$41)/($AI$41-$AH$41)</f>
        <v>0</v>
      </c>
      <c r="DP84" s="0" t="n">
        <f aca="false">($DL84+$DM84*($DH83/$DH84)+$DN84*($DH83/$DH84)^2+$DO84*($DH83/$DH84)^3)</f>
        <v>1.01725651577503</v>
      </c>
      <c r="DQ84" s="0" t="n">
        <f aca="false">(DL84+DM84+DN84+DO84)</f>
        <v>1</v>
      </c>
      <c r="DR84" s="0" t="n">
        <f aca="false">($DL84+$DM84*($DH85/$DH84)+$DN84*($DH85/$DH84)^2+$DO84*($DH85/$DH84)^3)</f>
        <v>0.982441700960219</v>
      </c>
      <c r="DS84" s="0" t="n">
        <f aca="false">DJ83/DP84</f>
        <v>0.198180101746291</v>
      </c>
      <c r="DT84" s="0" t="n">
        <f aca="false">DJ84/DQ84</f>
        <v>0.197099999796737</v>
      </c>
      <c r="DU84" s="0" t="n">
        <f aca="false">DJ85/DR84</f>
        <v>0.195838592364012</v>
      </c>
      <c r="DV84" s="0" t="n">
        <f aca="false">DU84-DS84</f>
        <v>-0.00234150938227876</v>
      </c>
      <c r="DW84" s="0" t="n">
        <f aca="false">IF((DT84-DS84)*(DU84-DT84)&lt;0,1,0)</f>
        <v>0</v>
      </c>
      <c r="DX84" s="0" t="n">
        <f aca="false">ABS(DV84)/(ABS(DV84)+ABS(DV85))</f>
        <v>0.469307178647691</v>
      </c>
      <c r="DY84" s="0" t="n">
        <f aca="false">DH84+DX84*(DH85-DH84)</f>
        <v>2.65306927779327E-005</v>
      </c>
    </row>
    <row r="85" customFormat="false" ht="12.75" hidden="false" customHeight="false" outlineLevel="0" collapsed="false">
      <c r="AA85" s="1" t="s">
        <v>227</v>
      </c>
      <c r="AB85" s="0" t="s">
        <v>228</v>
      </c>
      <c r="AI85" s="42"/>
      <c r="DB85" s="6"/>
      <c r="DE85" s="6"/>
      <c r="DH85" s="0" t="n">
        <f aca="false">DH84-$DI$6</f>
        <v>2.59999999574489E-005</v>
      </c>
      <c r="DI85" s="6" t="n">
        <f aca="false">$C$6+$C$7*DH85+$C$8*DH85^2+$C$9*DH85^3+$C$10*DH85^4+$C$11*DH85^5</f>
        <v>7.40000000425511</v>
      </c>
      <c r="DJ85" s="0" t="n">
        <f aca="false">DH85*DI85*1000</f>
        <v>0.192399999795755</v>
      </c>
      <c r="DK85" s="0" t="n">
        <f aca="false">MIN(MAX(0.2,$E$5*SQRT(DH85)*($C$4/DI85/1000)^0.75),5)</f>
        <v>0.2</v>
      </c>
      <c r="DL85" s="0" t="n">
        <f aca="false">$AH$42+($AI$42-$AH$42)*($DK85-$AH$41)/($AI$41-$AH$41)</f>
        <v>0.42</v>
      </c>
      <c r="DM85" s="0" t="n">
        <f aca="false">$AH$43+($AI$43-$AH$43)*($DK85-$AH$41)/($AI$41-$AH$41)</f>
        <v>0.69</v>
      </c>
      <c r="DN85" s="0" t="n">
        <f aca="false">$AH$44+($AI$44-$AH$44)*($DK85-$AH$41)/($AI$41-$AH$41)</f>
        <v>-0.11</v>
      </c>
      <c r="DO85" s="0" t="n">
        <f aca="false">$AH$45+($AI$45-$AH$45)*($DK85-$AH$41)/($AI$41-$AH$41)</f>
        <v>0</v>
      </c>
      <c r="DP85" s="0" t="n">
        <f aca="false">($DL85+$DM85*($DH84/$DH85)+$DN85*($DH84/$DH85)^2+$DO85*($DH84/$DH85)^3)</f>
        <v>1.01791420118343</v>
      </c>
      <c r="DQ85" s="0" t="n">
        <f aca="false">(DL85+DM85+DN85+DO85)</f>
        <v>1</v>
      </c>
      <c r="DR85" s="0" t="n">
        <f aca="false">($DL85+$DM85*($DH86/$DH85)+$DN85*($DH86/$DH85)^2+$DO85*($DH86/$DH85)^3)</f>
        <v>0.981760355029586</v>
      </c>
      <c r="DS85" s="0" t="n">
        <f aca="false">DJ84/DP85</f>
        <v>0.193631250617771</v>
      </c>
      <c r="DT85" s="0" t="n">
        <f aca="false">DJ85/DQ85</f>
        <v>0.192399999795755</v>
      </c>
      <c r="DU85" s="0" t="n">
        <f aca="false">DJ86/DR85</f>
        <v>0.190983470492427</v>
      </c>
      <c r="DV85" s="0" t="n">
        <f aca="false">DU85-DS85</f>
        <v>-0.00264778012534356</v>
      </c>
      <c r="DW85" s="0" t="n">
        <f aca="false">IF((DT85-DS85)*(DU85-DT85)&lt;0,1,0)</f>
        <v>0</v>
      </c>
      <c r="DX85" s="0" t="n">
        <f aca="false">ABS(DV85)/(ABS(DV85)+ABS(DV86))</f>
        <v>0.472660553580458</v>
      </c>
      <c r="DY85" s="0" t="n">
        <f aca="false">DH85+DX85*(DH86-DH85)</f>
        <v>2.5527339404642E-005</v>
      </c>
    </row>
    <row r="86" customFormat="false" ht="12.75" hidden="false" customHeight="false" outlineLevel="0" collapsed="false">
      <c r="AB86" s="0" t="s">
        <v>229</v>
      </c>
      <c r="AC86" s="0" t="n">
        <f aca="false">MIN(AC51,$AU$3*PI()/30)</f>
        <v>104.71975511966</v>
      </c>
      <c r="AD86" s="0" t="s">
        <v>58</v>
      </c>
      <c r="AI86" s="42"/>
      <c r="DB86" s="6"/>
      <c r="DE86" s="6"/>
      <c r="DH86" s="0" t="n">
        <f aca="false">DH85-$DI$6</f>
        <v>2.49999999590855E-005</v>
      </c>
      <c r="DI86" s="6" t="n">
        <f aca="false">$C$6+$C$7*DH86+$C$8*DH86^2+$C$9*DH86^3+$C$10*DH86^4+$C$11*DH86^5</f>
        <v>7.50000000409145</v>
      </c>
      <c r="DJ86" s="0" t="n">
        <f aca="false">DH86*DI86*1000</f>
        <v>0.187499999795428</v>
      </c>
      <c r="DK86" s="0" t="n">
        <f aca="false">MIN(MAX(0.2,$E$5*SQRT(DH86)*($C$4/DI86/1000)^0.75),5)</f>
        <v>0.2</v>
      </c>
      <c r="DL86" s="0" t="n">
        <f aca="false">$AH$42+($AI$42-$AH$42)*($DK86-$AH$41)/($AI$41-$AH$41)</f>
        <v>0.42</v>
      </c>
      <c r="DM86" s="0" t="n">
        <f aca="false">$AH$43+($AI$43-$AH$43)*($DK86-$AH$41)/($AI$41-$AH$41)</f>
        <v>0.69</v>
      </c>
      <c r="DN86" s="0" t="n">
        <f aca="false">$AH$44+($AI$44-$AH$44)*($DK86-$AH$41)/($AI$41-$AH$41)</f>
        <v>-0.11</v>
      </c>
      <c r="DO86" s="0" t="n">
        <f aca="false">$AH$45+($AI$45-$AH$45)*($DK86-$AH$41)/($AI$41-$AH$41)</f>
        <v>0</v>
      </c>
      <c r="DP86" s="0" t="n">
        <f aca="false">($DL86+$DM86*($DH85/$DH86)+$DN86*($DH85/$DH86)^2+$DO86*($DH85/$DH86)^3)</f>
        <v>1.018624</v>
      </c>
      <c r="DQ86" s="0" t="n">
        <f aca="false">(DL86+DM86+DN86+DO86)</f>
        <v>1</v>
      </c>
      <c r="DR86" s="0" t="n">
        <f aca="false">($DL86+$DM86*($DH87/$DH86)+$DN86*($DH87/$DH86)^2+$DO86*($DH87/$DH86)^3)</f>
        <v>0.981024</v>
      </c>
      <c r="DS86" s="0" t="n">
        <f aca="false">DJ85/DP86</f>
        <v>0.188882256647944</v>
      </c>
      <c r="DT86" s="0" t="n">
        <f aca="false">DJ86/DQ86</f>
        <v>0.187499999795428</v>
      </c>
      <c r="DU86" s="0" t="n">
        <f aca="false">DJ87/DR86</f>
        <v>0.185928172802862</v>
      </c>
      <c r="DV86" s="0" t="n">
        <f aca="false">DU86-DS86</f>
        <v>-0.00295408384508156</v>
      </c>
      <c r="DW86" s="0" t="n">
        <f aca="false">IF((DT86-DS86)*(DU86-DT86)&lt;0,1,0)</f>
        <v>0</v>
      </c>
      <c r="DX86" s="0" t="n">
        <f aca="false">ABS(DV86)/(ABS(DV86)+ABS(DV87))</f>
        <v>0.47535265880618</v>
      </c>
      <c r="DY86" s="0" t="n">
        <f aca="false">DH86+DX86*(DH87-DH86)</f>
        <v>2.45246473010573E-005</v>
      </c>
    </row>
    <row r="87" customFormat="false" ht="12.75" hidden="false" customHeight="false" outlineLevel="0" collapsed="false">
      <c r="AB87" s="0" t="s">
        <v>230</v>
      </c>
      <c r="AC87" s="0" t="n">
        <f aca="false">MIN(AR3,C15)</f>
        <v>3.09125851935632</v>
      </c>
      <c r="AD87" s="0" t="s">
        <v>95</v>
      </c>
      <c r="DB87" s="6"/>
      <c r="DE87" s="6"/>
      <c r="DH87" s="0" t="n">
        <f aca="false">DH86-$DI$6</f>
        <v>2.39999999607221E-005</v>
      </c>
      <c r="DI87" s="6" t="n">
        <f aca="false">$C$6+$C$7*DH87+$C$8*DH87^2+$C$9*DH87^3+$C$10*DH87^4+$C$11*DH87^5</f>
        <v>7.60000000392779</v>
      </c>
      <c r="DJ87" s="0" t="n">
        <f aca="false">DH87*DI87*1000</f>
        <v>0.182399999795755</v>
      </c>
      <c r="DK87" s="0" t="n">
        <f aca="false">MIN(MAX(0.2,$E$5*SQRT(DH87)*($C$4/DI87/1000)^0.75),5)</f>
        <v>0.2</v>
      </c>
      <c r="DL87" s="0" t="n">
        <f aca="false">$AH$42+($AI$42-$AH$42)*($DK87-$AH$41)/($AI$41-$AH$41)</f>
        <v>0.42</v>
      </c>
      <c r="DM87" s="0" t="n">
        <f aca="false">$AH$43+($AI$43-$AH$43)*($DK87-$AH$41)/($AI$41-$AH$41)</f>
        <v>0.69</v>
      </c>
      <c r="DN87" s="0" t="n">
        <f aca="false">$AH$44+($AI$44-$AH$44)*($DK87-$AH$41)/($AI$41-$AH$41)</f>
        <v>-0.11</v>
      </c>
      <c r="DO87" s="0" t="n">
        <f aca="false">$AH$45+($AI$45-$AH$45)*($DK87-$AH$41)/($AI$41-$AH$41)</f>
        <v>0</v>
      </c>
      <c r="DP87" s="0" t="n">
        <f aca="false">($DL87+$DM87*($DH86/$DH87)+$DN87*($DH86/$DH87)^2+$DO87*($DH86/$DH87)^3)</f>
        <v>1.01939236111111</v>
      </c>
      <c r="DQ87" s="0" t="n">
        <f aca="false">(DL87+DM87+DN87+DO87)</f>
        <v>1</v>
      </c>
      <c r="DR87" s="0" t="n">
        <f aca="false">($DL87+$DM87*($DH88/$DH87)+$DN87*($DH88/$DH87)^2+$DO87*($DH88/$DH87)^3)</f>
        <v>0.980225694444444</v>
      </c>
      <c r="DS87" s="0" t="n">
        <f aca="false">DJ86/DP87</f>
        <v>0.183933102648579</v>
      </c>
      <c r="DT87" s="0" t="n">
        <f aca="false">DJ87/DQ87</f>
        <v>0.182399999795755</v>
      </c>
      <c r="DU87" s="0" t="n">
        <f aca="false">DJ88/DR87</f>
        <v>0.180672676507537</v>
      </c>
      <c r="DV87" s="0" t="n">
        <f aca="false">DU87-DS87</f>
        <v>-0.00326042614104235</v>
      </c>
      <c r="DW87" s="0" t="n">
        <f aca="false">IF((DT87-DS87)*(DU87-DT87)&lt;0,1,0)</f>
        <v>0</v>
      </c>
      <c r="DX87" s="0" t="n">
        <f aca="false">ABS(DV87)/(ABS(DV87)+ABS(DV88))</f>
        <v>0.47756137804076</v>
      </c>
      <c r="DY87" s="0" t="n">
        <f aca="false">DH87+DX87*(DH88-DH87)</f>
        <v>2.35224385834629E-005</v>
      </c>
    </row>
    <row r="88" customFormat="false" ht="12.75" hidden="false" customHeight="false" outlineLevel="0" collapsed="false">
      <c r="AB88" s="0" t="s">
        <v>231</v>
      </c>
      <c r="AC88" s="6" t="n">
        <f aca="false">C30+AC87*(AC87-AC76*AC86)/C39</f>
        <v>2.49666402110292</v>
      </c>
      <c r="AD88" s="0" t="s">
        <v>110</v>
      </c>
      <c r="DB88" s="6"/>
      <c r="DE88" s="6"/>
      <c r="DH88" s="0" t="n">
        <f aca="false">DH87-$DI$6</f>
        <v>2.29999999623587E-005</v>
      </c>
      <c r="DI88" s="6" t="n">
        <f aca="false">$C$6+$C$7*DH88+$C$8*DH88^2+$C$9*DH88^3+$C$10*DH88^4+$C$11*DH88^5</f>
        <v>7.70000000376413</v>
      </c>
      <c r="DJ88" s="0" t="n">
        <f aca="false">DH88*DI88*1000</f>
        <v>0.177099999796737</v>
      </c>
      <c r="DK88" s="0" t="n">
        <f aca="false">MIN(MAX(0.2,$E$5*SQRT(DH88)*($C$4/DI88/1000)^0.75),5)</f>
        <v>0.2</v>
      </c>
      <c r="DL88" s="0" t="n">
        <f aca="false">$AH$42+($AI$42-$AH$42)*($DK88-$AH$41)/($AI$41-$AH$41)</f>
        <v>0.42</v>
      </c>
      <c r="DM88" s="0" t="n">
        <f aca="false">$AH$43+($AI$43-$AH$43)*($DK88-$AH$41)/($AI$41-$AH$41)</f>
        <v>0.69</v>
      </c>
      <c r="DN88" s="0" t="n">
        <f aca="false">$AH$44+($AI$44-$AH$44)*($DK88-$AH$41)/($AI$41-$AH$41)</f>
        <v>-0.11</v>
      </c>
      <c r="DO88" s="0" t="n">
        <f aca="false">$AH$45+($AI$45-$AH$45)*($DK88-$AH$41)/($AI$41-$AH$41)</f>
        <v>0</v>
      </c>
      <c r="DP88" s="0" t="n">
        <f aca="false">($DL88+$DM88*($DH87/$DH88)+$DN88*($DH87/$DH88)^2+$DO88*($DH87/$DH88)^3)</f>
        <v>1.02022684310019</v>
      </c>
      <c r="DQ88" s="0" t="n">
        <f aca="false">(DL88+DM88+DN88+DO88)</f>
        <v>1</v>
      </c>
      <c r="DR88" s="0" t="n">
        <f aca="false">($DL88+$DM88*($DH89/$DH88)+$DN88*($DH89/$DH88)^2+$DO88*($DH89/$DH88)^3)</f>
        <v>0.979357277882798</v>
      </c>
      <c r="DS88" s="0" t="n">
        <f aca="false">DJ87/DP88</f>
        <v>0.178783768560227</v>
      </c>
      <c r="DT88" s="0" t="n">
        <f aca="false">DJ88/DQ88</f>
        <v>0.177099999796737</v>
      </c>
      <c r="DU88" s="0" t="n">
        <f aca="false">DJ89/DR88</f>
        <v>0.175216954704562</v>
      </c>
      <c r="DV88" s="0" t="n">
        <f aca="false">DU88-DS88</f>
        <v>-0.00356681385566457</v>
      </c>
      <c r="DW88" s="0" t="n">
        <f aca="false">IF((DT88-DS88)*(DU88-DT88)&lt;0,1,0)</f>
        <v>0</v>
      </c>
      <c r="DX88" s="0" t="n">
        <f aca="false">ABS(DV88)/(ABS(DV88)+ABS(DV89))</f>
        <v>0.47940600054217</v>
      </c>
      <c r="DY88" s="0" t="n">
        <f aca="false">DH88+DX88*(DH89-DH88)</f>
        <v>2.25205939626011E-005</v>
      </c>
    </row>
    <row r="89" customFormat="false" ht="12.75" hidden="false" customHeight="false" outlineLevel="0" collapsed="false">
      <c r="AB89" s="0" t="s">
        <v>232</v>
      </c>
      <c r="AC89" s="0" t="n">
        <f aca="false">AC88/C15</f>
        <v>0.41611067018382</v>
      </c>
      <c r="AD89" s="0" t="s">
        <v>98</v>
      </c>
      <c r="DB89" s="6"/>
      <c r="DE89" s="6"/>
      <c r="DH89" s="0" t="n">
        <f aca="false">DH88-$DI$6</f>
        <v>2.19999999639953E-005</v>
      </c>
      <c r="DI89" s="6" t="n">
        <f aca="false">$C$6+$C$7*DH89+$C$8*DH89^2+$C$9*DH89^3+$C$10*DH89^4+$C$11*DH89^5</f>
        <v>7.80000000360047</v>
      </c>
      <c r="DJ89" s="0" t="n">
        <f aca="false">DH89*DI89*1000</f>
        <v>0.171599999798373</v>
      </c>
      <c r="DK89" s="0" t="n">
        <f aca="false">MIN(MAX(0.2,$E$5*SQRT(DH89)*($C$4/DI89/1000)^0.75),5)</f>
        <v>0.2</v>
      </c>
      <c r="DL89" s="0" t="n">
        <f aca="false">$AH$42+($AI$42-$AH$42)*($DK89-$AH$41)/($AI$41-$AH$41)</f>
        <v>0.42</v>
      </c>
      <c r="DM89" s="0" t="n">
        <f aca="false">$AH$43+($AI$43-$AH$43)*($DK89-$AH$41)/($AI$41-$AH$41)</f>
        <v>0.69</v>
      </c>
      <c r="DN89" s="0" t="n">
        <f aca="false">$AH$44+($AI$44-$AH$44)*($DK89-$AH$41)/($AI$41-$AH$41)</f>
        <v>-0.11</v>
      </c>
      <c r="DO89" s="0" t="n">
        <f aca="false">$AH$45+($AI$45-$AH$45)*($DK89-$AH$41)/($AI$41-$AH$41)</f>
        <v>0</v>
      </c>
      <c r="DP89" s="0" t="n">
        <f aca="false">($DL89+$DM89*($DH88/$DH89)+$DN89*($DH88/$DH89)^2+$DO89*($DH88/$DH89)^3)</f>
        <v>1.02113636363636</v>
      </c>
      <c r="DQ89" s="0" t="n">
        <f aca="false">(DL89+DM89+DN89+DO89)</f>
        <v>1</v>
      </c>
      <c r="DR89" s="0" t="n">
        <f aca="false">($DL89+$DM89*($DH90/$DH89)+$DN89*($DH90/$DH89)^2+$DO89*($DH90/$DH89)^3)</f>
        <v>0.978409090909091</v>
      </c>
      <c r="DS89" s="0" t="n">
        <f aca="false">DJ88/DP89</f>
        <v>0.173434230826985</v>
      </c>
      <c r="DT89" s="0" t="n">
        <f aca="false">DJ89/DQ89</f>
        <v>0.171599999798374</v>
      </c>
      <c r="DU89" s="0" t="n">
        <f aca="false">DJ90/DR89</f>
        <v>0.169560975406022</v>
      </c>
      <c r="DV89" s="0" t="n">
        <f aca="false">DU89-DS89</f>
        <v>-0.00387325542096273</v>
      </c>
      <c r="DW89" s="0" t="n">
        <f aca="false">IF((DT89-DS89)*(DU89-DT89)&lt;0,1,0)</f>
        <v>0</v>
      </c>
      <c r="DX89" s="0" t="n">
        <f aca="false">ABS(DV89)/(ABS(DV89)+ABS(DV90))</f>
        <v>0.480969497993602</v>
      </c>
      <c r="DY89" s="0" t="n">
        <f aca="false">DH89+DX89*(DH90-DH89)</f>
        <v>2.15190304667888E-005</v>
      </c>
    </row>
    <row r="90" customFormat="false" ht="12.75" hidden="false" customHeight="false" outlineLevel="0" collapsed="false">
      <c r="DB90" s="6"/>
      <c r="DE90" s="6"/>
      <c r="DH90" s="0" t="n">
        <f aca="false">DH89-$DI$6</f>
        <v>2.09999999656318E-005</v>
      </c>
      <c r="DI90" s="6" t="n">
        <f aca="false">$C$6+$C$7*DH90+$C$8*DH90^2+$C$9*DH90^3+$C$10*DH90^4+$C$11*DH90^5</f>
        <v>7.90000000343682</v>
      </c>
      <c r="DJ90" s="0" t="n">
        <f aca="false">DH90*DI90*1000</f>
        <v>0.165899999800665</v>
      </c>
      <c r="DK90" s="0" t="n">
        <f aca="false">MIN(MAX(0.2,$E$5*SQRT(DH90)*($C$4/DI90/1000)^0.75),5)</f>
        <v>0.2</v>
      </c>
      <c r="DL90" s="0" t="n">
        <f aca="false">$AH$42+($AI$42-$AH$42)*($DK90-$AH$41)/($AI$41-$AH$41)</f>
        <v>0.42</v>
      </c>
      <c r="DM90" s="0" t="n">
        <f aca="false">$AH$43+($AI$43-$AH$43)*($DK90-$AH$41)/($AI$41-$AH$41)</f>
        <v>0.69</v>
      </c>
      <c r="DN90" s="0" t="n">
        <f aca="false">$AH$44+($AI$44-$AH$44)*($DK90-$AH$41)/($AI$41-$AH$41)</f>
        <v>-0.11</v>
      </c>
      <c r="DO90" s="0" t="n">
        <f aca="false">$AH$45+($AI$45-$AH$45)*($DK90-$AH$41)/($AI$41-$AH$41)</f>
        <v>0</v>
      </c>
      <c r="DP90" s="0" t="n">
        <f aca="false">($DL90+$DM90*($DH89/$DH90)+$DN90*($DH89/$DH90)^2+$DO90*($DH89/$DH90)^3)</f>
        <v>1.02213151927438</v>
      </c>
      <c r="DQ90" s="0" t="n">
        <f aca="false">(DL90+DM90+DN90+DO90)</f>
        <v>1</v>
      </c>
      <c r="DR90" s="0" t="n">
        <f aca="false">($DL90+$DM90*($DH91/$DH90)+$DN90*($DH91/$DH90)^2+$DO90*($DH91/$DH90)^3)</f>
        <v>0.977369614512472</v>
      </c>
      <c r="DS90" s="0" t="n">
        <f aca="false">DJ89/DP90</f>
        <v>0.167884461600592</v>
      </c>
      <c r="DT90" s="0" t="n">
        <f aca="false">DJ90/DQ90</f>
        <v>0.165899999800665</v>
      </c>
      <c r="DU90" s="0" t="n">
        <f aca="false">DJ91/DR90</f>
        <v>0.163704700276999</v>
      </c>
      <c r="DV90" s="0" t="n">
        <f aca="false">DU90-DS90</f>
        <v>-0.00417976132359235</v>
      </c>
      <c r="DW90" s="0" t="n">
        <f aca="false">IF((DT90-DS90)*(DU90-DT90)&lt;0,1,0)</f>
        <v>0</v>
      </c>
      <c r="DX90" s="0" t="n">
        <f aca="false">ABS(DV90)/(ABS(DV90)+ABS(DV91))</f>
        <v>0.482311351191343</v>
      </c>
      <c r="DY90" s="0" t="n">
        <f aca="false">DH90+DX90*(DH91-DH90)</f>
        <v>2.05176886152298E-005</v>
      </c>
    </row>
    <row r="91" customFormat="false" ht="12.75" hidden="false" customHeight="false" outlineLevel="0" collapsed="false">
      <c r="DB91" s="6"/>
      <c r="DE91" s="6"/>
      <c r="DH91" s="0" t="n">
        <f aca="false">DH90-$DI$6</f>
        <v>1.99999999672684E-005</v>
      </c>
      <c r="DI91" s="6" t="n">
        <f aca="false">$C$6+$C$7*DH91+$C$8*DH91^2+$C$9*DH91^3+$C$10*DH91^4+$C$11*DH91^5</f>
        <v>8.00000000327316</v>
      </c>
      <c r="DJ91" s="0" t="n">
        <f aca="false">DH91*DI91*1000</f>
        <v>0.159999999803611</v>
      </c>
      <c r="DK91" s="0" t="n">
        <f aca="false">MIN(MAX(0.2,$E$5*SQRT(DH91)*($C$4/DI91/1000)^0.75),5)</f>
        <v>0.2</v>
      </c>
      <c r="DL91" s="0" t="n">
        <f aca="false">$AH$42+($AI$42-$AH$42)*($DK91-$AH$41)/($AI$41-$AH$41)</f>
        <v>0.42</v>
      </c>
      <c r="DM91" s="0" t="n">
        <f aca="false">$AH$43+($AI$43-$AH$43)*($DK91-$AH$41)/($AI$41-$AH$41)</f>
        <v>0.69</v>
      </c>
      <c r="DN91" s="0" t="n">
        <f aca="false">$AH$44+($AI$44-$AH$44)*($DK91-$AH$41)/($AI$41-$AH$41)</f>
        <v>-0.11</v>
      </c>
      <c r="DO91" s="0" t="n">
        <f aca="false">$AH$45+($AI$45-$AH$45)*($DK91-$AH$41)/($AI$41-$AH$41)</f>
        <v>0</v>
      </c>
      <c r="DP91" s="0" t="n">
        <f aca="false">($DL91+$DM91*($DH90/$DH91)+$DN91*($DH90/$DH91)^2+$DO91*($DH90/$DH91)^3)</f>
        <v>1.023225</v>
      </c>
      <c r="DQ91" s="0" t="n">
        <f aca="false">(DL91+DM91+DN91+DO91)</f>
        <v>1</v>
      </c>
      <c r="DR91" s="0" t="n">
        <f aca="false">($DL91+$DM91*($DH92/$DH91)+$DN91*($DH92/$DH91)^2+$DO91*($DH92/$DH91)^3)</f>
        <v>0.976225</v>
      </c>
      <c r="DS91" s="0" t="n">
        <f aca="false">DJ90/DP91</f>
        <v>0.162134427716939</v>
      </c>
      <c r="DT91" s="0" t="n">
        <f aca="false">DJ91/DQ91</f>
        <v>0.159999999803611</v>
      </c>
      <c r="DU91" s="0" t="n">
        <f aca="false">DJ92/DR91</f>
        <v>0.157648082980062</v>
      </c>
      <c r="DV91" s="0" t="n">
        <f aca="false">DU91-DS91</f>
        <v>-0.00448634473687679</v>
      </c>
      <c r="DW91" s="0" t="n">
        <f aca="false">IF((DT91-DS91)*(DU91-DT91)&lt;0,1,0)</f>
        <v>0</v>
      </c>
      <c r="DX91" s="0" t="n">
        <f aca="false">ABS(DV91)/(ABS(DV91)+ABS(DV92))</f>
        <v>0.483475292501529</v>
      </c>
      <c r="DY91" s="0" t="n">
        <f aca="false">DH91+DX91*(DH92-DH91)</f>
        <v>1.95165246755581E-005</v>
      </c>
    </row>
    <row r="92" customFormat="false" ht="12.75" hidden="false" customHeight="false" outlineLevel="0" collapsed="false">
      <c r="DB92" s="6"/>
      <c r="DE92" s="6"/>
      <c r="DH92" s="0" t="n">
        <f aca="false">DH91-$DI$6</f>
        <v>1.8999999968905E-005</v>
      </c>
      <c r="DI92" s="6" t="n">
        <f aca="false">$C$6+$C$7*DH92+$C$8*DH92^2+$C$9*DH92^3+$C$10*DH92^4+$C$11*DH92^5</f>
        <v>8.1000000031095</v>
      </c>
      <c r="DJ92" s="0" t="n">
        <f aca="false">DH92*DI92*1000</f>
        <v>0.153899999807211</v>
      </c>
      <c r="DK92" s="0" t="n">
        <f aca="false">MIN(MAX(0.2,$E$5*SQRT(DH92)*($C$4/DI92/1000)^0.75),5)</f>
        <v>0.2</v>
      </c>
      <c r="DL92" s="0" t="n">
        <f aca="false">$AH$42+($AI$42-$AH$42)*($DK92-$AH$41)/($AI$41-$AH$41)</f>
        <v>0.42</v>
      </c>
      <c r="DM92" s="0" t="n">
        <f aca="false">$AH$43+($AI$43-$AH$43)*($DK92-$AH$41)/($AI$41-$AH$41)</f>
        <v>0.69</v>
      </c>
      <c r="DN92" s="0" t="n">
        <f aca="false">$AH$44+($AI$44-$AH$44)*($DK92-$AH$41)/($AI$41-$AH$41)</f>
        <v>-0.11</v>
      </c>
      <c r="DO92" s="0" t="n">
        <f aca="false">$AH$45+($AI$45-$AH$45)*($DK92-$AH$41)/($AI$41-$AH$41)</f>
        <v>0</v>
      </c>
      <c r="DP92" s="0" t="n">
        <f aca="false">($DL92+$DM92*($DH91/$DH92)+$DN92*($DH91/$DH92)^2+$DO92*($DH91/$DH92)^3)</f>
        <v>1.02443213296399</v>
      </c>
      <c r="DQ92" s="0" t="n">
        <f aca="false">(DL92+DM92+DN92+DO92)</f>
        <v>1</v>
      </c>
      <c r="DR92" s="0" t="n">
        <f aca="false">($DL92+$DM92*($DH93/$DH92)+$DN92*($DH93/$DH92)^2+$DO92*($DH93/$DH92)^3)</f>
        <v>0.974958448753463</v>
      </c>
      <c r="DS92" s="0" t="n">
        <f aca="false">DJ91/DP92</f>
        <v>0.156184089365376</v>
      </c>
      <c r="DT92" s="0" t="n">
        <f aca="false">DJ92/DQ92</f>
        <v>0.153899999807211</v>
      </c>
      <c r="DU92" s="0" t="n">
        <f aca="false">DJ93/DR92</f>
        <v>0.151391066973347</v>
      </c>
      <c r="DV92" s="0" t="n">
        <f aca="false">DU92-DS92</f>
        <v>-0.00479302239202897</v>
      </c>
      <c r="DW92" s="0" t="n">
        <f aca="false">IF((DT92-DS92)*(DU92-DT92)&lt;0,1,0)</f>
        <v>0</v>
      </c>
      <c r="DX92" s="0" t="n">
        <f aca="false">ABS(DV92)/(ABS(DV92)+ABS(DV93))</f>
        <v>0.484494166382898</v>
      </c>
      <c r="DY92" s="0" t="n">
        <f aca="false">DH92+DX92*(DH93-DH92)</f>
        <v>1.8515505803315E-005</v>
      </c>
    </row>
    <row r="93" customFormat="false" ht="12.75" hidden="false" customHeight="false" outlineLevel="0" collapsed="false">
      <c r="DB93" s="6"/>
      <c r="DE93" s="6"/>
      <c r="DH93" s="0" t="n">
        <f aca="false">DH92-$DI$6</f>
        <v>1.79999999705416E-005</v>
      </c>
      <c r="DI93" s="6" t="n">
        <f aca="false">$C$6+$C$7*DH93+$C$8*DH93^2+$C$9*DH93^3+$C$10*DH93^4+$C$11*DH93^5</f>
        <v>8.20000000294584</v>
      </c>
      <c r="DJ93" s="0" t="n">
        <f aca="false">DH93*DI93*1000</f>
        <v>0.147599999811466</v>
      </c>
      <c r="DK93" s="0" t="n">
        <f aca="false">MIN(MAX(0.2,$E$5*SQRT(DH93)*($C$4/DI93/1000)^0.75),5)</f>
        <v>0.2</v>
      </c>
      <c r="DL93" s="0" t="n">
        <f aca="false">$AH$42+($AI$42-$AH$42)*($DK93-$AH$41)/($AI$41-$AH$41)</f>
        <v>0.42</v>
      </c>
      <c r="DM93" s="0" t="n">
        <f aca="false">$AH$43+($AI$43-$AH$43)*($DK93-$AH$41)/($AI$41-$AH$41)</f>
        <v>0.69</v>
      </c>
      <c r="DN93" s="0" t="n">
        <f aca="false">$AH$44+($AI$44-$AH$44)*($DK93-$AH$41)/($AI$41-$AH$41)</f>
        <v>-0.11</v>
      </c>
      <c r="DO93" s="0" t="n">
        <f aca="false">$AH$45+($AI$45-$AH$45)*($DK93-$AH$41)/($AI$41-$AH$41)</f>
        <v>0</v>
      </c>
      <c r="DP93" s="0" t="n">
        <f aca="false">($DL93+$DM93*($DH92/$DH93)+$DN93*($DH92/$DH93)^2+$DO93*($DH92/$DH93)^3)</f>
        <v>1.02577160493827</v>
      </c>
      <c r="DQ93" s="0" t="n">
        <f aca="false">(DL93+DM93+DN93+DO93)</f>
        <v>1</v>
      </c>
      <c r="DR93" s="0" t="n">
        <f aca="false">($DL93+$DM93*($DH94/$DH93)+$DN93*($DH94/$DH93)^2+$DO93*($DH94/$DH93)^3)</f>
        <v>0.973549382716049</v>
      </c>
      <c r="DS93" s="0" t="n">
        <f aca="false">DJ92/DP93</f>
        <v>0.150033398337705</v>
      </c>
      <c r="DT93" s="0" t="n">
        <f aca="false">DJ93/DQ93</f>
        <v>0.147599999811466</v>
      </c>
      <c r="DU93" s="0" t="n">
        <f aca="false">DJ94/DR93</f>
        <v>0.144933582539726</v>
      </c>
      <c r="DV93" s="0" t="n">
        <f aca="false">DU93-DS93</f>
        <v>-0.00509981579797933</v>
      </c>
      <c r="DW93" s="0" t="n">
        <f aca="false">IF((DT93-DS93)*(DU93-DT93)&lt;0,1,0)</f>
        <v>0</v>
      </c>
      <c r="DX93" s="0" t="n">
        <f aca="false">ABS(DV93)/(ABS(DV93)+ABS(DV94))</f>
        <v>0.485393081818839</v>
      </c>
      <c r="DY93" s="0" t="n">
        <f aca="false">DH93+DX93*(DH94-DH93)</f>
        <v>1.75146068895171E-005</v>
      </c>
    </row>
    <row r="94" customFormat="false" ht="12.75" hidden="false" customHeight="false" outlineLevel="0" collapsed="false">
      <c r="DB94" s="6"/>
      <c r="DE94" s="6"/>
      <c r="DH94" s="0" t="n">
        <f aca="false">DH93-$DI$6</f>
        <v>1.69999999721782E-005</v>
      </c>
      <c r="DI94" s="6" t="n">
        <f aca="false">$C$6+$C$7*DH94+$C$8*DH94^2+$C$9*DH94^3+$C$10*DH94^4+$C$11*DH94^5</f>
        <v>8.30000000278218</v>
      </c>
      <c r="DJ94" s="0" t="n">
        <f aca="false">DH94*DI94*1000</f>
        <v>0.141099999816376</v>
      </c>
      <c r="DK94" s="0" t="n">
        <f aca="false">MIN(MAX(0.2,$E$5*SQRT(DH94)*($C$4/DI94/1000)^0.75),5)</f>
        <v>0.2</v>
      </c>
      <c r="DL94" s="0" t="n">
        <f aca="false">$AH$42+($AI$42-$AH$42)*($DK94-$AH$41)/($AI$41-$AH$41)</f>
        <v>0.42</v>
      </c>
      <c r="DM94" s="0" t="n">
        <f aca="false">$AH$43+($AI$43-$AH$43)*($DK94-$AH$41)/($AI$41-$AH$41)</f>
        <v>0.69</v>
      </c>
      <c r="DN94" s="0" t="n">
        <f aca="false">$AH$44+($AI$44-$AH$44)*($DK94-$AH$41)/($AI$41-$AH$41)</f>
        <v>-0.11</v>
      </c>
      <c r="DO94" s="0" t="n">
        <f aca="false">$AH$45+($AI$45-$AH$45)*($DK94-$AH$41)/($AI$41-$AH$41)</f>
        <v>0</v>
      </c>
      <c r="DP94" s="0" t="n">
        <f aca="false">($DL94+$DM94*($DH93/$DH94)+$DN94*($DH93/$DH94)^2+$DO94*($DH93/$DH94)^3)</f>
        <v>1.02726643598616</v>
      </c>
      <c r="DQ94" s="0" t="n">
        <f aca="false">(DL94+DM94+DN94+DO94)</f>
        <v>1</v>
      </c>
      <c r="DR94" s="0" t="n">
        <f aca="false">($DL94+$DM94*($DH95/$DH94)+$DN94*($DH95/$DH94)^2+$DO94*($DH95/$DH94)^3)</f>
        <v>0.9719723183391</v>
      </c>
      <c r="DS94" s="0" t="n">
        <f aca="false">DJ93/DP94</f>
        <v>0.143682295693592</v>
      </c>
      <c r="DT94" s="0" t="n">
        <f aca="false">DJ94/DQ94</f>
        <v>0.141099999816376</v>
      </c>
      <c r="DU94" s="0" t="n">
        <f aca="false">DJ95/DR94</f>
        <v>0.138275542714634</v>
      </c>
      <c r="DV94" s="0" t="n">
        <f aca="false">DU94-DS94</f>
        <v>-0.00540675297895826</v>
      </c>
      <c r="DW94" s="0" t="n">
        <f aca="false">IF((DT94-DS94)*(DU94-DT94)&lt;0,1,0)</f>
        <v>0</v>
      </c>
      <c r="DX94" s="0" t="n">
        <f aca="false">ABS(DV94)/(ABS(DV94)+ABS(DV95))</f>
        <v>0.486191511420342</v>
      </c>
      <c r="DY94" s="0" t="n">
        <f aca="false">DH94+DX94*(DH95-DH94)</f>
        <v>1.65138084615535E-005</v>
      </c>
    </row>
    <row r="95" customFormat="false" ht="12.75" hidden="false" customHeight="false" outlineLevel="0" collapsed="false">
      <c r="DB95" s="6"/>
      <c r="DE95" s="6"/>
      <c r="DH95" s="0" t="n">
        <f aca="false">DH94-$DI$6</f>
        <v>1.59999999738147E-005</v>
      </c>
      <c r="DI95" s="6" t="n">
        <f aca="false">$C$6+$C$7*DH95+$C$8*DH95^2+$C$9*DH95^3+$C$10*DH95^4+$C$11*DH95^5</f>
        <v>8.40000000261853</v>
      </c>
      <c r="DJ95" s="0" t="n">
        <f aca="false">DH95*DI95*1000</f>
        <v>0.13439999982194</v>
      </c>
      <c r="DK95" s="0" t="n">
        <f aca="false">MIN(MAX(0.2,$E$5*SQRT(DH95)*($C$4/DI95/1000)^0.75),5)</f>
        <v>0.2</v>
      </c>
      <c r="DL95" s="0" t="n">
        <f aca="false">$AH$42+($AI$42-$AH$42)*($DK95-$AH$41)/($AI$41-$AH$41)</f>
        <v>0.42</v>
      </c>
      <c r="DM95" s="0" t="n">
        <f aca="false">$AH$43+($AI$43-$AH$43)*($DK95-$AH$41)/($AI$41-$AH$41)</f>
        <v>0.69</v>
      </c>
      <c r="DN95" s="0" t="n">
        <f aca="false">$AH$44+($AI$44-$AH$44)*($DK95-$AH$41)/($AI$41-$AH$41)</f>
        <v>-0.11</v>
      </c>
      <c r="DO95" s="0" t="n">
        <f aca="false">$AH$45+($AI$45-$AH$45)*($DK95-$AH$41)/($AI$41-$AH$41)</f>
        <v>0</v>
      </c>
      <c r="DP95" s="0" t="n">
        <f aca="false">($DL95+$DM95*($DH94/$DH95)+$DN95*($DH94/$DH95)^2+$DO95*($DH94/$DH95)^3)</f>
        <v>1.0289453125</v>
      </c>
      <c r="DQ95" s="0" t="n">
        <f aca="false">(DL95+DM95+DN95+DO95)</f>
        <v>1</v>
      </c>
      <c r="DR95" s="0" t="n">
        <f aca="false">($DL95+$DM95*($DH96/$DH95)+$DN95*($DH96/$DH95)^2+$DO95*($DH96/$DH95)^3)</f>
        <v>0.9701953125</v>
      </c>
      <c r="DS95" s="0" t="n">
        <f aca="false">DJ94/DP95</f>
        <v>0.137130708602529</v>
      </c>
      <c r="DT95" s="0" t="n">
        <f aca="false">DJ95/DQ95</f>
        <v>0.13439999982194</v>
      </c>
      <c r="DU95" s="0" t="n">
        <f aca="false">DJ96/DR95</f>
        <v>0.131416837605221</v>
      </c>
      <c r="DV95" s="0" t="n">
        <f aca="false">DU95-DS95</f>
        <v>-0.00571387099730816</v>
      </c>
      <c r="DW95" s="0" t="n">
        <f aca="false">IF((DT95-DS95)*(DU95-DT95)&lt;0,1,0)</f>
        <v>0</v>
      </c>
      <c r="DX95" s="0" t="n">
        <f aca="false">ABS(DV95)/(ABS(DV95)+ABS(DV96))</f>
        <v>0.486904715694687</v>
      </c>
      <c r="DY95" s="0" t="n">
        <f aca="false">DH95+DX95*(DH96-DH95)</f>
        <v>1.55130952589169E-005</v>
      </c>
    </row>
    <row r="96" customFormat="false" ht="12.75" hidden="false" customHeight="false" outlineLevel="0" collapsed="false">
      <c r="AL96" s="42"/>
      <c r="DB96" s="6"/>
      <c r="DE96" s="6"/>
      <c r="DH96" s="0" t="n">
        <f aca="false">DH95-$DI$6</f>
        <v>1.49999999754513E-005</v>
      </c>
      <c r="DI96" s="6" t="n">
        <f aca="false">$C$6+$C$7*DH96+$C$8*DH96^2+$C$9*DH96^3+$C$10*DH96^4+$C$11*DH96^5</f>
        <v>8.50000000245487</v>
      </c>
      <c r="DJ96" s="0" t="n">
        <f aca="false">DH96*DI96*1000</f>
        <v>0.127499999828159</v>
      </c>
      <c r="DK96" s="0" t="n">
        <f aca="false">MIN(MAX(0.2,$E$5*SQRT(DH96)*($C$4/DI96/1000)^0.75),5)</f>
        <v>0.2</v>
      </c>
      <c r="DL96" s="0" t="n">
        <f aca="false">$AH$42+($AI$42-$AH$42)*($DK96-$AH$41)/($AI$41-$AH$41)</f>
        <v>0.42</v>
      </c>
      <c r="DM96" s="0" t="n">
        <f aca="false">$AH$43+($AI$43-$AH$43)*($DK96-$AH$41)/($AI$41-$AH$41)</f>
        <v>0.69</v>
      </c>
      <c r="DN96" s="0" t="n">
        <f aca="false">$AH$44+($AI$44-$AH$44)*($DK96-$AH$41)/($AI$41-$AH$41)</f>
        <v>-0.11</v>
      </c>
      <c r="DO96" s="0" t="n">
        <f aca="false">$AH$45+($AI$45-$AH$45)*($DK96-$AH$41)/($AI$41-$AH$41)</f>
        <v>0</v>
      </c>
      <c r="DP96" s="0" t="n">
        <f aca="false">($DL96+$DM96*($DH95/$DH96)+$DN96*($DH95/$DH96)^2+$DO96*($DH95/$DH96)^3)</f>
        <v>1.03084444444444</v>
      </c>
      <c r="DQ96" s="0" t="n">
        <f aca="false">(DL96+DM96+DN96+DO96)</f>
        <v>1</v>
      </c>
      <c r="DR96" s="0" t="n">
        <f aca="false">($DL96+$DM96*($DH97/$DH96)+$DN96*($DH97/$DH96)^2+$DO96*($DH97/$DH96)^3)</f>
        <v>0.968177777777778</v>
      </c>
      <c r="DS96" s="0" t="n">
        <f aca="false">DJ95/DP96</f>
        <v>0.130378546003003</v>
      </c>
      <c r="DT96" s="0" t="n">
        <f aca="false">DJ96/DQ96</f>
        <v>0.127499999828159</v>
      </c>
      <c r="DU96" s="0" t="n">
        <f aca="false">DJ97/DR96</f>
        <v>0.12435732630776</v>
      </c>
      <c r="DV96" s="0" t="n">
        <f aca="false">DU96-DS96</f>
        <v>-0.00602121969524334</v>
      </c>
      <c r="DW96" s="0" t="n">
        <f aca="false">IF((DT96-DS96)*(DU96-DT96)&lt;0,1,0)</f>
        <v>0</v>
      </c>
      <c r="DX96" s="0" t="n">
        <f aca="false">ABS(DV96)/(ABS(DV96)+ABS(DV97))</f>
        <v>0.487544716008947</v>
      </c>
      <c r="DY96" s="0" t="n">
        <f aca="false">DH96+DX96*(DH97-DH96)</f>
        <v>1.45124552602403E-005</v>
      </c>
    </row>
    <row r="97" customFormat="false" ht="12.75" hidden="false" customHeight="false" outlineLevel="0" collapsed="false">
      <c r="AL97" s="42"/>
      <c r="DB97" s="6"/>
      <c r="DE97" s="6"/>
      <c r="DH97" s="0" t="n">
        <f aca="false">DH96-$DI$6</f>
        <v>1.39999999770879E-005</v>
      </c>
      <c r="DI97" s="6" t="n">
        <f aca="false">$C$6+$C$7*DH97+$C$8*DH97^2+$C$9*DH97^3+$C$10*DH97^4+$C$11*DH97^5</f>
        <v>8.60000000229121</v>
      </c>
      <c r="DJ97" s="0" t="n">
        <f aca="false">DH97*DI97*1000</f>
        <v>0.120399999835033</v>
      </c>
      <c r="DK97" s="0" t="n">
        <f aca="false">MIN(MAX(0.2,$E$5*SQRT(DH97)*($C$4/DI97/1000)^0.75),5)</f>
        <v>0.2</v>
      </c>
      <c r="DL97" s="0" t="n">
        <f aca="false">$AH$42+($AI$42-$AH$42)*($DK97-$AH$41)/($AI$41-$AH$41)</f>
        <v>0.42</v>
      </c>
      <c r="DM97" s="0" t="n">
        <f aca="false">$AH$43+($AI$43-$AH$43)*($DK97-$AH$41)/($AI$41-$AH$41)</f>
        <v>0.69</v>
      </c>
      <c r="DN97" s="0" t="n">
        <f aca="false">$AH$44+($AI$44-$AH$44)*($DK97-$AH$41)/($AI$41-$AH$41)</f>
        <v>-0.11</v>
      </c>
      <c r="DO97" s="0" t="n">
        <f aca="false">$AH$45+($AI$45-$AH$45)*($DK97-$AH$41)/($AI$41-$AH$41)</f>
        <v>0</v>
      </c>
      <c r="DP97" s="0" t="n">
        <f aca="false">($DL97+$DM97*($DH96/$DH97)+$DN97*($DH96/$DH97)^2+$DO97*($DH96/$DH97)^3)</f>
        <v>1.03301020408163</v>
      </c>
      <c r="DQ97" s="0" t="n">
        <f aca="false">(DL97+DM97+DN97+DO97)</f>
        <v>1</v>
      </c>
      <c r="DR97" s="0" t="n">
        <f aca="false">($DL97+$DM97*($DH98/$DH97)+$DN97*($DH98/$DH97)^2+$DO97*($DH98/$DH97)^3)</f>
        <v>0.965867346938775</v>
      </c>
      <c r="DS97" s="0" t="n">
        <f aca="false">DJ96/DP97</f>
        <v>0.123425692528865</v>
      </c>
      <c r="DT97" s="0" t="n">
        <f aca="false">DJ97/DQ97</f>
        <v>0.120399999835033</v>
      </c>
      <c r="DU97" s="0" t="n">
        <f aca="false">DJ98/DR97</f>
        <v>0.117096825149976</v>
      </c>
      <c r="DV97" s="0" t="n">
        <f aca="false">DU97-DS97</f>
        <v>-0.00632886737888842</v>
      </c>
      <c r="DW97" s="0" t="n">
        <f aca="false">IF((DT97-DS97)*(DU97-DT97)&lt;0,1,0)</f>
        <v>0</v>
      </c>
      <c r="DX97" s="0" t="n">
        <f aca="false">ABS(DV97)/(ABS(DV97)+ABS(DV98))</f>
        <v>0.488120946812696</v>
      </c>
      <c r="DY97" s="0" t="n">
        <f aca="false">DH97+DX97*(DH98-DH97)</f>
        <v>1.3511879031074E-005</v>
      </c>
    </row>
    <row r="98" customFormat="false" ht="12.75" hidden="false" customHeight="false" outlineLevel="0" collapsed="false">
      <c r="DB98" s="6"/>
      <c r="DE98" s="6"/>
      <c r="DH98" s="0" t="n">
        <f aca="false">DH97-$DI$6</f>
        <v>1.29999999787245E-005</v>
      </c>
      <c r="DI98" s="6" t="n">
        <f aca="false">$C$6+$C$7*DH98+$C$8*DH98^2+$C$9*DH98^3+$C$10*DH98^4+$C$11*DH98^5</f>
        <v>8.70000000212755</v>
      </c>
      <c r="DJ98" s="0" t="n">
        <f aca="false">DH98*DI98*1000</f>
        <v>0.113099999842561</v>
      </c>
      <c r="DK98" s="0" t="n">
        <f aca="false">MIN(MAX(0.2,$E$5*SQRT(DH98)*($C$4/DI98/1000)^0.75),5)</f>
        <v>0.2</v>
      </c>
      <c r="DL98" s="0" t="n">
        <f aca="false">$AH$42+($AI$42-$AH$42)*($DK98-$AH$41)/($AI$41-$AH$41)</f>
        <v>0.42</v>
      </c>
      <c r="DM98" s="0" t="n">
        <f aca="false">$AH$43+($AI$43-$AH$43)*($DK98-$AH$41)/($AI$41-$AH$41)</f>
        <v>0.69</v>
      </c>
      <c r="DN98" s="0" t="n">
        <f aca="false">$AH$44+($AI$44-$AH$44)*($DK98-$AH$41)/($AI$41-$AH$41)</f>
        <v>-0.11</v>
      </c>
      <c r="DO98" s="0" t="n">
        <f aca="false">$AH$45+($AI$45-$AH$45)*($DK98-$AH$41)/($AI$41-$AH$41)</f>
        <v>0</v>
      </c>
      <c r="DP98" s="0" t="n">
        <f aca="false">($DL98+$DM98*($DH97/$DH98)+$DN98*($DH97/$DH98)^2+$DO98*($DH97/$DH98)^3)</f>
        <v>1.03550295857988</v>
      </c>
      <c r="DQ98" s="0" t="n">
        <f aca="false">(DL98+DM98+DN98+DO98)</f>
        <v>1</v>
      </c>
      <c r="DR98" s="0" t="n">
        <f aca="false">($DL98+$DM98*($DH99/$DH98)+$DN98*($DH99/$DH98)^2+$DO98*($DH99/$DH98)^3)</f>
        <v>0.963195266272189</v>
      </c>
      <c r="DS98" s="0" t="n">
        <f aca="false">DJ97/DP98</f>
        <v>0.116271999840689</v>
      </c>
      <c r="DT98" s="0" t="n">
        <f aca="false">DJ98/DQ98</f>
        <v>0.113099999842561</v>
      </c>
      <c r="DU98" s="0" t="n">
        <f aca="false">DJ99/DR98</f>
        <v>0.109635090150975</v>
      </c>
      <c r="DV98" s="0" t="n">
        <f aca="false">DU98-DS98</f>
        <v>-0.00663690968971373</v>
      </c>
      <c r="DW98" s="0" t="n">
        <f aca="false">IF((DT98-DS98)*(DU98-DT98)&lt;0,1,0)</f>
        <v>0</v>
      </c>
      <c r="DX98" s="0" t="n">
        <f aca="false">ABS(DV98)/(ABS(DV98)+ABS(DV99))</f>
        <v>0.488640654766048</v>
      </c>
      <c r="DY98" s="0" t="n">
        <f aca="false">DH98+DX98*(DH99-DH98)</f>
        <v>1.25113593247581E-005</v>
      </c>
    </row>
    <row r="99" customFormat="false" ht="12.75" hidden="false" customHeight="false" outlineLevel="0" collapsed="false">
      <c r="DB99" s="6"/>
      <c r="DE99" s="6"/>
      <c r="DH99" s="0" t="n">
        <f aca="false">DH98-$DI$6</f>
        <v>1.19999999803611E-005</v>
      </c>
      <c r="DI99" s="6" t="n">
        <f aca="false">$C$6+$C$7*DH99+$C$8*DH99^2+$C$9*DH99^3+$C$10*DH99^4+$C$11*DH99^5</f>
        <v>8.80000000196389</v>
      </c>
      <c r="DJ99" s="0" t="n">
        <f aca="false">DH99*DI99*1000</f>
        <v>0.105599999850744</v>
      </c>
      <c r="DK99" s="0" t="n">
        <f aca="false">MIN(MAX(0.2,$E$5*SQRT(DH99)*($C$4/DI99/1000)^0.75),5)</f>
        <v>0.2</v>
      </c>
      <c r="DL99" s="0" t="n">
        <f aca="false">$AH$42+($AI$42-$AH$42)*($DK99-$AH$41)/($AI$41-$AH$41)</f>
        <v>0.42</v>
      </c>
      <c r="DM99" s="0" t="n">
        <f aca="false">$AH$43+($AI$43-$AH$43)*($DK99-$AH$41)/($AI$41-$AH$41)</f>
        <v>0.69</v>
      </c>
      <c r="DN99" s="0" t="n">
        <f aca="false">$AH$44+($AI$44-$AH$44)*($DK99-$AH$41)/($AI$41-$AH$41)</f>
        <v>-0.11</v>
      </c>
      <c r="DO99" s="0" t="n">
        <f aca="false">$AH$45+($AI$45-$AH$45)*($DK99-$AH$41)/($AI$41-$AH$41)</f>
        <v>0</v>
      </c>
      <c r="DP99" s="0" t="n">
        <f aca="false">($DL99+$DM99*($DH98/$DH99)+$DN99*($DH98/$DH99)^2+$DO99*($DH98/$DH99)^3)</f>
        <v>1.03840277777778</v>
      </c>
      <c r="DQ99" s="0" t="n">
        <f aca="false">(DL99+DM99+DN99+DO99)</f>
        <v>1</v>
      </c>
      <c r="DR99" s="0" t="n">
        <f aca="false">($DL99+$DM99*($DH100/$DH99)+$DN99*($DH100/$DH99)^2+$DO99*($DH100/$DH99)^3)</f>
        <v>0.960069444444444</v>
      </c>
      <c r="DS99" s="0" t="n">
        <f aca="false">DJ98/DP99</f>
        <v>0.108917273973977</v>
      </c>
      <c r="DT99" s="0" t="n">
        <f aca="false">DJ99/DQ99</f>
        <v>0.105599999850744</v>
      </c>
      <c r="DU99" s="0" t="n">
        <f aca="false">DJ100/DR99</f>
        <v>0.101971790088823</v>
      </c>
      <c r="DV99" s="0" t="n">
        <f aca="false">DU99-DS99</f>
        <v>-0.00694548388515441</v>
      </c>
      <c r="DW99" s="0" t="n">
        <f aca="false">IF((DT99-DS99)*(DU99-DT99)&lt;0,1,0)</f>
        <v>0</v>
      </c>
      <c r="DX99" s="0" t="n">
        <f aca="false">ABS(DV99)/(ABS(DV99)+ABS(DV100))</f>
        <v>0.48910905806387</v>
      </c>
      <c r="DY99" s="0" t="n">
        <f aca="false">DH99+DX99*(DH100-DH99)</f>
        <v>1.15108909230976E-005</v>
      </c>
    </row>
    <row r="100" customFormat="false" ht="12.75" hidden="false" customHeight="false" outlineLevel="0" collapsed="false">
      <c r="DB100" s="6"/>
      <c r="DE100" s="6"/>
      <c r="DH100" s="0" t="n">
        <f aca="false">DH99-$DI$6</f>
        <v>1.09999999819976E-005</v>
      </c>
      <c r="DI100" s="6" t="n">
        <f aca="false">$C$6+$C$7*DH100+$C$8*DH100^2+$C$9*DH100^3+$C$10*DH100^4+$C$11*DH100^5</f>
        <v>8.90000000180024</v>
      </c>
      <c r="DJ100" s="0" t="n">
        <f aca="false">DH100*DI100*1000</f>
        <v>0.0978999998595815</v>
      </c>
      <c r="DK100" s="0" t="n">
        <f aca="false">MIN(MAX(0.2,$E$5*SQRT(DH100)*($C$4/DI100/1000)^0.75),5)</f>
        <v>0.2</v>
      </c>
      <c r="DL100" s="0" t="n">
        <f aca="false">$AH$42+($AI$42-$AH$42)*($DK100-$AH$41)/($AI$41-$AH$41)</f>
        <v>0.42</v>
      </c>
      <c r="DM100" s="0" t="n">
        <f aca="false">$AH$43+($AI$43-$AH$43)*($DK100-$AH$41)/($AI$41-$AH$41)</f>
        <v>0.69</v>
      </c>
      <c r="DN100" s="0" t="n">
        <f aca="false">$AH$44+($AI$44-$AH$44)*($DK100-$AH$41)/($AI$41-$AH$41)</f>
        <v>-0.11</v>
      </c>
      <c r="DO100" s="0" t="n">
        <f aca="false">$AH$45+($AI$45-$AH$45)*($DK100-$AH$41)/($AI$41-$AH$41)</f>
        <v>0</v>
      </c>
      <c r="DP100" s="0" t="n">
        <f aca="false">($DL100+$DM100*($DH99/$DH100)+$DN100*($DH99/$DH100)^2+$DO100*($DH99/$DH100)^3)</f>
        <v>1.04181818181818</v>
      </c>
      <c r="DQ100" s="0" t="n">
        <f aca="false">(DL100+DM100+DN100+DO100)</f>
        <v>1</v>
      </c>
      <c r="DR100" s="0" t="n">
        <f aca="false">($DL100+$DM100*($DH101/$DH100)+$DN100*($DH101/$DH100)^2+$DO100*($DH101/$DH100)^3)</f>
        <v>0.956363636363636</v>
      </c>
      <c r="DS100" s="0" t="n">
        <f aca="false">DJ99/DP100</f>
        <v>0.101361256401238</v>
      </c>
      <c r="DT100" s="0" t="n">
        <f aca="false">DJ100/DQ100</f>
        <v>0.0978999998595815</v>
      </c>
      <c r="DU100" s="0" t="n">
        <f aca="false">DJ101/DR100</f>
        <v>0.0941064637414269</v>
      </c>
      <c r="DV100" s="0" t="n">
        <f aca="false">DU100-DS100</f>
        <v>-0.00725479265981083</v>
      </c>
      <c r="DW100" s="0" t="n">
        <f aca="false">IF((DT100-DS100)*(DU100-DT100)&lt;0,1,0)</f>
        <v>0</v>
      </c>
      <c r="DX100" s="0" t="n">
        <f aca="false">ABS(DV100)/(ABS(DV100)+ABS(DV101))</f>
        <v>0.489529210543939</v>
      </c>
      <c r="DY100" s="0" t="n">
        <f aca="false">DH100+DX100*(DH101-DH100)</f>
        <v>1.05104707722548E-005</v>
      </c>
    </row>
    <row r="101" customFormat="false" ht="12.75" hidden="false" customHeight="false" outlineLevel="0" collapsed="false">
      <c r="DB101" s="6"/>
      <c r="DE101" s="6"/>
      <c r="DH101" s="0" t="n">
        <f aca="false">DH100-$DI$6</f>
        <v>9.99999998363421E-006</v>
      </c>
      <c r="DI101" s="6" t="n">
        <f aca="false">$C$6+$C$7*DH101+$C$8*DH101^2+$C$9*DH101^3+$C$10*DH101^4+$C$11*DH101^5</f>
        <v>9.00000000163658</v>
      </c>
      <c r="DJ101" s="0" t="n">
        <f aca="false">DH101*DI101*1000</f>
        <v>0.0899999998690737</v>
      </c>
      <c r="DK101" s="0" t="n">
        <f aca="false">MIN(MAX(0.2,$E$5*SQRT(DH101)*($C$4/DI101/1000)^0.75),5)</f>
        <v>0.2</v>
      </c>
      <c r="DL101" s="0" t="n">
        <f aca="false">$AH$42+($AI$42-$AH$42)*($DK101-$AH$41)/($AI$41-$AH$41)</f>
        <v>0.42</v>
      </c>
      <c r="DM101" s="0" t="n">
        <f aca="false">$AH$43+($AI$43-$AH$43)*($DK101-$AH$41)/($AI$41-$AH$41)</f>
        <v>0.69</v>
      </c>
      <c r="DN101" s="0" t="n">
        <f aca="false">$AH$44+($AI$44-$AH$44)*($DK101-$AH$41)/($AI$41-$AH$41)</f>
        <v>-0.11</v>
      </c>
      <c r="DO101" s="0" t="n">
        <f aca="false">$AH$45+($AI$45-$AH$45)*($DK101-$AH$41)/($AI$41-$AH$41)</f>
        <v>0</v>
      </c>
      <c r="DP101" s="0" t="n">
        <f aca="false">($DL101+$DM101*($DH100/$DH101)+$DN101*($DH100/$DH101)^2+$DO101*($DH100/$DH101)^3)</f>
        <v>1.0459</v>
      </c>
      <c r="DQ101" s="0" t="n">
        <f aca="false">(DL101+DM101+DN101+DO101)</f>
        <v>1</v>
      </c>
      <c r="DR101" s="0" t="n">
        <f aca="false">($DL101+$DM101*($DH102/$DH101)+$DN101*($DH102/$DH101)^2+$DO101*($DH102/$DH101)^3)</f>
        <v>0.9519</v>
      </c>
      <c r="DS101" s="0" t="n">
        <f aca="false">DJ100/DP101</f>
        <v>0.0936035948557047</v>
      </c>
      <c r="DT101" s="0" t="n">
        <f aca="false">DJ101/DQ101</f>
        <v>0.0899999998690737</v>
      </c>
      <c r="DU101" s="0" t="n">
        <f aca="false">DJ102/DR101</f>
        <v>0.086038449290073</v>
      </c>
      <c r="DV101" s="0" t="n">
        <f aca="false">DU101-DS101</f>
        <v>-0.0075651455656317</v>
      </c>
      <c r="DW101" s="0" t="n">
        <f aca="false">IF((DT101-DS101)*(DU101-DT101)&lt;0,1,0)</f>
        <v>0</v>
      </c>
      <c r="DX101" s="0" t="n">
        <f aca="false">ABS(DV101)/(ABS(DV101)+ABS(DV102))</f>
        <v>0.489901390645281</v>
      </c>
      <c r="DY101" s="0" t="n">
        <f aca="false">DH101+DX101*(DH102-DH101)</f>
        <v>9.51009859379069E-006</v>
      </c>
    </row>
    <row r="102" customFormat="false" ht="12.75" hidden="false" customHeight="false" outlineLevel="0" collapsed="false">
      <c r="DB102" s="6"/>
      <c r="DE102" s="6"/>
      <c r="DH102" s="0" t="n">
        <f aca="false">DH101-$DI$6</f>
        <v>8.99999998527079E-006</v>
      </c>
      <c r="DI102" s="6" t="n">
        <f aca="false">$C$6+$C$7*DH102+$C$8*DH102^2+$C$9*DH102^3+$C$10*DH102^4+$C$11*DH102^5</f>
        <v>9.10000000147292</v>
      </c>
      <c r="DJ102" s="0" t="n">
        <f aca="false">DH102*DI102*1000</f>
        <v>0.0818999998792205</v>
      </c>
      <c r="DK102" s="0" t="n">
        <f aca="false">MIN(MAX(0.2,$E$5*SQRT(DH102)*($C$4/DI102/1000)^0.75),5)</f>
        <v>0.2</v>
      </c>
      <c r="DL102" s="0" t="n">
        <f aca="false">$AH$42+($AI$42-$AH$42)*($DK102-$AH$41)/($AI$41-$AH$41)</f>
        <v>0.42</v>
      </c>
      <c r="DM102" s="0" t="n">
        <f aca="false">$AH$43+($AI$43-$AH$43)*($DK102-$AH$41)/($AI$41-$AH$41)</f>
        <v>0.69</v>
      </c>
      <c r="DN102" s="0" t="n">
        <f aca="false">$AH$44+($AI$44-$AH$44)*($DK102-$AH$41)/($AI$41-$AH$41)</f>
        <v>-0.11</v>
      </c>
      <c r="DO102" s="0" t="n">
        <f aca="false">$AH$45+($AI$45-$AH$45)*($DK102-$AH$41)/($AI$41-$AH$41)</f>
        <v>0</v>
      </c>
      <c r="DP102" s="0" t="n">
        <f aca="false">($DL102+$DM102*($DH101/$DH102)+$DN102*($DH101/$DH102)^2+$DO102*($DH101/$DH102)^3)</f>
        <v>1.05086419753086</v>
      </c>
      <c r="DQ102" s="0" t="n">
        <f aca="false">(DL102+DM102+DN102+DO102)</f>
        <v>1</v>
      </c>
      <c r="DR102" s="0" t="n">
        <f aca="false">($DL102+$DM102*($DH103/$DH102)+$DN102*($DH103/$DH102)^2+$DO102*($DH103/$DH102)^3)</f>
        <v>0.94641975308642</v>
      </c>
      <c r="DS102" s="0" t="n">
        <f aca="false">DJ101/DP102</f>
        <v>0.085643796867892</v>
      </c>
      <c r="DT102" s="0" t="n">
        <f aca="false">DJ102/DQ102</f>
        <v>0.0818999998792205</v>
      </c>
      <c r="DU102" s="0" t="n">
        <f aca="false">DJ103/DR102</f>
        <v>0.0777667622109545</v>
      </c>
      <c r="DV102" s="0" t="n">
        <f aca="false">DU102-DS102</f>
        <v>-0.00787703465693748</v>
      </c>
      <c r="DW102" s="0" t="n">
        <f aca="false">IF((DT102-DS102)*(DU102-DT102)&lt;0,1,0)</f>
        <v>0</v>
      </c>
      <c r="DX102" s="0" t="n">
        <f aca="false">ABS(DV102)/(ABS(DV102)+ABS(DV103))</f>
        <v>0.490221551878245</v>
      </c>
      <c r="DY102" s="0" t="n">
        <f aca="false">DH102+DX102*(DH103-DH102)</f>
        <v>8.50977843419483E-006</v>
      </c>
    </row>
    <row r="103" customFormat="false" ht="12.75" hidden="false" customHeight="false" outlineLevel="0" collapsed="false">
      <c r="DB103" s="6"/>
      <c r="DE103" s="6"/>
      <c r="DH103" s="0" t="n">
        <f aca="false">DH102-$DI$6</f>
        <v>7.99999998690737E-006</v>
      </c>
      <c r="DI103" s="6" t="n">
        <f aca="false">$C$6+$C$7*DH103+$C$8*DH103^2+$C$9*DH103^3+$C$10*DH103^4+$C$11*DH103^5</f>
        <v>9.20000000130926</v>
      </c>
      <c r="DJ103" s="0" t="n">
        <f aca="false">DH103*DI103*1000</f>
        <v>0.0735999998900219</v>
      </c>
      <c r="DK103" s="0" t="n">
        <f aca="false">MIN(MAX(0.2,$E$5*SQRT(DH103)*($C$4/DI103/1000)^0.75),5)</f>
        <v>0.2</v>
      </c>
      <c r="DL103" s="0" t="n">
        <f aca="false">$AH$42+($AI$42-$AH$42)*($DK103-$AH$41)/($AI$41-$AH$41)</f>
        <v>0.42</v>
      </c>
      <c r="DM103" s="0" t="n">
        <f aca="false">$AH$43+($AI$43-$AH$43)*($DK103-$AH$41)/($AI$41-$AH$41)</f>
        <v>0.69</v>
      </c>
      <c r="DN103" s="0" t="n">
        <f aca="false">$AH$44+($AI$44-$AH$44)*($DK103-$AH$41)/($AI$41-$AH$41)</f>
        <v>-0.11</v>
      </c>
      <c r="DO103" s="0" t="n">
        <f aca="false">$AH$45+($AI$45-$AH$45)*($DK103-$AH$41)/($AI$41-$AH$41)</f>
        <v>0</v>
      </c>
      <c r="DP103" s="0" t="n">
        <f aca="false">($DL103+$DM103*($DH102/$DH103)+$DN103*($DH102/$DH103)^2+$DO103*($DH102/$DH103)^3)</f>
        <v>1.05703125</v>
      </c>
      <c r="DQ103" s="0" t="n">
        <f aca="false">(DL103+DM103+DN103+DO103)</f>
        <v>1</v>
      </c>
      <c r="DR103" s="0" t="n">
        <f aca="false">($DL103+$DM103*($DH104/$DH103)+$DN103*($DH104/$DH103)^2+$DO103*($DH104/$DH103)^3)</f>
        <v>0.93953125</v>
      </c>
      <c r="DS103" s="0" t="n">
        <f aca="false">DJ102/DP103</f>
        <v>0.0774811528790852</v>
      </c>
      <c r="DT103" s="0" t="n">
        <f aca="false">DJ103/DQ103</f>
        <v>0.0735999998900219</v>
      </c>
      <c r="DU103" s="0" t="n">
        <f aca="false">DJ104/DR103</f>
        <v>0.0692898718392581</v>
      </c>
      <c r="DV103" s="0" t="n">
        <f aca="false">DU103-DS103</f>
        <v>-0.00819128103982707</v>
      </c>
      <c r="DW103" s="0" t="n">
        <f aca="false">IF((DT103-DS103)*(DU103-DT103)&lt;0,1,0)</f>
        <v>0</v>
      </c>
      <c r="DX103" s="0" t="n">
        <f aca="false">ABS(DV103)/(ABS(DV103)+ABS(DV104))</f>
        <v>0.490477627001315</v>
      </c>
      <c r="DY103" s="0" t="n">
        <f aca="false">DH103+DX103*(DH104-DH103)</f>
        <v>7.50952236070876E-006</v>
      </c>
    </row>
    <row r="104" customFormat="false" ht="12.75" hidden="false" customHeight="false" outlineLevel="0" collapsed="false">
      <c r="DB104" s="6"/>
      <c r="DE104" s="6"/>
      <c r="DH104" s="0" t="n">
        <f aca="false">DH103-$DI$6</f>
        <v>6.99999998854395E-006</v>
      </c>
      <c r="DI104" s="6" t="n">
        <f aca="false">$C$6+$C$7*DH104+$C$8*DH104^2+$C$9*DH104^3+$C$10*DH104^4+$C$11*DH104^5</f>
        <v>9.30000000114561</v>
      </c>
      <c r="DJ104" s="0" t="n">
        <f aca="false">DH104*DI104*1000</f>
        <v>0.065099999901478</v>
      </c>
      <c r="DK104" s="0" t="n">
        <f aca="false">MIN(MAX(0.2,$E$5*SQRT(DH104)*($C$4/DI104/1000)^0.75),5)</f>
        <v>0.2</v>
      </c>
      <c r="DL104" s="0" t="n">
        <f aca="false">$AH$42+($AI$42-$AH$42)*($DK104-$AH$41)/($AI$41-$AH$41)</f>
        <v>0.42</v>
      </c>
      <c r="DM104" s="0" t="n">
        <f aca="false">$AH$43+($AI$43-$AH$43)*($DK104-$AH$41)/($AI$41-$AH$41)</f>
        <v>0.69</v>
      </c>
      <c r="DN104" s="0" t="n">
        <f aca="false">$AH$44+($AI$44-$AH$44)*($DK104-$AH$41)/($AI$41-$AH$41)</f>
        <v>-0.11</v>
      </c>
      <c r="DO104" s="0" t="n">
        <f aca="false">$AH$45+($AI$45-$AH$45)*($DK104-$AH$41)/($AI$41-$AH$41)</f>
        <v>0</v>
      </c>
      <c r="DP104" s="0" t="n">
        <f aca="false">($DL104+$DM104*($DH103/$DH104)+$DN104*($DH103/$DH104)^2+$DO104*($DH103/$DH104)^3)</f>
        <v>1.06489795918367</v>
      </c>
      <c r="DQ104" s="0" t="n">
        <f aca="false">(DL104+DM104+DN104+DO104)</f>
        <v>1</v>
      </c>
      <c r="DR104" s="0" t="n">
        <f aca="false">($DL104+$DM104*($DH105/$DH104)+$DN104*($DH105/$DH104)^2+$DO104*($DH105/$DH104)^3)</f>
        <v>0.930612244897959</v>
      </c>
      <c r="DS104" s="0" t="n">
        <f aca="false">DJ103/DP104</f>
        <v>0.0691146031930064</v>
      </c>
      <c r="DT104" s="0" t="n">
        <f aca="false">DJ104/DQ104</f>
        <v>0.065099999901478</v>
      </c>
      <c r="DU104" s="0" t="n">
        <f aca="false">DJ105/DR104</f>
        <v>0.0606052630650404</v>
      </c>
      <c r="DV104" s="0" t="n">
        <f aca="false">DU104-DS104</f>
        <v>-0.00850934012796598</v>
      </c>
      <c r="DW104" s="0" t="n">
        <f aca="false">IF((DT104-DS104)*(DU104-DT104)&lt;0,1,0)</f>
        <v>0</v>
      </c>
      <c r="DX104" s="0" t="n">
        <f aca="false">ABS(DV104)/(ABS(DV104)+ABS(DV105))</f>
        <v>0.490640261877195</v>
      </c>
      <c r="DY104" s="0" t="n">
        <f aca="false">DH104+DX104*(DH105-DH104)</f>
        <v>6.50935972746973E-006</v>
      </c>
    </row>
    <row r="105" customFormat="false" ht="12.75" hidden="false" customHeight="false" outlineLevel="0" collapsed="false">
      <c r="DB105" s="6"/>
      <c r="DE105" s="6"/>
      <c r="DH105" s="0" t="n">
        <f aca="false">DH104-$DI$6</f>
        <v>5.99999999018053E-006</v>
      </c>
      <c r="DI105" s="6" t="n">
        <f aca="false">$C$6+$C$7*DH105+$C$8*DH105^2+$C$9*DH105^3+$C$10*DH105^4+$C$11*DH105^5</f>
        <v>9.40000000098195</v>
      </c>
      <c r="DJ105" s="0" t="n">
        <f aca="false">DH105*DI105*1000</f>
        <v>0.0563999999135886</v>
      </c>
      <c r="DK105" s="0" t="n">
        <f aca="false">MIN(MAX(0.2,$E$5*SQRT(DH105)*($C$4/DI105/1000)^0.75),5)</f>
        <v>0.2</v>
      </c>
      <c r="DL105" s="0" t="n">
        <f aca="false">$AH$42+($AI$42-$AH$42)*($DK105-$AH$41)/($AI$41-$AH$41)</f>
        <v>0.42</v>
      </c>
      <c r="DM105" s="0" t="n">
        <f aca="false">$AH$43+($AI$43-$AH$43)*($DK105-$AH$41)/($AI$41-$AH$41)</f>
        <v>0.69</v>
      </c>
      <c r="DN105" s="0" t="n">
        <f aca="false">$AH$44+($AI$44-$AH$44)*($DK105-$AH$41)/($AI$41-$AH$41)</f>
        <v>-0.11</v>
      </c>
      <c r="DO105" s="0" t="n">
        <f aca="false">$AH$45+($AI$45-$AH$45)*($DK105-$AH$41)/($AI$41-$AH$41)</f>
        <v>0</v>
      </c>
      <c r="DP105" s="0" t="n">
        <f aca="false">($DL105+$DM105*($DH104/$DH105)+$DN105*($DH104/$DH105)^2+$DO105*($DH104/$DH105)^3)</f>
        <v>1.07527777777778</v>
      </c>
      <c r="DQ105" s="0" t="n">
        <f aca="false">(DL105+DM105+DN105+DO105)</f>
        <v>1</v>
      </c>
      <c r="DR105" s="0" t="n">
        <f aca="false">($DL105+$DM105*($DH106/$DH105)+$DN105*($DH106/$DH105)^2+$DO105*($DH106/$DH105)^3)</f>
        <v>0.918611111111111</v>
      </c>
      <c r="DS105" s="0" t="n">
        <f aca="false">DJ104/DP105</f>
        <v>0.0605424953875796</v>
      </c>
      <c r="DT105" s="0" t="n">
        <f aca="false">DJ105/DQ105</f>
        <v>0.0563999999135886</v>
      </c>
      <c r="DU105" s="0" t="n">
        <f aca="false">DJ106/DR105</f>
        <v>0.0517084970471346</v>
      </c>
      <c r="DV105" s="0" t="n">
        <f aca="false">DU105-DS105</f>
        <v>-0.00883399834044498</v>
      </c>
      <c r="DW105" s="0" t="n">
        <f aca="false">IF((DT105-DS105)*(DU105-DT105)&lt;0,1,0)</f>
        <v>0</v>
      </c>
      <c r="DX105" s="0" t="n">
        <f aca="false">ABS(DV105)/(ABS(DV105)+ABS(DV106))</f>
        <v>0.490636942499036</v>
      </c>
      <c r="DY105" s="0" t="n">
        <f aca="false">DH105+DX105*(DH106-DH105)</f>
        <v>5.50936304848446E-006</v>
      </c>
    </row>
    <row r="106" customFormat="false" ht="12.75" hidden="false" customHeight="false" outlineLevel="0" collapsed="false">
      <c r="DB106" s="6"/>
      <c r="DE106" s="6"/>
      <c r="DH106" s="0" t="n">
        <f aca="false">DH105-$DI$6</f>
        <v>4.99999999181711E-006</v>
      </c>
      <c r="DI106" s="6" t="n">
        <f aca="false">$C$6+$C$7*DH106+$C$8*DH106^2+$C$9*DH106^3+$C$10*DH106^4+$C$11*DH106^5</f>
        <v>9.50000000081829</v>
      </c>
      <c r="DJ106" s="0" t="n">
        <f aca="false">DH106*DI106*1000</f>
        <v>0.047499999926354</v>
      </c>
      <c r="DK106" s="0" t="n">
        <f aca="false">MIN(MAX(0.2,$E$5*SQRT(DH106)*($C$4/DI106/1000)^0.75),5)</f>
        <v>0.2</v>
      </c>
      <c r="DL106" s="0" t="n">
        <f aca="false">$AH$42+($AI$42-$AH$42)*($DK106-$AH$41)/($AI$41-$AH$41)</f>
        <v>0.42</v>
      </c>
      <c r="DM106" s="0" t="n">
        <f aca="false">$AH$43+($AI$43-$AH$43)*($DK106-$AH$41)/($AI$41-$AH$41)</f>
        <v>0.69</v>
      </c>
      <c r="DN106" s="0" t="n">
        <f aca="false">$AH$44+($AI$44-$AH$44)*($DK106-$AH$41)/($AI$41-$AH$41)</f>
        <v>-0.11</v>
      </c>
      <c r="DO106" s="0" t="n">
        <f aca="false">$AH$45+($AI$45-$AH$45)*($DK106-$AH$41)/($AI$41-$AH$41)</f>
        <v>0</v>
      </c>
      <c r="DP106" s="0" t="n">
        <f aca="false">($DL106+$DM106*($DH105/$DH106)+$DN106*($DH105/$DH106)^2+$DO106*($DH105/$DH106)^3)</f>
        <v>1.0896</v>
      </c>
      <c r="DQ106" s="0" t="n">
        <f aca="false">(DL106+DM106+DN106+DO106)</f>
        <v>1</v>
      </c>
      <c r="DR106" s="0" t="n">
        <f aca="false">($DL106+$DM106*($DH107/$DH106)+$DN106*($DH107/$DH106)^2+$DO106*($DH107/$DH106)^3)</f>
        <v>0.9016</v>
      </c>
      <c r="DS106" s="0" t="n">
        <f aca="false">DJ105/DP106</f>
        <v>0.0517621144581393</v>
      </c>
      <c r="DT106" s="0" t="n">
        <f aca="false">DJ106/DQ106</f>
        <v>0.047499999926354</v>
      </c>
      <c r="DU106" s="0" t="n">
        <f aca="false">DJ107/DR106</f>
        <v>0.0425909493564484</v>
      </c>
      <c r="DV106" s="0" t="n">
        <f aca="false">DU106-DS106</f>
        <v>-0.00917116510169093</v>
      </c>
      <c r="DW106" s="0" t="n">
        <f aca="false">IF((DT106-DS106)*(DU106-DT106)&lt;0,1,0)</f>
        <v>0</v>
      </c>
      <c r="DX106" s="0" t="n">
        <f aca="false">ABS(DV106)/(ABS(DV106)+ABS(DV107))</f>
        <v>0.490266965062954</v>
      </c>
      <c r="DY106" s="0" t="n">
        <f aca="false">DH106+DX106*(DH107-DH106)</f>
        <v>4.50973302755651E-006</v>
      </c>
    </row>
    <row r="107" customFormat="false" ht="12.75" hidden="false" customHeight="false" outlineLevel="0" collapsed="false">
      <c r="B107" s="43"/>
      <c r="E107" s="43"/>
      <c r="AG107" s="42"/>
      <c r="AH107" s="42"/>
      <c r="AI107" s="42"/>
      <c r="AK107" s="42"/>
      <c r="DB107" s="6"/>
      <c r="DE107" s="6"/>
      <c r="DH107" s="0" t="n">
        <f aca="false">DH106-$DI$6</f>
        <v>3.99999999345368E-006</v>
      </c>
      <c r="DI107" s="6" t="n">
        <f aca="false">$C$6+$C$7*DH107+$C$8*DH107^2+$C$9*DH107^3+$C$10*DH107^4+$C$11*DH107^5</f>
        <v>9.60000000065463</v>
      </c>
      <c r="DJ107" s="0" t="n">
        <f aca="false">DH107*DI107*1000</f>
        <v>0.0383999999397739</v>
      </c>
      <c r="DK107" s="0" t="n">
        <f aca="false">MIN(MAX(0.2,$E$5*SQRT(DH107)*($C$4/DI107/1000)^0.75),5)</f>
        <v>0.2</v>
      </c>
      <c r="DL107" s="0" t="n">
        <f aca="false">$AH$42+($AI$42-$AH$42)*($DK107-$AH$41)/($AI$41-$AH$41)</f>
        <v>0.42</v>
      </c>
      <c r="DM107" s="0" t="n">
        <f aca="false">$AH$43+($AI$43-$AH$43)*($DK107-$AH$41)/($AI$41-$AH$41)</f>
        <v>0.69</v>
      </c>
      <c r="DN107" s="0" t="n">
        <f aca="false">$AH$44+($AI$44-$AH$44)*($DK107-$AH$41)/($AI$41-$AH$41)</f>
        <v>-0.11</v>
      </c>
      <c r="DO107" s="0" t="n">
        <f aca="false">$AH$45+($AI$45-$AH$45)*($DK107-$AH$41)/($AI$41-$AH$41)</f>
        <v>0</v>
      </c>
      <c r="DP107" s="0" t="n">
        <f aca="false">($DL107+$DM107*($DH106/$DH107)+$DN107*($DH106/$DH107)^2+$DO107*($DH106/$DH107)^3)</f>
        <v>1.110625</v>
      </c>
      <c r="DQ107" s="0" t="n">
        <f aca="false">(DL107+DM107+DN107+DO107)</f>
        <v>1</v>
      </c>
      <c r="DR107" s="0" t="n">
        <f aca="false">($DL107+$DM107*($DH108/$DH107)+$DN107*($DH108/$DH107)^2+$DO107*($DH108/$DH107)^3)</f>
        <v>0.875625</v>
      </c>
      <c r="DS107" s="0" t="n">
        <f aca="false">DJ106/DP107</f>
        <v>0.0427687112448882</v>
      </c>
      <c r="DT107" s="0" t="n">
        <f aca="false">DJ107/DQ107</f>
        <v>0.0383999999397739</v>
      </c>
      <c r="DU107" s="0" t="n">
        <f aca="false">DJ108/DR107</f>
        <v>0.0332334046582138</v>
      </c>
      <c r="DV107" s="0" t="n">
        <f aca="false">DU107-DS107</f>
        <v>-0.00953530658667437</v>
      </c>
      <c r="DW107" s="0" t="n">
        <f aca="false">IF((DT107-DS107)*(DU107-DT107)&lt;0,1,0)</f>
        <v>0</v>
      </c>
      <c r="DX107" s="0" t="n">
        <f aca="false">ABS(DV107)/(ABS(DV107)+ABS(DV108))</f>
        <v>0.488844257131157</v>
      </c>
      <c r="DY107" s="0" t="n">
        <f aca="false">DH107+DX107*(DH108-DH107)</f>
        <v>3.51115573712256E-006</v>
      </c>
    </row>
    <row r="108" customFormat="false" ht="12.75" hidden="false" customHeight="false" outlineLevel="0" collapsed="false">
      <c r="R108" s="43"/>
      <c r="DB108" s="6"/>
      <c r="DE108" s="6"/>
      <c r="DH108" s="0" t="n">
        <f aca="false">DH107-$DI$6</f>
        <v>2.99999999509026E-006</v>
      </c>
      <c r="DI108" s="6" t="n">
        <f aca="false">$C$6+$C$7*DH108+$C$8*DH108^2+$C$9*DH108^3+$C$10*DH108^4+$C$11*DH108^5</f>
        <v>9.70000000049097</v>
      </c>
      <c r="DJ108" s="0" t="n">
        <f aca="false">DH108*DI108*1000</f>
        <v>0.0290999999538485</v>
      </c>
      <c r="DK108" s="0" t="n">
        <f aca="false">MIN(MAX(0.2,$E$5*SQRT(DH108)*($C$4/DI108/1000)^0.75),5)</f>
        <v>0.2</v>
      </c>
      <c r="DL108" s="0" t="n">
        <f aca="false">$AH$42+($AI$42-$AH$42)*($DK108-$AH$41)/($AI$41-$AH$41)</f>
        <v>0.42</v>
      </c>
      <c r="DM108" s="0" t="n">
        <f aca="false">$AH$43+($AI$43-$AH$43)*($DK108-$AH$41)/($AI$41-$AH$41)</f>
        <v>0.69</v>
      </c>
      <c r="DN108" s="0" t="n">
        <f aca="false">$AH$44+($AI$44-$AH$44)*($DK108-$AH$41)/($AI$41-$AH$41)</f>
        <v>-0.11</v>
      </c>
      <c r="DO108" s="0" t="n">
        <f aca="false">$AH$45+($AI$45-$AH$45)*($DK108-$AH$41)/($AI$41-$AH$41)</f>
        <v>0</v>
      </c>
      <c r="DP108" s="0" t="n">
        <f aca="false">($DL108+$DM108*($DH107/$DH108)+$DN108*($DH107/$DH108)^2+$DO108*($DH107/$DH108)^3)</f>
        <v>1.14444444444444</v>
      </c>
      <c r="DQ108" s="0" t="n">
        <f aca="false">(DL108+DM108+DN108+DO108)</f>
        <v>1</v>
      </c>
      <c r="DR108" s="0" t="n">
        <f aca="false">($DL108+$DM108*($DH109/$DH108)+$DN108*($DH109/$DH108)^2+$DO108*($DH109/$DH108)^3)</f>
        <v>0.831111111111111</v>
      </c>
      <c r="DS108" s="0" t="n">
        <f aca="false">DJ107/DP108</f>
        <v>0.0335533980056277</v>
      </c>
      <c r="DT108" s="0" t="n">
        <f aca="false">DJ108/DQ108</f>
        <v>0.0290999999538485</v>
      </c>
      <c r="DU108" s="0" t="n">
        <f aca="false">DJ109/DR108</f>
        <v>0.0235828876627272</v>
      </c>
      <c r="DV108" s="0" t="n">
        <f aca="false">DU108-DS108</f>
        <v>-0.00997051034290051</v>
      </c>
      <c r="DW108" s="0" t="n">
        <f aca="false">IF((DT108-DS108)*(DU108-DT108)&lt;0,1,0)</f>
        <v>0</v>
      </c>
      <c r="DX108" s="0" t="n">
        <f aca="false">ABS(DV108)/(ABS(DV108)+ABS(DV109))</f>
        <v>0.482923224086988</v>
      </c>
      <c r="DY108" s="0" t="n">
        <f aca="false">DH108+DX108*(DH109-DH108)</f>
        <v>2.51707677179362E-006</v>
      </c>
    </row>
    <row r="109" customFormat="false" ht="12.75" hidden="false" customHeight="false" outlineLevel="0" collapsed="false">
      <c r="R109" s="43"/>
      <c r="DB109" s="6"/>
      <c r="DE109" s="6"/>
      <c r="DH109" s="0" t="n">
        <f aca="false">DH108-$DI$6</f>
        <v>1.99999999672684E-006</v>
      </c>
      <c r="DI109" s="6" t="n">
        <f aca="false">$C$6+$C$7*DH109+$C$8*DH109^2+$C$9*DH109^3+$C$10*DH109^4+$C$11*DH109^5</f>
        <v>9.80000000032732</v>
      </c>
      <c r="DJ109" s="0" t="n">
        <f aca="false">DH109*DI109*1000</f>
        <v>0.0195999999685777</v>
      </c>
      <c r="DK109" s="0" t="n">
        <f aca="false">MIN(MAX(0.2,$E$5*SQRT(DH109)*($C$4/DI109/1000)^0.75),5)</f>
        <v>0.2</v>
      </c>
      <c r="DL109" s="0" t="n">
        <f aca="false">$AH$42+($AI$42-$AH$42)*($DK109-$AH$41)/($AI$41-$AH$41)</f>
        <v>0.42</v>
      </c>
      <c r="DM109" s="0" t="n">
        <f aca="false">$AH$43+($AI$43-$AH$43)*($DK109-$AH$41)/($AI$41-$AH$41)</f>
        <v>0.69</v>
      </c>
      <c r="DN109" s="0" t="n">
        <f aca="false">$AH$44+($AI$44-$AH$44)*($DK109-$AH$41)/($AI$41-$AH$41)</f>
        <v>-0.11</v>
      </c>
      <c r="DO109" s="0" t="n">
        <f aca="false">$AH$45+($AI$45-$AH$45)*($DK109-$AH$41)/($AI$41-$AH$41)</f>
        <v>0</v>
      </c>
      <c r="DP109" s="0" t="n">
        <f aca="false">($DL109+$DM109*($DH108/$DH109)+$DN109*($DH108/$DH109)^2+$DO109*($DH108/$DH109)^3)</f>
        <v>1.2075</v>
      </c>
      <c r="DQ109" s="0" t="n">
        <f aca="false">(DL109+DM109+DN109+DO109)</f>
        <v>1</v>
      </c>
      <c r="DR109" s="0" t="n">
        <f aca="false">($DL109+$DM109*($DH110/$DH109)+$DN109*($DH110/$DH109)^2+$DO109*($DH110/$DH109)^3)</f>
        <v>0.7375</v>
      </c>
      <c r="DS109" s="0" t="n">
        <f aca="false">DJ108/DP109</f>
        <v>0.0240993788437669</v>
      </c>
      <c r="DT109" s="0" t="n">
        <f aca="false">DJ109/DQ109</f>
        <v>0.0195999999685777</v>
      </c>
      <c r="DU109" s="0" t="n">
        <f aca="false">DJ110/DR109</f>
        <v>0.0134237287918122</v>
      </c>
      <c r="DV109" s="0" t="n">
        <f aca="false">DU109-DS109</f>
        <v>-0.0106756500519546</v>
      </c>
      <c r="DW109" s="0" t="n">
        <f aca="false">IF((DT109-DS109)*(DU109-DT109)&lt;0,1,0)</f>
        <v>0</v>
      </c>
      <c r="DX109" s="0" t="n">
        <f aca="false">ABS(DV109)/(ABS(DV109)+ABS(DV110))</f>
        <v>0.425538070177263</v>
      </c>
      <c r="DY109" s="0" t="n">
        <f aca="false">DH109+DX109*(DH110-DH109)</f>
        <v>1.57446192724601E-006</v>
      </c>
    </row>
    <row r="110" customFormat="false" ht="12.75" hidden="false" customHeight="false" outlineLevel="0" collapsed="false">
      <c r="AH110" s="42"/>
      <c r="AK110" s="42"/>
      <c r="DB110" s="6"/>
      <c r="DE110" s="6"/>
      <c r="DH110" s="0" t="n">
        <f aca="false">DH109-$DI$6</f>
        <v>9.99999998363421E-007</v>
      </c>
      <c r="DI110" s="6" t="n">
        <f aca="false">$C$6+$C$7*DH110+$C$8*DH110^2+$C$9*DH110^3+$C$10*DH110^4+$C$11*DH110^5</f>
        <v>9.90000000016366</v>
      </c>
      <c r="DJ110" s="0" t="n">
        <f aca="false">DH110*DI110*1000</f>
        <v>0.00989999998396153</v>
      </c>
      <c r="DK110" s="0" t="n">
        <f aca="false">MIN(MAX(0.2,$E$5*SQRT(DH110)*($C$4/DI110/1000)^0.75),5)</f>
        <v>0.2</v>
      </c>
      <c r="DL110" s="0" t="n">
        <f aca="false">$AH$42+($AI$42-$AH$42)*($DK110-$AH$41)/($AI$41-$AH$41)</f>
        <v>0.42</v>
      </c>
      <c r="DM110" s="0" t="n">
        <f aca="false">$AH$43+($AI$43-$AH$43)*($DK110-$AH$41)/($AI$41-$AH$41)</f>
        <v>0.69</v>
      </c>
      <c r="DN110" s="0" t="n">
        <f aca="false">$AH$44+($AI$44-$AH$44)*($DK110-$AH$41)/($AI$41-$AH$41)</f>
        <v>-0.11</v>
      </c>
      <c r="DO110" s="0" t="n">
        <f aca="false">$AH$45+($AI$45-$AH$45)*($DK110-$AH$41)/($AI$41-$AH$41)</f>
        <v>0</v>
      </c>
      <c r="DP110" s="0" t="n">
        <f aca="false">($DL110+$DM110*($DH109/$DH110)+$DN110*($DH109/$DH110)^2+$DO110*($DH109/$DH110)^3)</f>
        <v>1.36</v>
      </c>
      <c r="DQ110" s="0" t="n">
        <f aca="false">(DL110+DM110+DN110+DO110)</f>
        <v>1</v>
      </c>
      <c r="DR110" s="0" t="n">
        <f aca="false">($DL110+$DM110*($DH111/$DH110)+$DN110*($DH111/$DH110)^2+$DO110*($DH111/$DH110)^3)</f>
        <v>0.42</v>
      </c>
      <c r="DS110" s="0" t="n">
        <f aca="false">DJ109/DP110</f>
        <v>0.0144117646827777</v>
      </c>
      <c r="DT110" s="0" t="n">
        <f aca="false">DJ110/DQ110</f>
        <v>0.00989999998396153</v>
      </c>
      <c r="DU110" s="0" t="n">
        <f aca="false">DJ111/DR110</f>
        <v>0</v>
      </c>
      <c r="DV110" s="0" t="n">
        <f aca="false">DU110-DS110</f>
        <v>-0.0144117646827777</v>
      </c>
      <c r="DW110" s="0" t="n">
        <f aca="false">IF((DT110-DS110)*(DU110-DT110)&lt;0,1,0)</f>
        <v>0</v>
      </c>
      <c r="DX110" s="0" t="n">
        <f aca="false">ABS(DV110)/(ABS(DV110)+ABS(DV111))</f>
        <v>1</v>
      </c>
      <c r="DY110" s="0" t="n">
        <f aca="false">DH110+DX110*(DH111-DH110)</f>
        <v>0</v>
      </c>
    </row>
    <row r="111" customFormat="false" ht="12.75" hidden="false" customHeight="false" outlineLevel="0" collapsed="false">
      <c r="R111" s="6"/>
      <c r="AG111" s="42"/>
      <c r="AH111" s="42"/>
      <c r="AK111" s="42"/>
      <c r="DB111" s="6"/>
      <c r="DE111" s="6"/>
      <c r="DI111" s="6"/>
    </row>
    <row r="112" customFormat="false" ht="12.75" hidden="false" customHeight="false" outlineLevel="0" collapsed="false">
      <c r="R112" s="6"/>
      <c r="T112" s="6"/>
      <c r="AG112" s="42"/>
      <c r="AH112" s="42"/>
      <c r="AK112" s="42"/>
      <c r="DB112" s="6"/>
      <c r="DE112" s="6"/>
      <c r="DI112" s="6"/>
    </row>
    <row r="113" customFormat="false" ht="12.75" hidden="false" customHeight="false" outlineLevel="0" collapsed="false">
      <c r="AG113" s="42"/>
      <c r="AH113" s="42"/>
      <c r="AK113" s="42"/>
      <c r="DB113" s="6"/>
      <c r="DE113" s="6"/>
      <c r="DI113" s="6"/>
    </row>
    <row r="114" customFormat="false" ht="12.75" hidden="false" customHeight="false" outlineLevel="0" collapsed="false">
      <c r="AG114" s="42"/>
      <c r="AH114" s="42"/>
      <c r="AK114" s="42"/>
      <c r="DB114" s="6"/>
      <c r="DE114" s="6"/>
    </row>
    <row r="115" customFormat="false" ht="12.75" hidden="false" customHeight="false" outlineLevel="0" collapsed="false">
      <c r="AG115" s="42"/>
      <c r="AH115" s="42"/>
      <c r="AK115" s="42"/>
      <c r="DB115" s="6"/>
      <c r="DE115" s="6"/>
    </row>
    <row r="116" customFormat="false" ht="12.75" hidden="false" customHeight="false" outlineLevel="0" collapsed="false">
      <c r="AG116" s="42"/>
      <c r="AH116" s="42"/>
      <c r="AK116" s="42"/>
      <c r="DB116" s="6"/>
      <c r="DE116" s="6"/>
    </row>
    <row r="117" customFormat="false" ht="12.75" hidden="false" customHeight="false" outlineLevel="0" collapsed="false">
      <c r="E117" s="9"/>
      <c r="F117" s="9"/>
      <c r="R117" s="6"/>
      <c r="AG117" s="42"/>
      <c r="AH117" s="42"/>
      <c r="AK117" s="42"/>
      <c r="DB117" s="6"/>
    </row>
    <row r="118" customFormat="false" ht="12.75" hidden="false" customHeight="false" outlineLevel="0" collapsed="false">
      <c r="E118" s="9"/>
      <c r="F118" s="9"/>
      <c r="R118" s="6"/>
      <c r="AG118" s="42"/>
      <c r="AH118" s="42"/>
      <c r="AK118" s="42"/>
      <c r="DB118" s="6"/>
    </row>
    <row r="119" customFormat="false" ht="12.75" hidden="false" customHeight="false" outlineLevel="0" collapsed="false">
      <c r="AG119" s="42"/>
      <c r="AH119" s="42"/>
      <c r="AK119" s="42"/>
      <c r="DB119" s="6"/>
    </row>
    <row r="120" customFormat="false" ht="12.75" hidden="false" customHeight="false" outlineLevel="0" collapsed="false">
      <c r="AG120" s="42"/>
      <c r="AH120" s="42"/>
      <c r="AK120" s="42"/>
      <c r="DB120" s="6"/>
    </row>
    <row r="121" customFormat="false" ht="12.75" hidden="false" customHeight="false" outlineLevel="0" collapsed="false">
      <c r="AG121" s="42"/>
      <c r="AH121" s="42"/>
      <c r="AK121" s="42"/>
      <c r="DB121" s="6"/>
    </row>
    <row r="122" customFormat="false" ht="12.75" hidden="false" customHeight="false" outlineLevel="0" collapsed="false">
      <c r="AG122" s="42"/>
      <c r="AH122" s="42"/>
      <c r="AK122" s="42"/>
      <c r="DB122" s="6"/>
    </row>
    <row r="123" customFormat="false" ht="12.75" hidden="false" customHeight="false" outlineLevel="0" collapsed="false">
      <c r="AG123" s="42"/>
      <c r="AH123" s="42"/>
      <c r="AK123" s="42"/>
      <c r="AN123" s="42"/>
      <c r="DB123" s="6"/>
    </row>
    <row r="124" customFormat="false" ht="12.75" hidden="false" customHeight="false" outlineLevel="0" collapsed="false">
      <c r="R124" s="43"/>
      <c r="AG124" s="42"/>
      <c r="AH124" s="42"/>
      <c r="AK124" s="42"/>
      <c r="DB124" s="6"/>
    </row>
    <row r="125" customFormat="false" ht="12.75" hidden="false" customHeight="false" outlineLevel="0" collapsed="false">
      <c r="AG125" s="42"/>
      <c r="AH125" s="42"/>
      <c r="AK125" s="42"/>
      <c r="DB125" s="6"/>
    </row>
    <row r="126" customFormat="false" ht="12.75" hidden="false" customHeight="false" outlineLevel="0" collapsed="false">
      <c r="AG126" s="42"/>
      <c r="AH126" s="42"/>
      <c r="AK126" s="42"/>
      <c r="AN126" s="42"/>
      <c r="DB126" s="6"/>
    </row>
    <row r="127" customFormat="false" ht="12.75" hidden="false" customHeight="false" outlineLevel="0" collapsed="false">
      <c r="AG127" s="42"/>
      <c r="AH127" s="42"/>
      <c r="AK127" s="42"/>
      <c r="DB127" s="6"/>
    </row>
    <row r="128" customFormat="false" ht="12.75" hidden="false" customHeight="false" outlineLevel="0" collapsed="false">
      <c r="AG128" s="42"/>
      <c r="AH128" s="42"/>
      <c r="AK128" s="42"/>
      <c r="DB128" s="6"/>
    </row>
    <row r="129" customFormat="false" ht="12.75" hidden="false" customHeight="false" outlineLevel="0" collapsed="false">
      <c r="AG129" s="42"/>
      <c r="AH129" s="42"/>
      <c r="AK129" s="42"/>
      <c r="DB129" s="6"/>
    </row>
    <row r="130" customFormat="false" ht="12.75" hidden="false" customHeight="false" outlineLevel="0" collapsed="false">
      <c r="AG130" s="42"/>
      <c r="AH130" s="42"/>
      <c r="AK130" s="42"/>
      <c r="DB130" s="6"/>
    </row>
    <row r="131" customFormat="false" ht="12.75" hidden="false" customHeight="false" outlineLevel="0" collapsed="false">
      <c r="R131" s="43"/>
      <c r="AG131" s="42"/>
      <c r="AH131" s="42"/>
      <c r="AK131" s="42"/>
      <c r="DB131" s="6"/>
    </row>
    <row r="132" customFormat="false" ht="12.75" hidden="false" customHeight="false" outlineLevel="0" collapsed="false">
      <c r="R132" s="43"/>
      <c r="AG132" s="42"/>
      <c r="AH132" s="42"/>
      <c r="AK132" s="42"/>
      <c r="DB132" s="6"/>
    </row>
    <row r="133" customFormat="false" ht="12.75" hidden="false" customHeight="false" outlineLevel="0" collapsed="false">
      <c r="A133" s="1" t="s">
        <v>210</v>
      </c>
      <c r="B133" s="0" t="s">
        <v>233</v>
      </c>
      <c r="AG133" s="42"/>
      <c r="AH133" s="42"/>
      <c r="AK133" s="42"/>
      <c r="DB133" s="6"/>
    </row>
    <row r="134" customFormat="false" ht="12.75" hidden="false" customHeight="false" outlineLevel="0" collapsed="false">
      <c r="E134" s="0" t="s">
        <v>234</v>
      </c>
      <c r="AG134" s="42"/>
      <c r="AH134" s="42"/>
      <c r="AK134" s="42"/>
      <c r="DB134" s="6"/>
    </row>
    <row r="135" customFormat="false" ht="12.75" hidden="false" customHeight="false" outlineLevel="0" collapsed="false">
      <c r="E135" s="0" t="s">
        <v>235</v>
      </c>
      <c r="AG135" s="42"/>
      <c r="AH135" s="42"/>
      <c r="AK135" s="42"/>
      <c r="CM135" s="44"/>
      <c r="CN135" s="44"/>
      <c r="DB135" s="6"/>
    </row>
    <row r="136" customFormat="false" ht="12.75" hidden="false" customHeight="false" outlineLevel="0" collapsed="false">
      <c r="E136" s="0" t="s">
        <v>236</v>
      </c>
      <c r="AG136" s="42"/>
      <c r="AH136" s="42"/>
      <c r="AK136" s="42"/>
      <c r="CM136" s="44"/>
      <c r="CN136" s="44"/>
      <c r="CO136" s="44"/>
      <c r="DB136" s="6"/>
    </row>
    <row r="137" customFormat="false" ht="12.75" hidden="false" customHeight="false" outlineLevel="0" collapsed="false">
      <c r="E137" s="0" t="s">
        <v>237</v>
      </c>
      <c r="AG137" s="42"/>
      <c r="AH137" s="42"/>
      <c r="AK137" s="42"/>
      <c r="CM137" s="44"/>
      <c r="CN137" s="44"/>
      <c r="CO137" s="44"/>
      <c r="DB137" s="6"/>
    </row>
    <row r="138" customFormat="false" ht="12.75" hidden="false" customHeight="false" outlineLevel="0" collapsed="false">
      <c r="E138" s="0" t="s">
        <v>209</v>
      </c>
      <c r="AG138" s="42"/>
      <c r="AH138" s="42"/>
      <c r="AK138" s="42"/>
      <c r="CM138" s="44"/>
      <c r="CN138" s="44"/>
      <c r="CO138" s="44"/>
      <c r="DB138" s="6"/>
    </row>
    <row r="139" customFormat="false" ht="12.75" hidden="false" customHeight="false" outlineLevel="0" collapsed="false">
      <c r="AG139" s="42"/>
      <c r="AH139" s="42"/>
      <c r="AK139" s="42"/>
      <c r="CM139" s="44" t="s">
        <v>238</v>
      </c>
      <c r="CN139" s="44"/>
      <c r="DB139" s="6"/>
    </row>
    <row r="140" customFormat="false" ht="12.75" hidden="false" customHeight="false" outlineLevel="0" collapsed="false">
      <c r="H140" s="0" t="s">
        <v>239</v>
      </c>
      <c r="AG140" s="42"/>
      <c r="AH140" s="42"/>
      <c r="AK140" s="42"/>
      <c r="CM140" s="44" t="s">
        <v>240</v>
      </c>
      <c r="CN140" s="44"/>
      <c r="CO140" s="44"/>
      <c r="DB140" s="6"/>
    </row>
    <row r="141" customFormat="false" ht="12.75" hidden="false" customHeight="false" outlineLevel="0" collapsed="false">
      <c r="A141" s="0" t="s">
        <v>241</v>
      </c>
      <c r="H141" s="0" t="s">
        <v>242</v>
      </c>
      <c r="AG141" s="42"/>
      <c r="AH141" s="42"/>
      <c r="AK141" s="42"/>
      <c r="CM141" s="44" t="s">
        <v>243</v>
      </c>
      <c r="CN141" s="44"/>
      <c r="CO141" s="44"/>
      <c r="DB141" s="6"/>
    </row>
    <row r="142" customFormat="false" ht="12.75" hidden="false" customHeight="false" outlineLevel="0" collapsed="false">
      <c r="A142" s="0" t="s">
        <v>244</v>
      </c>
      <c r="H142" s="0" t="s">
        <v>245</v>
      </c>
      <c r="AG142" s="42"/>
      <c r="AH142" s="42"/>
      <c r="AK142" s="42"/>
      <c r="CM142" s="44" t="s">
        <v>246</v>
      </c>
      <c r="CN142" s="44"/>
      <c r="CO142" s="44"/>
      <c r="DB142" s="6"/>
    </row>
    <row r="143" customFormat="false" ht="12.75" hidden="false" customHeight="false" outlineLevel="0" collapsed="false">
      <c r="A143" s="0" t="s">
        <v>247</v>
      </c>
      <c r="C143" s="0" t="s">
        <v>248</v>
      </c>
      <c r="H143" s="0" t="s">
        <v>249</v>
      </c>
      <c r="I143" s="0" t="s">
        <v>47</v>
      </c>
      <c r="J143" s="0" t="n">
        <v>1</v>
      </c>
      <c r="Q143" s="0" t="s">
        <v>250</v>
      </c>
      <c r="AG143" s="42"/>
      <c r="AH143" s="42"/>
      <c r="AK143" s="42"/>
      <c r="CM143" s="0" t="s">
        <v>251</v>
      </c>
      <c r="DB143" s="6"/>
    </row>
    <row r="144" customFormat="false" ht="12.75" hidden="false" customHeight="false" outlineLevel="0" collapsed="false">
      <c r="A144" s="0" t="s">
        <v>252</v>
      </c>
      <c r="C144" s="0" t="s">
        <v>253</v>
      </c>
      <c r="I144" s="0" t="s">
        <v>48</v>
      </c>
      <c r="J144" s="0" t="s">
        <v>254</v>
      </c>
      <c r="Q144" s="0" t="s">
        <v>255</v>
      </c>
      <c r="AG144" s="42"/>
      <c r="AH144" s="42"/>
      <c r="AK144" s="42"/>
      <c r="CM144" s="0" t="s">
        <v>249</v>
      </c>
      <c r="CN144" s="0" t="s">
        <v>47</v>
      </c>
      <c r="CO144" s="0" t="s">
        <v>126</v>
      </c>
      <c r="DB144" s="6"/>
    </row>
    <row r="145" customFormat="false" ht="12.75" hidden="false" customHeight="false" outlineLevel="0" collapsed="false">
      <c r="A145" s="0" t="s">
        <v>256</v>
      </c>
      <c r="I145" s="0" t="s">
        <v>51</v>
      </c>
      <c r="J145" s="0" t="s">
        <v>257</v>
      </c>
      <c r="Q145" s="0" t="s">
        <v>258</v>
      </c>
      <c r="AG145" s="42"/>
      <c r="AH145" s="42"/>
      <c r="AK145" s="42"/>
      <c r="CN145" s="0" t="s">
        <v>48</v>
      </c>
      <c r="CO145" s="0" t="s">
        <v>130</v>
      </c>
      <c r="DB145" s="6"/>
    </row>
    <row r="146" customFormat="false" ht="12.75" hidden="false" customHeight="false" outlineLevel="0" collapsed="false">
      <c r="A146" s="0" t="s">
        <v>259</v>
      </c>
      <c r="H146" s="0" t="s">
        <v>248</v>
      </c>
      <c r="Q146" s="0" t="s">
        <v>260</v>
      </c>
      <c r="CN146" s="0" t="s">
        <v>51</v>
      </c>
      <c r="CO146" s="0" t="s">
        <v>132</v>
      </c>
      <c r="DB146" s="6"/>
    </row>
    <row r="147" customFormat="false" ht="12.75" hidden="false" customHeight="false" outlineLevel="0" collapsed="false">
      <c r="E147" s="0" t="s">
        <v>261</v>
      </c>
      <c r="V147" s="0" t="s">
        <v>262</v>
      </c>
      <c r="AM147" s="0" t="s">
        <v>263</v>
      </c>
      <c r="BD147" s="0" t="s">
        <v>264</v>
      </c>
      <c r="BU147" s="0" t="s">
        <v>265</v>
      </c>
      <c r="DB147" s="6"/>
    </row>
    <row r="148" customFormat="false" ht="12.75" hidden="false" customHeight="false" outlineLevel="0" collapsed="false">
      <c r="A148" s="0" t="s">
        <v>266</v>
      </c>
      <c r="B148" s="0" t="s">
        <v>267</v>
      </c>
      <c r="C148" s="0" t="s">
        <v>268</v>
      </c>
      <c r="D148" s="0" t="s">
        <v>269</v>
      </c>
      <c r="E148" s="0" t="s">
        <v>270</v>
      </c>
      <c r="F148" s="0" t="s">
        <v>271</v>
      </c>
      <c r="G148" s="0" t="s">
        <v>272</v>
      </c>
      <c r="H148" s="0" t="s">
        <v>273</v>
      </c>
      <c r="I148" s="0" t="s">
        <v>274</v>
      </c>
      <c r="J148" s="0" t="s">
        <v>275</v>
      </c>
      <c r="K148" s="0" t="s">
        <v>276</v>
      </c>
      <c r="L148" s="0" t="s">
        <v>277</v>
      </c>
      <c r="M148" s="0" t="s">
        <v>271</v>
      </c>
      <c r="N148" s="0" t="s">
        <v>272</v>
      </c>
      <c r="O148" s="0" t="s">
        <v>273</v>
      </c>
      <c r="P148" s="0" t="s">
        <v>274</v>
      </c>
      <c r="Q148" s="0" t="s">
        <v>275</v>
      </c>
      <c r="R148" s="0" t="s">
        <v>276</v>
      </c>
      <c r="S148" s="0" t="s">
        <v>278</v>
      </c>
      <c r="T148" s="0" t="s">
        <v>279</v>
      </c>
      <c r="U148" s="0" t="s">
        <v>280</v>
      </c>
      <c r="V148" s="0" t="s">
        <v>270</v>
      </c>
      <c r="W148" s="0" t="s">
        <v>271</v>
      </c>
      <c r="X148" s="0" t="s">
        <v>272</v>
      </c>
      <c r="Y148" s="0" t="s">
        <v>273</v>
      </c>
      <c r="Z148" s="0" t="s">
        <v>274</v>
      </c>
      <c r="AA148" s="0" t="s">
        <v>275</v>
      </c>
      <c r="AB148" s="0" t="s">
        <v>276</v>
      </c>
      <c r="AC148" s="0" t="s">
        <v>277</v>
      </c>
      <c r="AD148" s="0" t="s">
        <v>271</v>
      </c>
      <c r="AE148" s="0" t="s">
        <v>272</v>
      </c>
      <c r="AF148" s="0" t="s">
        <v>273</v>
      </c>
      <c r="AG148" s="0" t="s">
        <v>274</v>
      </c>
      <c r="AH148" s="0" t="s">
        <v>275</v>
      </c>
      <c r="AI148" s="0" t="s">
        <v>276</v>
      </c>
      <c r="AJ148" s="0" t="s">
        <v>278</v>
      </c>
      <c r="AK148" s="0" t="s">
        <v>279</v>
      </c>
      <c r="AL148" s="0" t="s">
        <v>280</v>
      </c>
      <c r="AM148" s="0" t="s">
        <v>270</v>
      </c>
      <c r="AN148" s="0" t="s">
        <v>271</v>
      </c>
      <c r="AO148" s="0" t="s">
        <v>272</v>
      </c>
      <c r="AP148" s="0" t="s">
        <v>273</v>
      </c>
      <c r="AQ148" s="0" t="s">
        <v>274</v>
      </c>
      <c r="AR148" s="0" t="s">
        <v>275</v>
      </c>
      <c r="AS148" s="0" t="s">
        <v>276</v>
      </c>
      <c r="AT148" s="0" t="s">
        <v>277</v>
      </c>
      <c r="AU148" s="0" t="s">
        <v>271</v>
      </c>
      <c r="AV148" s="0" t="s">
        <v>272</v>
      </c>
      <c r="AW148" s="0" t="s">
        <v>273</v>
      </c>
      <c r="AX148" s="0" t="s">
        <v>274</v>
      </c>
      <c r="AY148" s="0" t="s">
        <v>275</v>
      </c>
      <c r="AZ148" s="0" t="s">
        <v>276</v>
      </c>
      <c r="BA148" s="0" t="s">
        <v>278</v>
      </c>
      <c r="BB148" s="0" t="s">
        <v>279</v>
      </c>
      <c r="BC148" s="0" t="s">
        <v>280</v>
      </c>
      <c r="BD148" s="0" t="s">
        <v>270</v>
      </c>
      <c r="BE148" s="0" t="s">
        <v>271</v>
      </c>
      <c r="BF148" s="0" t="s">
        <v>272</v>
      </c>
      <c r="BG148" s="0" t="s">
        <v>273</v>
      </c>
      <c r="BH148" s="0" t="s">
        <v>274</v>
      </c>
      <c r="BI148" s="0" t="s">
        <v>275</v>
      </c>
      <c r="BJ148" s="0" t="s">
        <v>276</v>
      </c>
      <c r="BK148" s="0" t="s">
        <v>277</v>
      </c>
      <c r="BL148" s="0" t="s">
        <v>271</v>
      </c>
      <c r="BM148" s="0" t="s">
        <v>272</v>
      </c>
      <c r="BN148" s="0" t="s">
        <v>273</v>
      </c>
      <c r="BO148" s="0" t="s">
        <v>274</v>
      </c>
      <c r="BP148" s="0" t="s">
        <v>275</v>
      </c>
      <c r="BQ148" s="0" t="s">
        <v>276</v>
      </c>
      <c r="BR148" s="0" t="s">
        <v>278</v>
      </c>
      <c r="BS148" s="0" t="s">
        <v>279</v>
      </c>
      <c r="BT148" s="0" t="s">
        <v>280</v>
      </c>
      <c r="BU148" s="0" t="s">
        <v>270</v>
      </c>
      <c r="BV148" s="0" t="s">
        <v>271</v>
      </c>
      <c r="BW148" s="0" t="s">
        <v>272</v>
      </c>
      <c r="BX148" s="0" t="s">
        <v>273</v>
      </c>
      <c r="BY148" s="0" t="s">
        <v>274</v>
      </c>
      <c r="BZ148" s="0" t="s">
        <v>275</v>
      </c>
      <c r="CA148" s="0" t="s">
        <v>276</v>
      </c>
      <c r="CB148" s="0" t="s">
        <v>277</v>
      </c>
      <c r="CC148" s="0" t="s">
        <v>271</v>
      </c>
      <c r="CD148" s="0" t="s">
        <v>272</v>
      </c>
      <c r="CE148" s="0" t="s">
        <v>273</v>
      </c>
      <c r="CF148" s="0" t="s">
        <v>274</v>
      </c>
      <c r="CG148" s="0" t="s">
        <v>275</v>
      </c>
      <c r="CH148" s="0" t="s">
        <v>276</v>
      </c>
      <c r="CI148" s="0" t="s">
        <v>278</v>
      </c>
      <c r="CJ148" s="0" t="s">
        <v>279</v>
      </c>
      <c r="CK148" s="0" t="s">
        <v>280</v>
      </c>
      <c r="CL148" s="0" t="s">
        <v>281</v>
      </c>
      <c r="CM148" s="0" t="s">
        <v>282</v>
      </c>
      <c r="CN148" s="0" t="s">
        <v>283</v>
      </c>
      <c r="CO148" s="0" t="s">
        <v>284</v>
      </c>
      <c r="CP148" s="0" t="s">
        <v>285</v>
      </c>
      <c r="DB148" s="6"/>
    </row>
    <row r="149" customFormat="false" ht="12.75" hidden="false" customHeight="false" outlineLevel="0" collapsed="false">
      <c r="A149" s="0" t="n">
        <v>0</v>
      </c>
      <c r="B149" s="0" t="n">
        <f aca="false">A149*$AC$68</f>
        <v>0</v>
      </c>
      <c r="C149" s="0" t="n">
        <f aca="false">$C$39*($B149-$C$21)</f>
        <v>-18</v>
      </c>
      <c r="D149" s="0" t="n">
        <f aca="false">$C$39*($B149-$C$27)</f>
        <v>-12</v>
      </c>
      <c r="E149" s="0" t="n">
        <f aca="false">$AC$71</f>
        <v>0.0474257507541105</v>
      </c>
      <c r="F149" s="0" t="n">
        <f aca="false">-E149*$AC$51</f>
        <v>-4.96641300533647</v>
      </c>
      <c r="G149" s="0" t="n">
        <f aca="false">-E149*$AD$51</f>
        <v>-2.48320650266823</v>
      </c>
      <c r="H149" s="0" t="n">
        <f aca="false">(-F149+SQRT(F149^2-4*$C149))/2</f>
        <v>7.3991310886331</v>
      </c>
      <c r="I149" s="0" t="n">
        <f aca="false">(-G149+SQRT(G149^2-4*$D149))/2</f>
        <v>4.92149165096303</v>
      </c>
      <c r="J149" s="0" t="n">
        <f aca="false">IF(H149&lt;&gt;0,($C$21-$B149)*$E149/H149/$AC$51-$AC$60*$AC$51,0)</f>
        <v>0.000159120465591253</v>
      </c>
      <c r="K149" s="0" t="n">
        <f aca="false">IF(I149&lt;&gt;0,($C$27-$B149)*$E149/I149/$AD$51-$AC$60*$AD$51,0)</f>
        <v>0.000355834539851128</v>
      </c>
      <c r="L149" s="0" t="n">
        <f aca="false">E149*1.001</f>
        <v>0.0474731765048646</v>
      </c>
      <c r="M149" s="0" t="n">
        <f aca="false">-L149*$AC$51</f>
        <v>-4.97137941834181</v>
      </c>
      <c r="N149" s="0" t="n">
        <f aca="false">-L149*$AD$51</f>
        <v>-2.4856897091709</v>
      </c>
      <c r="O149" s="0" t="n">
        <f aca="false">(-M149+SQRT(M149^2-4*$C149))/2</f>
        <v>7.40286911715249</v>
      </c>
      <c r="P149" s="0" t="n">
        <f aca="false">(-N149+SQRT(N149^2-4*$D149))/2</f>
        <v>4.92315235974987</v>
      </c>
      <c r="Q149" s="0" t="n">
        <f aca="false">IF(O149&lt;&gt;0,($C$21-$B149)*$L149/O149/$AC$51-$AC$60*$AC$51,0)</f>
        <v>0.000159211276485993</v>
      </c>
      <c r="R149" s="0" t="n">
        <f aca="false">IF(P149&lt;&gt;0,($C$27-$B149)*$L149/P149/$AD$51-$AC$60*$AD$51,0)</f>
        <v>0.000356078336335642</v>
      </c>
      <c r="S149" s="0" t="n">
        <f aca="false">(Q149-J149)/($L149-$E149)</f>
        <v>0.00191480141687055</v>
      </c>
      <c r="T149" s="0" t="n">
        <f aca="false">(R149-K149)/($L149-$E149)</f>
        <v>0.00514059304570024</v>
      </c>
      <c r="U149" s="0" t="n">
        <f aca="false">IF(S149&lt;&gt;T149,(K149-J149)/(S149-T149),0)</f>
        <v>-0.0609816432350414</v>
      </c>
      <c r="V149" s="0" t="n">
        <f aca="false">E149+U149</f>
        <v>-0.0135558924809309</v>
      </c>
      <c r="W149" s="0" t="n">
        <f aca="false">-V149*$AC$51</f>
        <v>1.41956974103152</v>
      </c>
      <c r="X149" s="0" t="n">
        <f aca="false">-V149*$AD$51</f>
        <v>0.709784870515759</v>
      </c>
      <c r="Y149" s="0" t="n">
        <f aca="false">(-W149+SQRT(W149^2-4*$C149))/2</f>
        <v>3.59181884930933</v>
      </c>
      <c r="Z149" s="0" t="n">
        <f aca="false">(-X149+SQRT(X149^2-4*$D149))/2</f>
        <v>3.12734084822605</v>
      </c>
      <c r="AA149" s="0" t="n">
        <f aca="false">IF(Y149&lt;&gt;0,($C$21-$B149)*$V149/Y149/$AC$51-$AC$60*$AC$51,0)</f>
        <v>-0.000132622205398903</v>
      </c>
      <c r="AB149" s="0" t="n">
        <f aca="false">IF(Z149&lt;&gt;0,($C$27-$B149)*$V149/Z149/$AD$51-$AC$60*$AD$51,0)</f>
        <v>-0.00017782206645009</v>
      </c>
      <c r="AC149" s="0" t="n">
        <f aca="false">V149*1.001</f>
        <v>-0.0135694483734118</v>
      </c>
      <c r="AD149" s="0" t="n">
        <f aca="false">-AC149*$AC$51</f>
        <v>1.42098931077255</v>
      </c>
      <c r="AE149" s="0" t="n">
        <f aca="false">-AC149*$AD$51</f>
        <v>0.710494655386275</v>
      </c>
      <c r="AF149" s="0" t="n">
        <f aca="false">(-AD149+SQRT(AD149^2-4*$C149))/2</f>
        <v>3.59122623924793</v>
      </c>
      <c r="AG149" s="0" t="n">
        <f aca="false">(-AE149+SQRT(AE149^2-4*$D149))/2</f>
        <v>3.12702214261399</v>
      </c>
      <c r="AH149" s="0" t="n">
        <f aca="false">IF(AF149&lt;&gt;0,($C$21-$B149)*$AC149/AF149/$AC$51-$AC$60*$AC$51,0)</f>
        <v>-0.000132748184862695</v>
      </c>
      <c r="AI149" s="0" t="n">
        <f aca="false">IF(AG149&lt;&gt;0,($C$27-$B149)*$AC149/AG149/$AD$51-$AC$60*$AD$51,0)</f>
        <v>-0.000178004529295556</v>
      </c>
      <c r="AJ149" s="0" t="n">
        <f aca="false">(AH149-AA149)/($AC149-$V149)</f>
        <v>0.00929333601377477</v>
      </c>
      <c r="AK149" s="0" t="n">
        <f aca="false">(AI149-AB149)/($AC149-$V149)</f>
        <v>0.013460039294491</v>
      </c>
      <c r="AL149" s="0" t="n">
        <f aca="false">IF(AJ149&lt;&gt;AK149,(AB149-AA149)/(AJ149-AK149),0)</f>
        <v>0.0108478713280053</v>
      </c>
      <c r="AM149" s="0" t="n">
        <f aca="false">V149+AL149</f>
        <v>-0.00270802115292555</v>
      </c>
      <c r="AN149" s="0" t="n">
        <f aca="false">-AM149*$AC$51</f>
        <v>0.283583311993223</v>
      </c>
      <c r="AO149" s="0" t="n">
        <f aca="false">-AM149*$AD$51</f>
        <v>0.141791655996611</v>
      </c>
      <c r="AP149" s="0" t="n">
        <f aca="false">(-AN149+SQRT(AN149^2-4*$C149))/2</f>
        <v>4.10321775196826</v>
      </c>
      <c r="AQ149" s="0" t="n">
        <f aca="false">(-AO149+SQRT(AO149^2-4*$D149))/2</f>
        <v>3.39393118332961</v>
      </c>
      <c r="AR149" s="0" t="n">
        <f aca="false">IF(AP149&lt;&gt;0,($C$21-$B149)*$AM149/AP149/$AC$51-$AC$60*$AC$51,0)</f>
        <v>-4.3409024352199E-005</v>
      </c>
      <c r="AS149" s="0" t="n">
        <f aca="false">IF(AQ149&lt;&gt;0,($C$27-$B149)*$AM149/AQ149/$AD$51-$AC$60*$AD$51,0)</f>
        <v>-4.27286405382192E-005</v>
      </c>
      <c r="AT149" s="0" t="n">
        <f aca="false">AM149*1.001</f>
        <v>-0.00271072917407848</v>
      </c>
      <c r="AU149" s="0" t="n">
        <f aca="false">-AT149*$AC$51</f>
        <v>0.283866895305216</v>
      </c>
      <c r="AV149" s="0" t="n">
        <f aca="false">-AT149*$AD$51</f>
        <v>0.141933447652608</v>
      </c>
      <c r="AW149" s="0" t="n">
        <f aca="false">(-AU149+SQRT(AU149^2-4*$C149))/2</f>
        <v>4.10308069879762</v>
      </c>
      <c r="AX149" s="0" t="n">
        <f aca="false">(-AV149+SQRT(AV149^2-4*$D149))/2</f>
        <v>3.39386173886714</v>
      </c>
      <c r="AY149" s="0" t="n">
        <f aca="false">IF(AW149&lt;&gt;0,($C$21-$B149)*$AT149/AW149/$AC$51-$AC$60*$AC$51,0)</f>
        <v>-4.34285634124109E-005</v>
      </c>
      <c r="AZ149" s="0" t="n">
        <f aca="false">IF(AX149&lt;&gt;0,($C$27-$B149)*$AT149/AX149/$AD$51-$AC$60*$AD$51,0)</f>
        <v>-4.27597423612922E-005</v>
      </c>
      <c r="BA149" s="0" t="n">
        <f aca="false">(AY149-AR149)/($AT149-$AM149)</f>
        <v>0.00721525390995313</v>
      </c>
      <c r="BB149" s="0" t="n">
        <f aca="false">(AZ149-AS149)/($AT149-$AM149)</f>
        <v>0.0114850739032735</v>
      </c>
      <c r="BC149" s="0" t="n">
        <f aca="false">IF(BA149&lt;&gt;BB149,(AS149-AR149)/(BA149-BB149),0)</f>
        <v>-0.00015934718911902</v>
      </c>
      <c r="BD149" s="0" t="n">
        <f aca="false">AM149+BC149</f>
        <v>-0.00286736834204457</v>
      </c>
      <c r="BE149" s="0" t="n">
        <f aca="false">-BD149*$AC$51</f>
        <v>0.300270110616772</v>
      </c>
      <c r="BF149" s="0" t="n">
        <f aca="false">-BD149*$AD$51</f>
        <v>0.150135055308386</v>
      </c>
      <c r="BG149" s="0" t="n">
        <f aca="false">(-BE149+SQRT(BE149^2-4*$C149))/2</f>
        <v>4.09516122820734</v>
      </c>
      <c r="BH149" s="0" t="n">
        <f aca="false">(-BF149+SQRT(BF149^2-4*$D149))/2</f>
        <v>3.38984735350928</v>
      </c>
      <c r="BI149" s="0" t="n">
        <f aca="false">IF(BG149&lt;&gt;0,($C$21-$B149)*$BD149/BG149/$AC$51-$AC$60*$AC$51,0)</f>
        <v>-4.45609410318866E-005</v>
      </c>
      <c r="BJ149" s="0" t="n">
        <f aca="false">IF(BH149&lt;&gt;0,($C$27-$B149)*$BD149/BH149/$AD$51-$AC$60*$AD$51,0)</f>
        <v>-4.45608998860481E-005</v>
      </c>
      <c r="BK149" s="0" t="n">
        <f aca="false">BD149*1.001</f>
        <v>-0.00287023571038662</v>
      </c>
      <c r="BL149" s="0" t="n">
        <f aca="false">-BK149*$AC$51</f>
        <v>0.300570380727389</v>
      </c>
      <c r="BM149" s="0" t="n">
        <f aca="false">-BK149*$AD$51</f>
        <v>0.150285190363695</v>
      </c>
      <c r="BN149" s="0" t="n">
        <f aca="false">(-BL149+SQRT(BL149^2-4*$C149))/2</f>
        <v>4.09501640533509</v>
      </c>
      <c r="BO149" s="0" t="n">
        <f aca="false">(-BM149+SQRT(BM149^2-4*$D149))/2</f>
        <v>3.38977391313558</v>
      </c>
      <c r="BP149" s="0" t="n">
        <f aca="false">IF(BN149&lt;&gt;0,($C$21-$B149)*$BK149/BN149/$AC$51-$AC$60*$AC$51,0)</f>
        <v>-4.45817099416788E-005</v>
      </c>
      <c r="BQ149" s="0" t="n">
        <f aca="false">IF(BO149&lt;&gt;0,($C$27-$B149)*$BK149/BO149/$AD$51-$AC$60*$AD$51,0)</f>
        <v>-4.45939104206652E-005</v>
      </c>
      <c r="BR149" s="0" t="n">
        <f aca="false">(BP149-BI149)/($BK149-$BD149)</f>
        <v>0.00724319561167515</v>
      </c>
      <c r="BS149" s="0" t="n">
        <f aca="false">(BQ149-BJ149)/($BK149-$BD149)</f>
        <v>0.0115124848569243</v>
      </c>
      <c r="BT149" s="0" t="n">
        <f aca="false">IF(BR149&lt;&gt;BS149,(BJ149-BI149)/(BR149-BS149),0)</f>
        <v>-9.63763196064582E-009</v>
      </c>
      <c r="BU149" s="0" t="n">
        <f aca="false">BD149+BT149</f>
        <v>-0.00286737797967653</v>
      </c>
      <c r="BV149" s="0" t="n">
        <f aca="false">-BU149*$AC$51</f>
        <v>0.300271119867231</v>
      </c>
      <c r="BW149" s="0" t="n">
        <f aca="false">-BU149*$AD$51</f>
        <v>0.150135559933616</v>
      </c>
      <c r="BX149" s="0" t="n">
        <f aca="false">(-BV149+SQRT(BV149^2-4*$C149))/2</f>
        <v>4.09516074142823</v>
      </c>
      <c r="BY149" s="0" t="n">
        <f aca="false">(-BW149+SQRT(BW149^2-4*$D149))/2</f>
        <v>3.38984710666304</v>
      </c>
      <c r="BZ149" s="0" t="n">
        <f aca="false">IF(BX149&lt;&gt;0,($C$21-$B149)*$BU149/BX149/$AC$51-$AC$60*$AC$51,0)</f>
        <v>-4.45610108367233E-005</v>
      </c>
      <c r="CA149" s="0" t="n">
        <f aca="false">IF(BY149&lt;&gt;0,($C$27-$B149)*$BU149/BY149/$AD$51-$AC$60*$AD$51,0)</f>
        <v>-4.45610108367704E-005</v>
      </c>
      <c r="CB149" s="0" t="n">
        <f aca="false">BU149*1.001</f>
        <v>-0.00287024535765621</v>
      </c>
      <c r="CC149" s="0" t="n">
        <f aca="false">-CB149*$AC$51</f>
        <v>0.300571390987098</v>
      </c>
      <c r="CD149" s="0" t="n">
        <f aca="false">-CB149*$AD$51</f>
        <v>0.150285695493549</v>
      </c>
      <c r="CE149" s="0" t="n">
        <f aca="false">(-CC149+SQRT(CC149^2-4*$C149))/2</f>
        <v>4.09501591808704</v>
      </c>
      <c r="CF149" s="0" t="n">
        <f aca="false">(-CD149+SQRT(CD149^2-4*$D149))/2</f>
        <v>3.38977366604797</v>
      </c>
      <c r="CG149" s="0" t="n">
        <f aca="false">IF(CE149&lt;&gt;0,($C$21-$B149)*$CB149/CE149/$AC$51-$AC$60*$AC$51,0)</f>
        <v>-4.45817798211752E-005</v>
      </c>
      <c r="CH149" s="0" t="n">
        <f aca="false">IF(CF149&lt;&gt;0,($C$27-$B149)*$CB149/CF149/$AD$51-$AC$60*$AD$51,0)</f>
        <v>-4.45940214870984E-005</v>
      </c>
      <c r="CI149" s="0" t="n">
        <f aca="false">(CG149-BZ149)/($CB149-$BU149)</f>
        <v>0.00724319730400372</v>
      </c>
      <c r="CJ149" s="0" t="n">
        <f aca="false">(CH149-CA149)/($CB149-$BU149)</f>
        <v>0.0115124865162428</v>
      </c>
      <c r="CK149" s="0" t="n">
        <f aca="false">IF(CI149&lt;&gt;CJ149,(CA149-BZ149)/(CI149-CJ149),0)</f>
        <v>1.10390537727267E-014</v>
      </c>
      <c r="CL149" s="6" t="str">
        <f aca="false">IF(AND(BU149&gt;0,CE149&gt;0,CE149&lt;$C$15,CF149&lt;$C$15,CG149&gt;0,ABS(CK149)&lt;0.1*BU149),B149,"")</f>
        <v/>
      </c>
      <c r="CM149" s="0" t="n">
        <f aca="false">CG149+BU149^2/$C$39</f>
        <v>-4.32114704081196E-005</v>
      </c>
      <c r="CN149" s="0" t="n">
        <f aca="false">-BU149*$C$15/$C$39</f>
        <v>0.00286737797967653</v>
      </c>
      <c r="CO149" s="0" t="n">
        <f aca="false">IF(CL149&lt;&gt;"",(-CM149+SQRT(CM149^2-4*$AC$60*CN149))/2/$AC$60,0)</f>
        <v>0</v>
      </c>
      <c r="CP149" s="0" t="n">
        <f aca="false">CO149*30/PI()</f>
        <v>0</v>
      </c>
      <c r="DB149" s="6"/>
    </row>
    <row r="150" customFormat="false" ht="12.75" hidden="false" customHeight="false" outlineLevel="0" collapsed="false">
      <c r="A150" s="0" t="n">
        <f aca="false">A149+0.01</f>
        <v>0.01</v>
      </c>
      <c r="B150" s="0" t="n">
        <f aca="false">A150*$AC$68</f>
        <v>0.0196641300533647</v>
      </c>
      <c r="C150" s="0" t="n">
        <f aca="false">$C$39*($B150-$C$21)</f>
        <v>-17.8820152196798</v>
      </c>
      <c r="D150" s="0" t="n">
        <f aca="false">$C$39*($B150-$C$27)</f>
        <v>-11.8820152196798</v>
      </c>
      <c r="E150" s="0" t="n">
        <f aca="false">$AC$71</f>
        <v>0.0474257507541105</v>
      </c>
      <c r="F150" s="0" t="n">
        <f aca="false">-E150*$AC$51</f>
        <v>-4.96641300533647</v>
      </c>
      <c r="G150" s="0" t="n">
        <f aca="false">-E150*$AD$51</f>
        <v>-2.48320650266823</v>
      </c>
      <c r="H150" s="0" t="n">
        <f aca="false">(-F150+SQRT(F150^2-4*$C150))/2</f>
        <v>7.38711614239179</v>
      </c>
      <c r="I150" s="0" t="n">
        <f aca="false">(-G150+SQRT(G150^2-4*$D150))/2</f>
        <v>4.90542555234754</v>
      </c>
      <c r="J150" s="0" t="n">
        <f aca="false">IF(H150&lt;&gt;0,($C$21-$B150)*$E150/H150/$AC$51-$AC$60*$AC$51,0)</f>
        <v>0.000158213572323099</v>
      </c>
      <c r="K150" s="0" t="n">
        <f aca="false">IF(I150&lt;&gt;0,($C$27-$B150)*$E150/I150/$AD$51-$AC$60*$AD$51,0)</f>
        <v>0.000353409187895779</v>
      </c>
      <c r="L150" s="0" t="n">
        <f aca="false">E150*1.001</f>
        <v>0.0474731765048646</v>
      </c>
      <c r="M150" s="0" t="n">
        <f aca="false">-L150*$AC$51</f>
        <v>-4.97137941834181</v>
      </c>
      <c r="N150" s="0" t="n">
        <f aca="false">-L150*$AD$51</f>
        <v>-2.4856897091709</v>
      </c>
      <c r="O150" s="0" t="n">
        <f aca="false">(-M150+SQRT(M150^2-4*$C150))/2</f>
        <v>7.39085724453174</v>
      </c>
      <c r="P150" s="0" t="n">
        <f aca="false">(-N150+SQRT(N150^2-4*$D150))/2</f>
        <v>4.90708809872869</v>
      </c>
      <c r="Q150" s="0" t="n">
        <f aca="false">IF(O150&lt;&gt;0,($C$21-$B150)*$L150/O150/$AC$51-$AC$60*$AC$51,0)</f>
        <v>0.000158303708554761</v>
      </c>
      <c r="R150" s="0" t="n">
        <f aca="false">IF(P150&lt;&gt;0,($C$27-$B150)*$L150/P150/$AD$51-$AC$60*$AD$51,0)</f>
        <v>0.000353650836710548</v>
      </c>
      <c r="S150" s="0" t="n">
        <f aca="false">(Q150-J150)/($L150-$E150)</f>
        <v>0.00190057574689314</v>
      </c>
      <c r="T150" s="0" t="n">
        <f aca="false">(R150-K150)/($L150-$E150)</f>
        <v>0.00509530815910086</v>
      </c>
      <c r="U150" s="0" t="n">
        <f aca="false">IF(S150&lt;&gt;T150,(K150-J150)/(S150-T150),0)</f>
        <v>-0.0610992065647808</v>
      </c>
      <c r="V150" s="0" t="n">
        <f aca="false">E150+U150</f>
        <v>-0.0136734558106703</v>
      </c>
      <c r="W150" s="0" t="n">
        <f aca="false">-V150*$AC$51</f>
        <v>1.43188094413288</v>
      </c>
      <c r="X150" s="0" t="n">
        <f aca="false">-V150*$AD$51</f>
        <v>0.715940472066441</v>
      </c>
      <c r="Y150" s="0" t="n">
        <f aca="false">(-W150+SQRT(W150^2-4*$C150))/2</f>
        <v>3.57295052435939</v>
      </c>
      <c r="Z150" s="0" t="n">
        <f aca="false">(-X150+SQRT(X150^2-4*$D150))/2</f>
        <v>3.10759723691627</v>
      </c>
      <c r="AA150" s="0" t="n">
        <f aca="false">IF(Y150&lt;&gt;0,($C$21-$B150)*$V150/Y150/$AC$51-$AC$60*$AC$51,0)</f>
        <v>-0.000133417179586416</v>
      </c>
      <c r="AB150" s="0" t="n">
        <f aca="false">IF(Z150&lt;&gt;0,($C$27-$B150)*$V150/Z150/$AD$51-$AC$60*$AD$51,0)</f>
        <v>-0.000178666575125729</v>
      </c>
      <c r="AC150" s="0" t="n">
        <f aca="false">V150*1.001</f>
        <v>-0.013687129266481</v>
      </c>
      <c r="AD150" s="0" t="n">
        <f aca="false">-AC150*$AC$51</f>
        <v>1.43331282507702</v>
      </c>
      <c r="AE150" s="0" t="n">
        <f aca="false">-AC150*$AD$51</f>
        <v>0.716656412538508</v>
      </c>
      <c r="AF150" s="0" t="n">
        <f aca="false">(-AD150+SQRT(AD150^2-4*$C150))/2</f>
        <v>3.57235415323449</v>
      </c>
      <c r="AG150" s="0" t="n">
        <f aca="false">(-AE150+SQRT(AE150^2-4*$D150))/2</f>
        <v>3.10727626093238</v>
      </c>
      <c r="AH150" s="0" t="n">
        <f aca="false">IF(AF150&lt;&gt;0,($C$21-$B150)*$AC150/AF150/$AC$51-$AC$60*$AC$51,0)</f>
        <v>-0.000133544295163816</v>
      </c>
      <c r="AI150" s="0" t="n">
        <f aca="false">IF(AG150&lt;&gt;0,($C$27-$B150)*$AC150/AG150/$AD$51-$AC$60*$AD$51,0)</f>
        <v>-0.000178850198243907</v>
      </c>
      <c r="AJ150" s="0" t="n">
        <f aca="false">(AH150-AA150)/($AC150-$V150)</f>
        <v>0.0092965216080292</v>
      </c>
      <c r="AK150" s="0" t="n">
        <f aca="false">(AI150-AB150)/($AC150-$V150)</f>
        <v>0.0134291667534811</v>
      </c>
      <c r="AL150" s="0" t="n">
        <f aca="false">IF(AJ150&lt;&gt;AK150,(AB150-AA150)/(AJ150-AK150),0)</f>
        <v>0.0109492574239314</v>
      </c>
      <c r="AM150" s="0" t="n">
        <f aca="false">V150+AL150</f>
        <v>-0.00272419838673895</v>
      </c>
      <c r="AN150" s="0" t="n">
        <f aca="false">-AM150*$AC$51</f>
        <v>0.285277387956675</v>
      </c>
      <c r="AO150" s="0" t="n">
        <f aca="false">-AM150*$AD$51</f>
        <v>0.142638693978337</v>
      </c>
      <c r="AP150" s="0" t="n">
        <f aca="false">(-AN150+SQRT(AN150^2-4*$C150))/2</f>
        <v>4.08847948171703</v>
      </c>
      <c r="AQ150" s="0" t="n">
        <f aca="false">(-AO150+SQRT(AO150^2-4*$D150))/2</f>
        <v>3.3764482885882</v>
      </c>
      <c r="AR150" s="0" t="n">
        <f aca="false">IF(AP150&lt;&gt;0,($C$21-$B150)*$AM150/AP150/$AC$51-$AC$60*$AC$51,0)</f>
        <v>-4.3465415070819E-005</v>
      </c>
      <c r="AS150" s="0" t="n">
        <f aca="false">IF(AQ150&lt;&gt;0,($C$27-$B150)*$AM150/AQ150/$AD$51-$AC$60*$AD$51,0)</f>
        <v>-4.27664520632456E-005</v>
      </c>
      <c r="AT150" s="0" t="n">
        <f aca="false">AM150*1.001</f>
        <v>-0.00272692258512568</v>
      </c>
      <c r="AU150" s="0" t="n">
        <f aca="false">-AT150*$AC$51</f>
        <v>0.285562665344631</v>
      </c>
      <c r="AV150" s="0" t="n">
        <f aca="false">-AT150*$AD$51</f>
        <v>0.142781332672316</v>
      </c>
      <c r="AW150" s="0" t="n">
        <f aca="false">(-AU150+SQRT(AU150^2-4*$C150))/2</f>
        <v>4.08834165403458</v>
      </c>
      <c r="AX150" s="0" t="n">
        <f aca="false">(-AV150+SQRT(AV150^2-4*$D150))/2</f>
        <v>3.37637844526626</v>
      </c>
      <c r="AY150" s="0" t="n">
        <f aca="false">IF(AW150&lt;&gt;0,($C$21-$B150)*$AT150/AW150/$AC$51-$AC$60*$AC$51,0)</f>
        <v>-4.34850182891523E-005</v>
      </c>
      <c r="AZ150" s="0" t="n">
        <f aca="false">IF(AX150&lt;&gt;0,($C$27-$B150)*$AT150/AX150/$AD$51-$AC$60*$AD$51,0)</f>
        <v>-4.27975993172144E-005</v>
      </c>
      <c r="BA150" s="0" t="n">
        <f aca="false">(AY150-AR150)/($AT150-$AM150)</f>
        <v>0.00719595842530014</v>
      </c>
      <c r="BB150" s="0" t="n">
        <f aca="false">(AZ150-AS150)/($AT150-$AM150)</f>
        <v>0.0114335483496604</v>
      </c>
      <c r="BC150" s="0" t="n">
        <f aca="false">IF(BA150&lt;&gt;BB150,(AS150-AR150)/(BA150-BB150),0)</f>
        <v>-0.000164943522155227</v>
      </c>
      <c r="BD150" s="0" t="n">
        <f aca="false">AM150+BC150</f>
        <v>-0.00288914190889417</v>
      </c>
      <c r="BE150" s="0" t="n">
        <f aca="false">-BD150*$AC$51</f>
        <v>0.302550233205344</v>
      </c>
      <c r="BF150" s="0" t="n">
        <f aca="false">-BD150*$AD$51</f>
        <v>0.151275116602672</v>
      </c>
      <c r="BG150" s="0" t="n">
        <f aca="false">(-BE150+SQRT(BE150^2-4*$C150))/2</f>
        <v>4.08014301217909</v>
      </c>
      <c r="BH150" s="0" t="n">
        <f aca="false">(-BF150+SQRT(BF150^2-4*$D150))/2</f>
        <v>3.37222210530239</v>
      </c>
      <c r="BI150" s="0" t="n">
        <f aca="false">IF(BG150&lt;&gt;0,($C$21-$B150)*$BD150/BG150/$AC$51-$AC$60*$AC$51,0)</f>
        <v>-4.46546865695607E-005</v>
      </c>
      <c r="BJ150" s="0" t="n">
        <f aca="false">IF(BH150&lt;&gt;0,($C$27-$B150)*$BD150/BH150/$AD$51-$AC$60*$AD$51,0)</f>
        <v>-4.4654642145109E-005</v>
      </c>
      <c r="BK150" s="0" t="n">
        <f aca="false">BD150*1.001</f>
        <v>-0.00289203105080307</v>
      </c>
      <c r="BL150" s="0" t="n">
        <f aca="false">-BK150*$AC$51</f>
        <v>0.302852783438549</v>
      </c>
      <c r="BM150" s="0" t="n">
        <f aca="false">-BK150*$AD$51</f>
        <v>0.151426391719275</v>
      </c>
      <c r="BN150" s="0" t="n">
        <f aca="false">(-BL150+SQRT(BL150^2-4*$C150))/2</f>
        <v>4.07999714791711</v>
      </c>
      <c r="BO150" s="0" t="n">
        <f aca="false">(-BM150+SQRT(BM150^2-4*$D150))/2</f>
        <v>3.37214812787528</v>
      </c>
      <c r="BP150" s="0" t="n">
        <f aca="false">IF(BN150&lt;&gt;0,($C$21-$B150)*$BK150/BN150/$AC$51-$AC$60*$AC$51,0)</f>
        <v>-4.4675560318753E-005</v>
      </c>
      <c r="BQ150" s="0" t="n">
        <f aca="false">IF(BO150&lt;&gt;0,($C$27-$B150)*$BK150/BO150/$AD$51-$AC$60*$AD$51,0)</f>
        <v>-4.46877572938726E-005</v>
      </c>
      <c r="BR150" s="0" t="n">
        <f aca="false">(BP150-BI150)/($BK150-$BD150)</f>
        <v>0.00722489578238716</v>
      </c>
      <c r="BS150" s="0" t="n">
        <f aca="false">(BQ150-BJ150)/($BK150-$BD150)</f>
        <v>0.0114619322303682</v>
      </c>
      <c r="BT150" s="0" t="n">
        <f aca="false">IF(BR150&lt;&gt;BS150,(BJ150-BI150)/(BR150-BS150),0)</f>
        <v>-1.04847933926532E-008</v>
      </c>
      <c r="BU150" s="0" t="n">
        <f aca="false">BD150+BT150</f>
        <v>-0.00288915239368756</v>
      </c>
      <c r="BV150" s="0" t="n">
        <f aca="false">-BU150*$AC$51</f>
        <v>0.302551331170341</v>
      </c>
      <c r="BW150" s="0" t="n">
        <f aca="false">-BU150*$AD$51</f>
        <v>0.15127566558517</v>
      </c>
      <c r="BX150" s="0" t="n">
        <f aca="false">(-BV150+SQRT(BV150^2-4*$C150))/2</f>
        <v>4.080142482823</v>
      </c>
      <c r="BY150" s="0" t="n">
        <f aca="false">(-BW150+SQRT(BW150^2-4*$D150))/2</f>
        <v>3.37222183683281</v>
      </c>
      <c r="BZ150" s="0" t="n">
        <f aca="false">IF(BX150&lt;&gt;0,($C$21-$B150)*$BU150/BX150/$AC$51-$AC$60*$AC$51,0)</f>
        <v>-4.46547623184502E-005</v>
      </c>
      <c r="CA150" s="0" t="n">
        <f aca="false">IF(BY150&lt;&gt;0,($C$27-$B150)*$BU150/BY150/$AD$51-$AC$60*$AD$51,0)</f>
        <v>-4.46547623185023E-005</v>
      </c>
      <c r="CB150" s="0" t="n">
        <f aca="false">BU150*1.001</f>
        <v>-0.00289204154608125</v>
      </c>
      <c r="CC150" s="0" t="n">
        <f aca="false">-CB150*$AC$51</f>
        <v>0.302853882501511</v>
      </c>
      <c r="CD150" s="0" t="n">
        <f aca="false">-CB150*$AD$51</f>
        <v>0.151426941250755</v>
      </c>
      <c r="CE150" s="0" t="n">
        <f aca="false">(-CC150+SQRT(CC150^2-4*$C150))/2</f>
        <v>4.07999661805129</v>
      </c>
      <c r="CF150" s="0" t="n">
        <f aca="false">(-CD150+SQRT(CD150^2-4*$D150))/2</f>
        <v>3.37214785914326</v>
      </c>
      <c r="CG150" s="0" t="n">
        <f aca="false">IF(CE150&lt;&gt;0,($C$21-$B150)*$CB150/CE150/$AC$51-$AC$60*$AC$51,0)</f>
        <v>-4.46756361487162E-005</v>
      </c>
      <c r="CH150" s="0" t="n">
        <f aca="false">IF(CF150&lt;&gt;0,($C$27-$B150)*$CB150/CF150/$AD$51-$AC$60*$AD$51,0)</f>
        <v>-4.46878775926594E-005</v>
      </c>
      <c r="CI150" s="0" t="n">
        <f aca="false">(CG150-BZ150)/($CB150-$BU150)</f>
        <v>0.00722489762449238</v>
      </c>
      <c r="CJ150" s="0" t="n">
        <f aca="false">(CH150-CA150)/($CB150-$BU150)</f>
        <v>0.0114619340362577</v>
      </c>
      <c r="CK150" s="0" t="n">
        <f aca="false">IF(CI150&lt;&gt;CJ150,(CA150-BZ150)/(CI150-CJ150),0)</f>
        <v>1.22937669309874E-014</v>
      </c>
      <c r="CL150" s="6" t="str">
        <f aca="false">IF(AND(BU150&gt;0,CE150&gt;0,CE150&lt;$C$15,CF150&lt;$C$15,CG150&gt;0,ABS(CK150)&lt;0.1*BU150),B150,"")</f>
        <v/>
      </c>
      <c r="CM150" s="0" t="n">
        <f aca="false">CG150+BU150^2/$C$39</f>
        <v>-4.32844358897244E-005</v>
      </c>
      <c r="CN150" s="0" t="n">
        <f aca="false">-BU150*$C$15/$C$39</f>
        <v>0.00288915239368757</v>
      </c>
      <c r="CO150" s="0" t="n">
        <f aca="false">IF(CL150&lt;&gt;"",(-CM150+SQRT(CM150^2-4*$AC$60*CN150))/2/$AC$60,0)</f>
        <v>0</v>
      </c>
      <c r="CP150" s="0" t="n">
        <f aca="false">CO150*30/PI()</f>
        <v>0</v>
      </c>
      <c r="DB150" s="6"/>
    </row>
    <row r="151" customFormat="false" ht="12.75" hidden="false" customHeight="false" outlineLevel="0" collapsed="false">
      <c r="A151" s="0" t="n">
        <f aca="false">A150+0.01</f>
        <v>0.02</v>
      </c>
      <c r="B151" s="0" t="n">
        <f aca="false">A151*$AC$68</f>
        <v>0.0393282601067294</v>
      </c>
      <c r="C151" s="0" t="n">
        <f aca="false">$C$39*($B151-$C$21)</f>
        <v>-17.7640304393596</v>
      </c>
      <c r="D151" s="0" t="n">
        <f aca="false">$C$39*($B151-$C$27)</f>
        <v>-11.7640304393596</v>
      </c>
      <c r="E151" s="0" t="n">
        <f aca="false">$AC$71</f>
        <v>0.0474257507541105</v>
      </c>
      <c r="F151" s="0" t="n">
        <f aca="false">-E151*$AC$51</f>
        <v>-4.96641300533647</v>
      </c>
      <c r="G151" s="0" t="n">
        <f aca="false">-E151*$AD$51</f>
        <v>-2.48320650266823</v>
      </c>
      <c r="H151" s="0" t="n">
        <f aca="false">(-F151+SQRT(F151^2-4*$C151))/2</f>
        <v>7.37507168624121</v>
      </c>
      <c r="I151" s="0" t="n">
        <f aca="false">(-G151+SQRT(G151^2-4*$D151))/2</f>
        <v>4.88928869186803</v>
      </c>
      <c r="J151" s="0" t="n">
        <f aca="false">IF(H151&lt;&gt;0,($C$21-$B151)*$E151/H151/$AC$51-$AC$60*$AC$51,0)</f>
        <v>0.000157304451634404</v>
      </c>
      <c r="K151" s="0" t="n">
        <f aca="false">IF(I151&lt;&gt;0,($C$27-$B151)*$E151/I151/$AD$51-$AC$60*$AD$51,0)</f>
        <v>0.000350973153669061</v>
      </c>
      <c r="L151" s="0" t="n">
        <f aca="false">E151*1.001</f>
        <v>0.0474731765048646</v>
      </c>
      <c r="M151" s="0" t="n">
        <f aca="false">-L151*$AC$51</f>
        <v>-4.97137941834181</v>
      </c>
      <c r="N151" s="0" t="n">
        <f aca="false">-L151*$AD$51</f>
        <v>-2.4856897091709</v>
      </c>
      <c r="O151" s="0" t="n">
        <f aca="false">(-M151+SQRT(M151^2-4*$C151))/2</f>
        <v>7.37881588469895</v>
      </c>
      <c r="P151" s="0" t="n">
        <f aca="false">(-N151+SQRT(N151^2-4*$D151))/2</f>
        <v>4.89095310022855</v>
      </c>
      <c r="Q151" s="0" t="n">
        <f aca="false">IF(O151&lt;&gt;0,($C$21-$B151)*$L151/O151/$AC$51-$AC$60*$AC$51,0)</f>
        <v>0.000157393912690476</v>
      </c>
      <c r="R151" s="0" t="n">
        <f aca="false">IF(P151&lt;&gt;0,($C$27-$B151)*$L151/P151/$AD$51-$AC$60*$AD$51,0)</f>
        <v>0.000351212647816684</v>
      </c>
      <c r="S151" s="0" t="n">
        <f aca="false">(Q151-J151)/($L151-$E151)</f>
        <v>0.00188633927032479</v>
      </c>
      <c r="T151" s="0" t="n">
        <f aca="false">(R151-K151)/($L151-$E151)</f>
        <v>0.00504987572814908</v>
      </c>
      <c r="U151" s="0" t="n">
        <f aca="false">IF(S151&lt;&gt;T151,(K151-J151)/(S151-T151),0)</f>
        <v>-0.0612190517215827</v>
      </c>
      <c r="V151" s="0" t="n">
        <f aca="false">E151+U151</f>
        <v>-0.0137933009674722</v>
      </c>
      <c r="W151" s="0" t="n">
        <f aca="false">-V151*$AC$51</f>
        <v>1.44443109960545</v>
      </c>
      <c r="X151" s="0" t="n">
        <f aca="false">-V151*$AD$51</f>
        <v>0.722215549802726</v>
      </c>
      <c r="Y151" s="0" t="n">
        <f aca="false">(-W151+SQRT(W151^2-4*$C151))/2</f>
        <v>3.55395396738628</v>
      </c>
      <c r="Z151" s="0" t="n">
        <f aca="false">(-X151+SQRT(X151^2-4*$D151))/2</f>
        <v>3.08772235493308</v>
      </c>
      <c r="AA151" s="0" t="n">
        <f aca="false">IF(Y151&lt;&gt;0,($C$21-$B151)*$V151/Y151/$AC$51-$AC$60*$AC$51,0)</f>
        <v>-0.000134230282544673</v>
      </c>
      <c r="AB151" s="0" t="n">
        <f aca="false">IF(Z151&lt;&gt;0,($C$27-$B151)*$V151/Z151/$AD$51-$AC$60*$AD$51,0)</f>
        <v>-0.000179528069001727</v>
      </c>
      <c r="AC151" s="0" t="n">
        <f aca="false">V151*1.001</f>
        <v>-0.0138070942684396</v>
      </c>
      <c r="AD151" s="0" t="n">
        <f aca="false">-AC151*$AC$51</f>
        <v>1.44587553070506</v>
      </c>
      <c r="AE151" s="0" t="n">
        <f aca="false">-AC151*$AD$51</f>
        <v>0.722937765352529</v>
      </c>
      <c r="AF151" s="0" t="n">
        <f aca="false">(-AD151+SQRT(AD151^2-4*$C151))/2</f>
        <v>3.55335378831082</v>
      </c>
      <c r="AG151" s="0" t="n">
        <f aca="false">(-AE151+SQRT(AE151^2-4*$D151))/2</f>
        <v>3.08739907543736</v>
      </c>
      <c r="AH151" s="0" t="n">
        <f aca="false">IF(AF151&lt;&gt;0,($C$21-$B151)*$AC151/AF151/$AC$51-$AC$60*$AC$51,0)</f>
        <v>-0.000134358562856208</v>
      </c>
      <c r="AI151" s="0" t="n">
        <f aca="false">IF(AG151&lt;&gt;0,($C$27-$B151)*$AC151/AG151/$AD$51-$AC$60*$AD$51,0)</f>
        <v>-0.000179712878982827</v>
      </c>
      <c r="AJ151" s="0" t="n">
        <f aca="false">(AH151-AA151)/($AC151-$V151)</f>
        <v>0.00930018940629553</v>
      </c>
      <c r="AK151" s="0" t="n">
        <f aca="false">(AI151-AB151)/($AC151-$V151)</f>
        <v>0.0133985317608504</v>
      </c>
      <c r="AL151" s="0" t="n">
        <f aca="false">IF(AJ151&lt;&gt;AK151,(AB151-AA151)/(AJ151-AK151),0)</f>
        <v>0.0110527092512685</v>
      </c>
      <c r="AM151" s="0" t="n">
        <f aca="false">V151+AL151</f>
        <v>-0.00274059171620364</v>
      </c>
      <c r="AN151" s="0" t="n">
        <f aca="false">-AM151*$AC$51</f>
        <v>0.286994093403813</v>
      </c>
      <c r="AO151" s="0" t="n">
        <f aca="false">-AM151*$AD$51</f>
        <v>0.143497046701906</v>
      </c>
      <c r="AP151" s="0" t="n">
        <f aca="false">(-AN151+SQRT(AN151^2-4*$C151))/2</f>
        <v>4.07368469490845</v>
      </c>
      <c r="AQ151" s="0" t="n">
        <f aca="false">(-AO151+SQRT(AO151^2-4*$D151))/2</f>
        <v>3.35887507739027</v>
      </c>
      <c r="AR151" s="0" t="n">
        <f aca="false">IF(AP151&lt;&gt;0,($C$21-$B151)*$AM151/AP151/$AC$51-$AC$60*$AC$51,0)</f>
        <v>-4.3522486053397E-005</v>
      </c>
      <c r="AS151" s="0" t="n">
        <f aca="false">IF(AQ151&lt;&gt;0,($C$27-$B151)*$AM151/AQ151/$AD$51-$AC$60*$AD$51,0)</f>
        <v>-4.28042703005469E-005</v>
      </c>
      <c r="AT151" s="0" t="n">
        <f aca="false">AM151*1.001</f>
        <v>-0.00274333230791984</v>
      </c>
      <c r="AU151" s="0" t="n">
        <f aca="false">-AT151*$AC$51</f>
        <v>0.287281087497217</v>
      </c>
      <c r="AV151" s="0" t="n">
        <f aca="false">-AT151*$AD$51</f>
        <v>0.143640543748608</v>
      </c>
      <c r="AW151" s="0" t="n">
        <f aca="false">(-AU151+SQRT(AU151^2-4*$C151))/2</f>
        <v>4.0735460830404</v>
      </c>
      <c r="AX151" s="0" t="n">
        <f aca="false">(-AV151+SQRT(AV151^2-4*$D151))/2</f>
        <v>3.35880483017513</v>
      </c>
      <c r="AY151" s="0" t="n">
        <f aca="false">IF(AW151&lt;&gt;0,($C$21-$B151)*$AT151/AW151/$AC$51-$AC$60*$AC$51,0)</f>
        <v>-4.35421542651604E-005</v>
      </c>
      <c r="AZ151" s="0" t="n">
        <f aca="false">IF(AX151&lt;&gt;0,($C$27-$B151)*$AT151/AX151/$AD$51-$AC$60*$AD$51,0)</f>
        <v>-4.28354631436058E-005</v>
      </c>
      <c r="BA151" s="0" t="n">
        <f aca="false">(AY151-AR151)/($AT151-$AM151)</f>
        <v>0.00717662964791515</v>
      </c>
      <c r="BB151" s="0" t="n">
        <f aca="false">(AZ151-AS151)/($AT151-$AM151)</f>
        <v>0.0113817913388813</v>
      </c>
      <c r="BC151" s="0" t="n">
        <f aca="false">IF(BA151&lt;&gt;BB151,(AS151-AR151)/(BA151-BB151),0)</f>
        <v>-0.000170793849471484</v>
      </c>
      <c r="BD151" s="0" t="n">
        <f aca="false">AM151+BC151</f>
        <v>-0.00291138556567512</v>
      </c>
      <c r="BE151" s="0" t="n">
        <f aca="false">-BD151*$AC$51</f>
        <v>0.304879583496411</v>
      </c>
      <c r="BF151" s="0" t="n">
        <f aca="false">-BD151*$AD$51</f>
        <v>0.152439791748205</v>
      </c>
      <c r="BG151" s="0" t="n">
        <f aca="false">(-BE151+SQRT(BE151^2-4*$C151))/2</f>
        <v>4.06505571263207</v>
      </c>
      <c r="BH151" s="0" t="n">
        <f aca="false">(-BF151+SQRT(BF151^2-4*$D151))/2</f>
        <v>3.35450013232503</v>
      </c>
      <c r="BI151" s="0" t="n">
        <f aca="false">IF(BG151&lt;&gt;0,($C$21-$B151)*$BD151/BG151/$AC$51-$AC$60*$AC$51,0)</f>
        <v>-4.47507267340075E-005</v>
      </c>
      <c r="BJ151" s="0" t="n">
        <f aca="false">IF(BH151&lt;&gt;0,($C$27-$B151)*$BD151/BH151/$AD$51-$AC$60*$AD$51,0)</f>
        <v>-4.47506787363712E-005</v>
      </c>
      <c r="BK151" s="0" t="n">
        <f aca="false">BD151*1.001</f>
        <v>-0.0029142969512408</v>
      </c>
      <c r="BL151" s="0" t="n">
        <f aca="false">-BK151*$AC$51</f>
        <v>0.305184463079907</v>
      </c>
      <c r="BM151" s="0" t="n">
        <f aca="false">-BK151*$AD$51</f>
        <v>0.152592231539954</v>
      </c>
      <c r="BN151" s="0" t="n">
        <f aca="false">(-BL151+SQRT(BL151^2-4*$C151))/2</f>
        <v>4.06490878547071</v>
      </c>
      <c r="BO151" s="0" t="n">
        <f aca="false">(-BM151+SQRT(BM151^2-4*$D151))/2</f>
        <v>3.35442560664372</v>
      </c>
      <c r="BP151" s="0" t="n">
        <f aca="false">IF(BN151&lt;&gt;0,($C$21-$B151)*$BK151/BN151/$AC$51-$AC$60*$AC$51,0)</f>
        <v>-4.4771707950002E-005</v>
      </c>
      <c r="BQ151" s="0" t="n">
        <f aca="false">IF(BO151&lt;&gt;0,($C$27-$B151)*$BK151/BO151/$AD$51-$AC$60*$AD$51,0)</f>
        <v>-4.4783901118392E-005</v>
      </c>
      <c r="BR151" s="0" t="n">
        <f aca="false">(BP151-BI151)/($BK151-$BD151)</f>
        <v>0.00720660851035123</v>
      </c>
      <c r="BS151" s="0" t="n">
        <f aca="false">(BQ151-BJ151)/($BK151-$BD151)</f>
        <v>0.0114111928054166</v>
      </c>
      <c r="BT151" s="0" t="n">
        <f aca="false">IF(BR151&lt;&gt;BS151,(BJ151-BI151)/(BR151-BS151),0)</f>
        <v>-1.14155485837757E-008</v>
      </c>
      <c r="BU151" s="0" t="n">
        <f aca="false">BD151+BT151</f>
        <v>-0.0029113969812237</v>
      </c>
      <c r="BV151" s="0" t="n">
        <f aca="false">-BU151*$AC$51</f>
        <v>0.304880778929863</v>
      </c>
      <c r="BW151" s="0" t="n">
        <f aca="false">-BU151*$AD$51</f>
        <v>0.152440389464931</v>
      </c>
      <c r="BX151" s="0" t="n">
        <f aca="false">(-BV151+SQRT(BV151^2-4*$C151))/2</f>
        <v>4.06505513651964</v>
      </c>
      <c r="BY151" s="0" t="n">
        <f aca="false">(-BW151+SQRT(BW151^2-4*$D151))/2</f>
        <v>3.35449984010638</v>
      </c>
      <c r="BZ151" s="0" t="n">
        <f aca="false">IF(BX151&lt;&gt;0,($C$21-$B151)*$BU151/BX151/$AC$51-$AC$60*$AC$51,0)</f>
        <v>-4.47508089984888E-005</v>
      </c>
      <c r="CA151" s="0" t="n">
        <f aca="false">IF(BY151&lt;&gt;0,($C$27-$B151)*$BU151/BY151/$AD$51-$AC$60*$AD$51,0)</f>
        <v>-4.47508089985464E-005</v>
      </c>
      <c r="CB151" s="0" t="n">
        <f aca="false">BU151*1.001</f>
        <v>-0.00291430837820493</v>
      </c>
      <c r="CC151" s="0" t="n">
        <f aca="false">-CB151*$AC$51</f>
        <v>0.305185659708793</v>
      </c>
      <c r="CD151" s="0" t="n">
        <f aca="false">-CB151*$AD$51</f>
        <v>0.152592829854396</v>
      </c>
      <c r="CE151" s="0" t="n">
        <f aca="false">(-CC151+SQRT(CC151^2-4*$C151))/2</f>
        <v>4.06490820880376</v>
      </c>
      <c r="CF151" s="0" t="n">
        <f aca="false">(-CD151+SQRT(CD151^2-4*$D151))/2</f>
        <v>3.3544253141395</v>
      </c>
      <c r="CG151" s="0" t="n">
        <f aca="false">IF(CE151&lt;&gt;0,($C$21-$B151)*$CB151/CE151/$AC$51-$AC$60*$AC$51,0)</f>
        <v>-4.47717903025931E-005</v>
      </c>
      <c r="CH151" s="0" t="n">
        <f aca="false">IF(CF151&lt;&gt;0,($C$27-$B151)*$CB151/CF151/$AD$51-$AC$60*$AD$51,0)</f>
        <v>-4.47840315165589E-005</v>
      </c>
      <c r="CI151" s="0" t="n">
        <f aca="false">(CG151-BZ151)/($CB151-$BU151)</f>
        <v>0.00720661051710186</v>
      </c>
      <c r="CJ151" s="0" t="n">
        <f aca="false">(CH151-CA151)/($CB151-$BU151)</f>
        <v>0.0114111947724161</v>
      </c>
      <c r="CK151" s="0" t="n">
        <f aca="false">IF(CI151&lt;&gt;CJ151,(CA151-BZ151)/(CI151-CJ151),0)</f>
        <v>1.36989145455921E-014</v>
      </c>
      <c r="CL151" s="6" t="str">
        <f aca="false">IF(AND(BU151&gt;0,CE151&gt;0,CE151&lt;$C$15,CF151&lt;$C$15,CG151&gt;0,ABS(CK151)&lt;0.1*BU151),B151,"")</f>
        <v/>
      </c>
      <c r="CM151" s="0" t="n">
        <f aca="false">CG151+BU151^2/$C$39</f>
        <v>-4.33590849055467E-005</v>
      </c>
      <c r="CN151" s="0" t="n">
        <f aca="false">-BU151*$C$15/$C$39</f>
        <v>0.0029113969812237</v>
      </c>
      <c r="CO151" s="0" t="n">
        <f aca="false">IF(CL151&lt;&gt;"",(-CM151+SQRT(CM151^2-4*$AC$60*CN151))/2/$AC$60,0)</f>
        <v>0</v>
      </c>
      <c r="CP151" s="0" t="n">
        <f aca="false">CO151*30/PI()</f>
        <v>0</v>
      </c>
      <c r="DB151" s="6"/>
    </row>
    <row r="152" customFormat="false" ht="12.75" hidden="false" customHeight="false" outlineLevel="0" collapsed="false">
      <c r="A152" s="0" t="n">
        <f aca="false">A151+0.01</f>
        <v>0.03</v>
      </c>
      <c r="B152" s="0" t="n">
        <f aca="false">A152*$AC$68</f>
        <v>0.0589923901600941</v>
      </c>
      <c r="C152" s="0" t="n">
        <f aca="false">$C$39*($B152-$C$21)</f>
        <v>-17.6460456590394</v>
      </c>
      <c r="D152" s="0" t="n">
        <f aca="false">$C$39*($B152-$C$27)</f>
        <v>-11.6460456590394</v>
      </c>
      <c r="E152" s="0" t="n">
        <f aca="false">$AC$71</f>
        <v>0.0474257507541105</v>
      </c>
      <c r="F152" s="0" t="n">
        <f aca="false">-E152*$AC$51</f>
        <v>-4.96641300533647</v>
      </c>
      <c r="G152" s="0" t="n">
        <f aca="false">-E152*$AD$51</f>
        <v>-2.48320650266823</v>
      </c>
      <c r="H152" s="0" t="n">
        <f aca="false">(-F152+SQRT(F152^2-4*$C152))/2</f>
        <v>7.36299750166945</v>
      </c>
      <c r="I152" s="0" t="n">
        <f aca="false">(-G152+SQRT(G152^2-4*$D152))/2</f>
        <v>4.87308012621063</v>
      </c>
      <c r="J152" s="0" t="n">
        <f aca="false">IF(H152&lt;&gt;0,($C$21-$B152)*$E152/H152/$AC$51-$AC$60*$AC$51,0)</f>
        <v>0.000156393087031795</v>
      </c>
      <c r="K152" s="0" t="n">
        <f aca="false">IF(I152&lt;&gt;0,($C$27-$B152)*$E152/I152/$AD$51-$AC$60*$AD$51,0)</f>
        <v>0.000348526294767507</v>
      </c>
      <c r="L152" s="0" t="n">
        <f aca="false">E152*1.001</f>
        <v>0.0474731765048646</v>
      </c>
      <c r="M152" s="0" t="n">
        <f aca="false">-L152*$AC$51</f>
        <v>-4.97137941834181</v>
      </c>
      <c r="N152" s="0" t="n">
        <f aca="false">-L152*$AD$51</f>
        <v>-2.4856897091709</v>
      </c>
      <c r="O152" s="0" t="n">
        <f aca="false">(-M152+SQRT(M152^2-4*$C152))/2</f>
        <v>7.36674481942294</v>
      </c>
      <c r="P152" s="0" t="n">
        <f aca="false">(-N152+SQRT(N152^2-4*$D152))/2</f>
        <v>4.87474642147971</v>
      </c>
      <c r="Q152" s="0" t="n">
        <f aca="false">IF(O152&lt;&gt;0,($C$21-$B152)*$L152/O152/$AC$51-$AC$60*$AC$51,0)</f>
        <v>0.000156481872404485</v>
      </c>
      <c r="R152" s="0" t="n">
        <f aca="false">IF(P152&lt;&gt;0,($C$27-$B152)*$L152/P152/$AD$51-$AC$60*$AD$51,0)</f>
        <v>0.000348763627190403</v>
      </c>
      <c r="S152" s="0" t="n">
        <f aca="false">(Q152-J152)/($L152-$E152)</f>
        <v>0.00187209208663277</v>
      </c>
      <c r="T152" s="0" t="n">
        <f aca="false">(R152-K152)/($L152-$E152)</f>
        <v>0.00500429448395525</v>
      </c>
      <c r="U152" s="0" t="n">
        <f aca="false">IF(S152&lt;&gt;T152,(K152-J152)/(S152-T152),0)</f>
        <v>-0.0613412491797958</v>
      </c>
      <c r="V152" s="0" t="n">
        <f aca="false">E152+U152</f>
        <v>-0.0139154984256853</v>
      </c>
      <c r="W152" s="0" t="n">
        <f aca="false">-V152*$AC$51</f>
        <v>1.45722758750578</v>
      </c>
      <c r="X152" s="0" t="n">
        <f aca="false">-V152*$AD$51</f>
        <v>0.728613793752888</v>
      </c>
      <c r="Y152" s="0" t="n">
        <f aca="false">(-W152+SQRT(W152^2-4*$C152))/2</f>
        <v>3.5348265681481</v>
      </c>
      <c r="Z152" s="0" t="n">
        <f aca="false">(-X152+SQRT(X152^2-4*$D152))/2</f>
        <v>3.06771367039165</v>
      </c>
      <c r="AA152" s="0" t="n">
        <f aca="false">IF(Y152&lt;&gt;0,($C$21-$B152)*$V152/Y152/$AC$51-$AC$60*$AC$51,0)</f>
        <v>-0.000135062172960199</v>
      </c>
      <c r="AB152" s="0" t="n">
        <f aca="false">IF(Z152&lt;&gt;0,($C$27-$B152)*$V152/Z152/$AD$51-$AC$60*$AD$51,0)</f>
        <v>-0.000180407141159514</v>
      </c>
      <c r="AC152" s="0" t="n">
        <f aca="false">V152*1.001</f>
        <v>-0.013929413924111</v>
      </c>
      <c r="AD152" s="0" t="n">
        <f aca="false">-AC152*$AC$51</f>
        <v>1.45868481509328</v>
      </c>
      <c r="AE152" s="0" t="n">
        <f aca="false">-AC152*$AD$51</f>
        <v>0.729342407546641</v>
      </c>
      <c r="AF152" s="0" t="n">
        <f aca="false">(-AD152+SQRT(AD152^2-4*$C152))/2</f>
        <v>3.5342225334957</v>
      </c>
      <c r="AG152" s="0" t="n">
        <f aca="false">(-AE152+SQRT(AE152^2-4*$D152))/2</f>
        <v>3.0673880535678</v>
      </c>
      <c r="AH152" s="0" t="n">
        <f aca="false">IF(AF152&lt;&gt;0,($C$21-$B152)*$AC152/AF152/$AC$51-$AC$60*$AC$51,0)</f>
        <v>-0.00013519164773345</v>
      </c>
      <c r="AI152" s="0" t="n">
        <f aca="false">IF(AG152&lt;&gt;0,($C$27-$B152)*$AC152/AG152/$AD$51-$AC$60*$AD$51,0)</f>
        <v>-0.000180593165596476</v>
      </c>
      <c r="AJ152" s="0" t="n">
        <f aca="false">(AH152-AA152)/($AC152-$V152)</f>
        <v>0.00930435757961202</v>
      </c>
      <c r="AK152" s="0" t="n">
        <f aca="false">(AI152-AB152)/($AC152-$V152)</f>
        <v>0.0133681476057314</v>
      </c>
      <c r="AL152" s="0" t="n">
        <f aca="false">IF(AJ152&lt;&gt;AK152,(AB152-AA152)/(AJ152-AK152),0)</f>
        <v>0.0111582950663956</v>
      </c>
      <c r="AM152" s="0" t="n">
        <f aca="false">V152+AL152</f>
        <v>-0.00275720335928971</v>
      </c>
      <c r="AN152" s="0" t="n">
        <f aca="false">-AM152*$AC$51</f>
        <v>0.288733660599922</v>
      </c>
      <c r="AO152" s="0" t="n">
        <f aca="false">-AM152*$AD$51</f>
        <v>0.144366830299961</v>
      </c>
      <c r="AP152" s="0" t="n">
        <f aca="false">(-AN152+SQRT(AN152^2-4*$C152))/2</f>
        <v>4.05883283670734</v>
      </c>
      <c r="AQ152" s="0" t="n">
        <f aca="false">(-AO152+SQRT(AO152^2-4*$D152))/2</f>
        <v>3.34121021941111</v>
      </c>
      <c r="AR152" s="0" t="n">
        <f aca="false">IF(AP152&lt;&gt;0,($C$21-$B152)*$AM152/AP152/$AC$51-$AC$60*$AC$51,0)</f>
        <v>-4.35802350852392E-005</v>
      </c>
      <c r="AS152" s="0" t="n">
        <f aca="false">IF(AQ152&lt;&gt;0,($C$27-$B152)*$AM152/AQ152/$AD$51-$AC$60*$AD$51,0)</f>
        <v>-4.2842062342629E-005</v>
      </c>
      <c r="AT152" s="0" t="n">
        <f aca="false">AM152*1.001</f>
        <v>-0.002759960562649</v>
      </c>
      <c r="AU152" s="0" t="n">
        <f aca="false">-AT152*$AC$51</f>
        <v>0.289022394260522</v>
      </c>
      <c r="AV152" s="0" t="n">
        <f aca="false">-AT152*$AD$51</f>
        <v>0.144511197130261</v>
      </c>
      <c r="AW152" s="0" t="n">
        <f aca="false">(-AU152+SQRT(AU152^2-4*$C152))/2</f>
        <v>4.05869343090481</v>
      </c>
      <c r="AX152" s="0" t="n">
        <f aca="false">(-AV152+SQRT(AV152^2-4*$D152))/2</f>
        <v>3.34113956322957</v>
      </c>
      <c r="AY152" s="0" t="n">
        <f aca="false">IF(AW152&lt;&gt;0,($C$21-$B152)*$AT152/AW152/$AC$51-$AC$60*$AC$51,0)</f>
        <v>-4.35999691267231E-005</v>
      </c>
      <c r="AZ152" s="0" t="n">
        <f aca="false">IF(AX152&lt;&gt;0,($C$27-$B152)*$AT152/AX152/$AD$51-$AC$60*$AD$51,0)</f>
        <v>-4.28733009031818E-005</v>
      </c>
      <c r="BA152" s="0" t="n">
        <f aca="false">(AY152-AR152)/($AT152-$AM152)</f>
        <v>0.00715726731487107</v>
      </c>
      <c r="BB152" s="0" t="n">
        <f aca="false">(AZ152-AS152)/($AT152-$AM152)</f>
        <v>0.0113297992502375</v>
      </c>
      <c r="BC152" s="0" t="n">
        <f aca="false">IF(BA152&lt;&gt;BB152,(AS152-AR152)/(BA152-BB152),0)</f>
        <v>-0.000176912424888465</v>
      </c>
      <c r="BD152" s="0" t="n">
        <f aca="false">AM152+BC152</f>
        <v>-0.00293411578417818</v>
      </c>
      <c r="BE152" s="0" t="n">
        <f aca="false">-BD152*$AC$51</f>
        <v>0.307259886411867</v>
      </c>
      <c r="BF152" s="0" t="n">
        <f aca="false">-BD152*$AD$51</f>
        <v>0.153629943205934</v>
      </c>
      <c r="BG152" s="0" t="n">
        <f aca="false">(-BE152+SQRT(BE152^2-4*$C152))/2</f>
        <v>4.04989807721797</v>
      </c>
      <c r="BH152" s="0" t="n">
        <f aca="false">(-BF152+SQRT(BF152^2-4*$D152))/2</f>
        <v>3.33667974772821</v>
      </c>
      <c r="BI152" s="0" t="n">
        <f aca="false">IF(BG152&lt;&gt;0,($C$21-$B152)*$BD152/BG152/$AC$51-$AC$60*$AC$51,0)</f>
        <v>-4.48491472136495E-005</v>
      </c>
      <c r="BJ152" s="0" t="n">
        <f aca="false">IF(BH152&lt;&gt;0,($C$27-$B152)*$BD152/BH152/$AD$51-$AC$60*$AD$51,0)</f>
        <v>-4.48490953186991E-005</v>
      </c>
      <c r="BK152" s="0" t="n">
        <f aca="false">BD152*1.001</f>
        <v>-0.00293704989996236</v>
      </c>
      <c r="BL152" s="0" t="n">
        <f aca="false">-BK152*$AC$51</f>
        <v>0.307567146298279</v>
      </c>
      <c r="BM152" s="0" t="n">
        <f aca="false">-BK152*$AD$51</f>
        <v>0.15378357314914</v>
      </c>
      <c r="BN152" s="0" t="n">
        <f aca="false">(-BL152+SQRT(BL152^2-4*$C152))/2</f>
        <v>4.04975006492371</v>
      </c>
      <c r="BO152" s="0" t="n">
        <f aca="false">(-BM152+SQRT(BM152^2-4*$D152))/2</f>
        <v>3.33660466221252</v>
      </c>
      <c r="BP152" s="0" t="n">
        <f aca="false">IF(BN152&lt;&gt;0,($C$21-$B152)*$BK152/BN152/$AC$51-$AC$60*$AC$51,0)</f>
        <v>-4.48702386241873E-005</v>
      </c>
      <c r="BQ152" s="0" t="n">
        <f aca="false">IF(BO152&lt;&gt;0,($C$27-$B152)*$BK152/BO152/$AD$51-$AC$60*$AD$51,0)</f>
        <v>-4.48824276530069E-005</v>
      </c>
      <c r="BR152" s="0" t="n">
        <f aca="false">(BP152-BI152)/($BK152-$BD152)</f>
        <v>0.00718833614251903</v>
      </c>
      <c r="BS152" s="0" t="n">
        <f aca="false">(BQ152-BJ152)/($BK152-$BD152)</f>
        <v>0.0113602654971899</v>
      </c>
      <c r="BT152" s="0" t="n">
        <f aca="false">IF(BR152&lt;&gt;BS152,(BJ152-BI152)/(BR152-BS152),0)</f>
        <v>-1.24390769821775E-008</v>
      </c>
      <c r="BU152" s="0" t="n">
        <f aca="false">BD152+BT152</f>
        <v>-0.00293412822325516</v>
      </c>
      <c r="BV152" s="0" t="n">
        <f aca="false">-BU152*$AC$51</f>
        <v>0.307261189028963</v>
      </c>
      <c r="BW152" s="0" t="n">
        <f aca="false">-BU152*$AD$51</f>
        <v>0.153630594514481</v>
      </c>
      <c r="BX152" s="0" t="n">
        <f aca="false">(-BV152+SQRT(BV152^2-4*$C152))/2</f>
        <v>4.0498974497134</v>
      </c>
      <c r="BY152" s="0" t="n">
        <f aca="false">(-BW152+SQRT(BW152^2-4*$D152))/2</f>
        <v>3.33667942940225</v>
      </c>
      <c r="BZ152" s="0" t="n">
        <f aca="false">IF(BX152&lt;&gt;0,($C$21-$B152)*$BU152/BX152/$AC$51-$AC$60*$AC$51,0)</f>
        <v>-4.48492366267216E-005</v>
      </c>
      <c r="CA152" s="0" t="n">
        <f aca="false">IF(BY152&lt;&gt;0,($C$27-$B152)*$BU152/BY152/$AD$51-$AC$60*$AD$51,0)</f>
        <v>-4.48492366267853E-005</v>
      </c>
      <c r="CB152" s="0" t="n">
        <f aca="false">BU152*1.001</f>
        <v>-0.00293706235147841</v>
      </c>
      <c r="CC152" s="0" t="n">
        <f aca="false">-CB152*$AC$51</f>
        <v>0.307568450217992</v>
      </c>
      <c r="CD152" s="0" t="n">
        <f aca="false">-CB152*$AD$51</f>
        <v>0.153784225108996</v>
      </c>
      <c r="CE152" s="0" t="n">
        <f aca="false">(-CC152+SQRT(CC152^2-4*$C152))/2</f>
        <v>4.04974943681543</v>
      </c>
      <c r="CF152" s="0" t="n">
        <f aca="false">(-CD152+SQRT(CD152^2-4*$D152))/2</f>
        <v>3.33660434357557</v>
      </c>
      <c r="CG152" s="0" t="n">
        <f aca="false">IF(CE152&lt;&gt;0,($C$21-$B152)*$CB152/CE152/$AC$51-$AC$60*$AC$51,0)</f>
        <v>-4.48703281330953E-005</v>
      </c>
      <c r="CH152" s="0" t="n">
        <f aca="false">IF(CF152&lt;&gt;0,($C$27-$B152)*$CB152/CF152/$AD$51-$AC$60*$AD$51,0)</f>
        <v>-4.48825691086959E-005</v>
      </c>
      <c r="CI152" s="0" t="n">
        <f aca="false">(CG152-BZ152)/($CB152-$BU152)</f>
        <v>0.00718833833045437</v>
      </c>
      <c r="CJ152" s="0" t="n">
        <f aca="false">(CH152-CA152)/($CB152-$BU152)</f>
        <v>0.0113602676414486</v>
      </c>
      <c r="CK152" s="0" t="n">
        <f aca="false">IF(CI152&lt;&gt;CJ152,(CA152-BZ152)/(CI152-CJ152),0)</f>
        <v>1.52842091790159E-014</v>
      </c>
      <c r="CL152" s="6" t="str">
        <f aca="false">IF(AND(BU152&gt;0,CE152&gt;0,CE152&lt;$C$15,CF152&lt;$C$15,CG152&gt;0,ABS(CK152)&lt;0.1*BU152),B152,"")</f>
        <v/>
      </c>
      <c r="CM152" s="0" t="n">
        <f aca="false">CG152+BU152^2/$C$39</f>
        <v>-4.34354767280115E-005</v>
      </c>
      <c r="CN152" s="0" t="n">
        <f aca="false">-BU152*$C$15/$C$39</f>
        <v>0.00293412822325516</v>
      </c>
      <c r="CO152" s="0" t="n">
        <f aca="false">IF(CL152&lt;&gt;"",(-CM152+SQRT(CM152^2-4*$AC$60*CN152))/2/$AC$60,0)</f>
        <v>0</v>
      </c>
      <c r="CP152" s="0" t="n">
        <f aca="false">CO152*30/PI()</f>
        <v>0</v>
      </c>
      <c r="DB152" s="6"/>
    </row>
    <row r="153" customFormat="false" ht="12.75" hidden="false" customHeight="false" outlineLevel="0" collapsed="false">
      <c r="A153" s="0" t="n">
        <f aca="false">A152+0.01</f>
        <v>0.04</v>
      </c>
      <c r="B153" s="0" t="n">
        <f aca="false">A153*$AC$68</f>
        <v>0.0786565202134588</v>
      </c>
      <c r="C153" s="0" t="n">
        <f aca="false">$C$39*($B153-$C$21)</f>
        <v>-17.5280608787192</v>
      </c>
      <c r="D153" s="0" t="n">
        <f aca="false">$C$39*($B153-$C$27)</f>
        <v>-11.5280608787192</v>
      </c>
      <c r="E153" s="0" t="n">
        <f aca="false">$AC$71</f>
        <v>0.0474257507541105</v>
      </c>
      <c r="F153" s="0" t="n">
        <f aca="false">-E153*$AC$51</f>
        <v>-4.96641300533647</v>
      </c>
      <c r="G153" s="0" t="n">
        <f aca="false">-E153*$AD$51</f>
        <v>-2.48320650266823</v>
      </c>
      <c r="H153" s="0" t="n">
        <f aca="false">(-F153+SQRT(F153^2-4*$C153))/2</f>
        <v>7.35089336745453</v>
      </c>
      <c r="I153" s="0" t="n">
        <f aca="false">(-G153+SQRT(G153^2-4*$D153))/2</f>
        <v>4.85679889091473</v>
      </c>
      <c r="J153" s="0" t="n">
        <f aca="false">IF(H153&lt;&gt;0,($C$21-$B153)*$E153/H153/$AC$51-$AC$60*$AC$51,0)</f>
        <v>0.000155479461817344</v>
      </c>
      <c r="K153" s="0" t="n">
        <f aca="false">IF(I153&lt;&gt;0,($C$27-$B153)*$E153/I153/$AD$51-$AC$60*$AD$51,0)</f>
        <v>0.00034606846559532</v>
      </c>
      <c r="L153" s="0" t="n">
        <f aca="false">E153*1.001</f>
        <v>0.0474731765048646</v>
      </c>
      <c r="M153" s="0" t="n">
        <f aca="false">-L153*$AC$51</f>
        <v>-4.97137941834181</v>
      </c>
      <c r="N153" s="0" t="n">
        <f aca="false">-L153*$AD$51</f>
        <v>-2.4856897091709</v>
      </c>
      <c r="O153" s="0" t="n">
        <f aca="false">(-M153+SQRT(M153^2-4*$C153))/2</f>
        <v>7.35464382776736</v>
      </c>
      <c r="P153" s="0" t="n">
        <f aca="false">(-N153+SQRT(N153^2-4*$D153))/2</f>
        <v>4.85846709858285</v>
      </c>
      <c r="Q153" s="0" t="n">
        <f aca="false">IF(O153&lt;&gt;0,($C$21-$B153)*$L153/O153/$AC$51-$AC$60*$AC$51,0)</f>
        <v>0.00015556757100374</v>
      </c>
      <c r="R153" s="0" t="n">
        <f aca="false">IF(P153&lt;&gt;0,($C$27-$B153)*$L153/P153/$AD$51-$AC$60*$AD$51,0)</f>
        <v>0.000346303629175131</v>
      </c>
      <c r="S153" s="0" t="n">
        <f aca="false">(Q153-J153)/($L153-$E153)</f>
        <v>0.00185783429876036</v>
      </c>
      <c r="T153" s="0" t="n">
        <f aca="false">(R153-K153)/($L153-$E153)</f>
        <v>0.00495856314496924</v>
      </c>
      <c r="U153" s="0" t="n">
        <f aca="false">IF(S153&lt;&gt;T153,(K153-J153)/(S153-T153),0)</f>
        <v>-0.0614658724547939</v>
      </c>
      <c r="V153" s="0" t="n">
        <f aca="false">E153+U153</f>
        <v>-0.0140401217006834</v>
      </c>
      <c r="W153" s="0" t="n">
        <f aca="false">-V153*$AC$51</f>
        <v>1.47027810634579</v>
      </c>
      <c r="X153" s="0" t="n">
        <f aca="false">-V153*$AD$51</f>
        <v>0.735139053172896</v>
      </c>
      <c r="Y153" s="0" t="n">
        <f aca="false">(-W153+SQRT(W153^2-4*$C153))/2</f>
        <v>3.51556563031421</v>
      </c>
      <c r="Z153" s="0" t="n">
        <f aca="false">(-X153+SQRT(X153^2-4*$D153))/2</f>
        <v>3.04756857246522</v>
      </c>
      <c r="AA153" s="0" t="n">
        <f aca="false">IF(Y153&lt;&gt;0,($C$21-$B153)*$V153/Y153/$AC$51-$AC$60*$AC$51,0)</f>
        <v>-0.000135913542246965</v>
      </c>
      <c r="AB153" s="0" t="n">
        <f aca="false">IF(Z153&lt;&gt;0,($C$27-$B153)*$V153/Z153/$AD$51-$AC$60*$AD$51,0)</f>
        <v>-0.00018130441398402</v>
      </c>
      <c r="AC153" s="0" t="n">
        <f aca="false">V153*1.001</f>
        <v>-0.0140541618223841</v>
      </c>
      <c r="AD153" s="0" t="n">
        <f aca="false">-AC153*$AC$51</f>
        <v>1.47174838445214</v>
      </c>
      <c r="AE153" s="0" t="n">
        <f aca="false">-AC153*$AD$51</f>
        <v>0.735874192226069</v>
      </c>
      <c r="AF153" s="0" t="n">
        <f aca="false">(-AD153+SQRT(AD153^2-4*$C153))/2</f>
        <v>3.5149576917119</v>
      </c>
      <c r="AG153" s="0" t="n">
        <f aca="false">(-AE153+SQRT(AE153^2-4*$D153))/2</f>
        <v>3.04724058380573</v>
      </c>
      <c r="AH153" s="0" t="n">
        <f aca="false">IF(AF153&lt;&gt;0,($C$21-$B153)*$AC153/AF153/$AC$51-$AC$60*$AC$51,0)</f>
        <v>-0.000136044242373993</v>
      </c>
      <c r="AI153" s="0" t="n">
        <f aca="false">IF(AG153&lt;&gt;0,($C$27-$B153)*$AC153/AG153/$AD$51-$AC$60*$AD$51,0)</f>
        <v>-0.000181491681524494</v>
      </c>
      <c r="AJ153" s="0" t="n">
        <f aca="false">(AH153-AA153)/($AC153-$V153)</f>
        <v>0.00930904516459112</v>
      </c>
      <c r="AK153" s="0" t="n">
        <f aca="false">(AI153-AB153)/($AC153-$V153)</f>
        <v>0.0133380282925326</v>
      </c>
      <c r="AL153" s="0" t="n">
        <f aca="false">IF(AJ153&lt;&gt;AK153,(AB153-AA153)/(AJ153-AK153),0)</f>
        <v>0.0112660863288962</v>
      </c>
      <c r="AM153" s="0" t="n">
        <f aca="false">V153+AL153</f>
        <v>-0.00277403537178727</v>
      </c>
      <c r="AN153" s="0" t="n">
        <f aca="false">-AM153*$AC$51</f>
        <v>0.290496304826838</v>
      </c>
      <c r="AO153" s="0" t="n">
        <f aca="false">-AM153*$AD$51</f>
        <v>0.145248152413419</v>
      </c>
      <c r="AP153" s="0" t="n">
        <f aca="false">(-AN153+SQRT(AN153^2-4*$C153))/2</f>
        <v>4.04392335332596</v>
      </c>
      <c r="AQ153" s="0" t="n">
        <f aca="false">(-AO153+SQRT(AO153^2-4*$D153))/2</f>
        <v>3.32345235626122</v>
      </c>
      <c r="AR153" s="0" t="n">
        <f aca="false">IF(AP153&lt;&gt;0,($C$21-$B153)*$AM153/AP153/$AC$51-$AC$60*$AC$51,0)</f>
        <v>-4.36386584723913E-005</v>
      </c>
      <c r="AS153" s="0" t="n">
        <f aca="false">IF(AQ153&lt;&gt;0,($C$27-$B153)*$AM153/AQ153/$AD$51-$AC$60*$AD$51,0)</f>
        <v>-4.28797921057794E-005</v>
      </c>
      <c r="AT153" s="0" t="n">
        <f aca="false">AM153*1.001</f>
        <v>-0.00277680940715906</v>
      </c>
      <c r="AU153" s="0" t="n">
        <f aca="false">-AT153*$AC$51</f>
        <v>0.290786801131664</v>
      </c>
      <c r="AV153" s="0" t="n">
        <f aca="false">-AT153*$AD$51</f>
        <v>0.145393400565832</v>
      </c>
      <c r="AW153" s="0" t="n">
        <f aca="false">(-AU153+SQRT(AU153^2-4*$C153))/2</f>
        <v>4.04378314377404</v>
      </c>
      <c r="AX153" s="0" t="n">
        <f aca="false">(-AV153+SQRT(AV153^2-4*$D153))/2</f>
        <v>3.32338128600528</v>
      </c>
      <c r="AY153" s="0" t="n">
        <f aca="false">IF(AW153&lt;&gt;0,($C$21-$B153)*$AT153/AW153/$AC$51-$AC$60*$AC$51,0)</f>
        <v>-4.36584591793718E-005</v>
      </c>
      <c r="AZ153" s="0" t="n">
        <f aca="false">IF(AX153&lt;&gt;0,($C$27-$B153)*$AT153/AX153/$AD$51-$AC$60*$AD$51,0)</f>
        <v>-4.29110764792473E-005</v>
      </c>
      <c r="BA153" s="0" t="n">
        <f aca="false">(AY153-AR153)/($AT153-$AM153)</f>
        <v>0.00713787112515052</v>
      </c>
      <c r="BB153" s="0" t="n">
        <f aca="false">(AZ153-AS153)/($AT153-$AM153)</f>
        <v>0.0112775683346148</v>
      </c>
      <c r="BC153" s="0" t="n">
        <f aca="false">IF(BA153&lt;&gt;BB153,(AS153-AR153)/(BA153-BB153),0)</f>
        <v>-0.000183314461955583</v>
      </c>
      <c r="BD153" s="0" t="n">
        <f aca="false">AM153+BC153</f>
        <v>-0.00295734983374286</v>
      </c>
      <c r="BE153" s="0" t="n">
        <f aca="false">-BD153*$AC$51</f>
        <v>0.309692950392719</v>
      </c>
      <c r="BF153" s="0" t="n">
        <f aca="false">-BD153*$AD$51</f>
        <v>0.154846475196359</v>
      </c>
      <c r="BG153" s="0" t="n">
        <f aca="false">(-BE153+SQRT(BE153^2-4*$C153))/2</f>
        <v>4.03466880817474</v>
      </c>
      <c r="BH153" s="0" t="n">
        <f aca="false">(-BF153+SQRT(BF153^2-4*$D153))/2</f>
        <v>3.3187592128069</v>
      </c>
      <c r="BI153" s="0" t="n">
        <f aca="false">IF(BG153&lt;&gt;0,($C$21-$B153)*$BD153/BG153/$AC$51-$AC$60*$AC$51,0)</f>
        <v>-4.4950038029494E-005</v>
      </c>
      <c r="BJ153" s="0" t="n">
        <f aca="false">IF(BH153&lt;&gt;0,($C$27-$B153)*$BD153/BH153/$AD$51-$AC$60*$AD$51,0)</f>
        <v>-4.49499818802606E-005</v>
      </c>
      <c r="BK153" s="0" t="n">
        <f aca="false">BD153*1.001</f>
        <v>-0.0029603071835766</v>
      </c>
      <c r="BL153" s="0" t="n">
        <f aca="false">-BK153*$AC$51</f>
        <v>0.310002643343111</v>
      </c>
      <c r="BM153" s="0" t="n">
        <f aca="false">-BK153*$AD$51</f>
        <v>0.155001321671556</v>
      </c>
      <c r="BN153" s="0" t="n">
        <f aca="false">(-BL153+SQRT(BL153^2-4*$C153))/2</f>
        <v>4.03451968775651</v>
      </c>
      <c r="BO153" s="0" t="n">
        <f aca="false">(-BM153+SQRT(BM153^2-4*$D153))/2</f>
        <v>3.31868355547953</v>
      </c>
      <c r="BP153" s="0" t="n">
        <f aca="false">IF(BN153&lt;&gt;0,($C$21-$B153)*$BK153/BN153/$AC$51-$AC$60*$AC$51,0)</f>
        <v>-4.49712424678378E-005</v>
      </c>
      <c r="BQ153" s="0" t="n">
        <f aca="false">IF(BO153&lt;&gt;0,($C$27-$B153)*$BK153/BO153/$AD$51-$AC$60*$AD$51,0)</f>
        <v>-4.49834269909598E-005</v>
      </c>
      <c r="BR153" s="0" t="n">
        <f aca="false">(BP153-BI153)/($BK153-$BD153)</f>
        <v>0.00717008116586924</v>
      </c>
      <c r="BS153" s="0" t="n">
        <f aca="false">(BQ153-BJ153)/($BK153-$BD153)</f>
        <v>0.0113091492651699</v>
      </c>
      <c r="BT153" s="0" t="n">
        <f aca="false">IF(BR153&lt;&gt;BS153,(BJ153-BI153)/(BR153-BS153),0)</f>
        <v>-1.35656703460113E-008</v>
      </c>
      <c r="BU153" s="0" t="n">
        <f aca="false">BD153+BT153</f>
        <v>-0.0029573633994132</v>
      </c>
      <c r="BV153" s="0" t="n">
        <f aca="false">-BU153*$AC$51</f>
        <v>0.309694370986395</v>
      </c>
      <c r="BW153" s="0" t="n">
        <f aca="false">-BU153*$AD$51</f>
        <v>0.154847185493198</v>
      </c>
      <c r="BX153" s="0" t="n">
        <f aca="false">(-BV153+SQRT(BV153^2-4*$C153))/2</f>
        <v>4.03466812413087</v>
      </c>
      <c r="BY153" s="0" t="n">
        <f aca="false">(-BW153+SQRT(BW153^2-4*$D153))/2</f>
        <v>3.31875886575486</v>
      </c>
      <c r="BZ153" s="0" t="n">
        <f aca="false">IF(BX153&lt;&gt;0,($C$21-$B153)*$BU153/BX153/$AC$51-$AC$60*$AC$51,0)</f>
        <v>-4.49501352929391E-005</v>
      </c>
      <c r="CA153" s="0" t="n">
        <f aca="false">IF(BY153&lt;&gt;0,($C$27-$B153)*$BU153/BY153/$AD$51-$AC$60*$AD$51,0)</f>
        <v>-4.49501352930098E-005</v>
      </c>
      <c r="CB153" s="0" t="n">
        <f aca="false">BU153*1.001</f>
        <v>-0.00296032076281262</v>
      </c>
      <c r="CC153" s="0" t="n">
        <f aca="false">-CB153*$AC$51</f>
        <v>0.310004065357382</v>
      </c>
      <c r="CD153" s="0" t="n">
        <f aca="false">-CB153*$AD$51</f>
        <v>0.155002032678691</v>
      </c>
      <c r="CE153" s="0" t="n">
        <f aca="false">(-CC153+SQRT(CC153^2-4*$C153))/2</f>
        <v>4.03451900305484</v>
      </c>
      <c r="CF153" s="0" t="n">
        <f aca="false">(-CD153+SQRT(CD153^2-4*$D153))/2</f>
        <v>3.31868320808855</v>
      </c>
      <c r="CG153" s="0" t="n">
        <f aca="false">IF(CE153&lt;&gt;0,($C$21-$B153)*$CB153/CE153/$AC$51-$AC$60*$AC$51,0)</f>
        <v>-4.49713398356106E-005</v>
      </c>
      <c r="CH153" s="0" t="n">
        <f aca="false">IF(CF153&lt;&gt;0,($C$27-$B153)*$CB153/CF153/$AD$51-$AC$60*$AD$51,0)</f>
        <v>-4.49835805640437E-005</v>
      </c>
      <c r="CI153" s="0" t="n">
        <f aca="false">(CG153-BZ153)/($CB153-$BU153)</f>
        <v>0.00717008355336024</v>
      </c>
      <c r="CJ153" s="0" t="n">
        <f aca="false">(CH153-CA153)/($CB153-$BU153)</f>
        <v>0.0113091516046244</v>
      </c>
      <c r="CK153" s="0" t="n">
        <f aca="false">IF(CI153&lt;&gt;CJ153,(CA153-BZ153)/(CI153-CJ153),0)</f>
        <v>1.70688964736901E-014</v>
      </c>
      <c r="CL153" s="6" t="str">
        <f aca="false">IF(AND(BU153&gt;0,CE153&gt;0,CE153&lt;$C$15,CF153&lt;$C$15,CG153&gt;0,ABS(CK153)&lt;0.1*BU153),B153,"")</f>
        <v/>
      </c>
      <c r="CM153" s="0" t="n">
        <f aca="false">CG153+BU153^2/$C$39</f>
        <v>-4.35136734562458E-005</v>
      </c>
      <c r="CN153" s="0" t="n">
        <f aca="false">-BU153*$C$15/$C$39</f>
        <v>0.0029573633994132</v>
      </c>
      <c r="CO153" s="0" t="n">
        <f aca="false">IF(CL153&lt;&gt;"",(-CM153+SQRT(CM153^2-4*$AC$60*CN153))/2/$AC$60,0)</f>
        <v>0</v>
      </c>
      <c r="CP153" s="0" t="n">
        <f aca="false">CO153*30/PI()</f>
        <v>0</v>
      </c>
      <c r="DB153" s="6"/>
    </row>
    <row r="154" customFormat="false" ht="12.75" hidden="false" customHeight="false" outlineLevel="0" collapsed="false">
      <c r="A154" s="0" t="n">
        <f aca="false">A153+0.01</f>
        <v>0.05</v>
      </c>
      <c r="B154" s="0" t="n">
        <f aca="false">A154*$AC$68</f>
        <v>0.0983206502668235</v>
      </c>
      <c r="C154" s="0" t="n">
        <f aca="false">$C$39*($B154-$C$21)</f>
        <v>-17.4100760983991</v>
      </c>
      <c r="D154" s="0" t="n">
        <f aca="false">$C$39*($B154-$C$27)</f>
        <v>-11.4100760983991</v>
      </c>
      <c r="E154" s="0" t="n">
        <f aca="false">$AC$71</f>
        <v>0.0474257507541105</v>
      </c>
      <c r="F154" s="0" t="n">
        <f aca="false">-E154*$AC$51</f>
        <v>-4.96641300533647</v>
      </c>
      <c r="G154" s="0" t="n">
        <f aca="false">-E154*$AD$51</f>
        <v>-2.48320650266823</v>
      </c>
      <c r="H154" s="0" t="n">
        <f aca="false">(-F154+SQRT(F154^2-4*$C154))/2</f>
        <v>7.33875905961712</v>
      </c>
      <c r="I154" s="0" t="n">
        <f aca="false">(-G154+SQRT(G154^2-4*$D154))/2</f>
        <v>4.84044399970331</v>
      </c>
      <c r="J154" s="0" t="n">
        <f aca="false">IF(H154&lt;&gt;0,($C$21-$B154)*$E154/H154/$AC$51-$AC$60*$AC$51,0)</f>
        <v>0.000154563559084994</v>
      </c>
      <c r="K154" s="0" t="n">
        <f aca="false">IF(I154&lt;&gt;0,($C$27-$B154)*$E154/I154/$AD$51-$AC$60*$AD$51,0)</f>
        <v>0.000343599517263277</v>
      </c>
      <c r="L154" s="0" t="n">
        <f aca="false">E154*1.001</f>
        <v>0.0474731765048646</v>
      </c>
      <c r="M154" s="0" t="n">
        <f aca="false">-L154*$AC$51</f>
        <v>-4.97137941834181</v>
      </c>
      <c r="N154" s="0" t="n">
        <f aca="false">-L154*$AD$51</f>
        <v>-2.4856897091709</v>
      </c>
      <c r="O154" s="0" t="n">
        <f aca="false">(-M154+SQRT(M154^2-4*$C154))/2</f>
        <v>7.34251268604346</v>
      </c>
      <c r="P154" s="0" t="n">
        <f aca="false">(-N154+SQRT(N154^2-4*$D154))/2</f>
        <v>4.84211414584008</v>
      </c>
      <c r="Q154" s="0" t="n">
        <f aca="false">IF(O154&lt;&gt;0,($C$21-$B154)*$L154/O154/$AC$51-$AC$60*$AC$51,0)</f>
        <v>0.000154650991587235</v>
      </c>
      <c r="R154" s="0" t="n">
        <f aca="false">IF(P154&lt;&gt;0,($C$27-$B154)*$L154/P154/$AD$51-$AC$60*$AD$51,0)</f>
        <v>0.000343832504820272</v>
      </c>
      <c r="S154" s="0" t="n">
        <f aca="false">(Q154-J154)/($L154-$E154)</f>
        <v>0.00184356601321144</v>
      </c>
      <c r="T154" s="0" t="n">
        <f aca="false">(R154-K154)/($L154-$E154)</f>
        <v>0.00491268041707994</v>
      </c>
      <c r="U154" s="0" t="n">
        <f aca="false">IF(S154&lt;&gt;T154,(K154-J154)/(S154-T154),0)</f>
        <v>-0.0615929982733816</v>
      </c>
      <c r="V154" s="0" t="n">
        <f aca="false">E154+U154</f>
        <v>-0.0141672475192711</v>
      </c>
      <c r="W154" s="0" t="n">
        <f aca="false">-V154*$AC$51</f>
        <v>1.48359069093768</v>
      </c>
      <c r="X154" s="0" t="n">
        <f aca="false">-V154*$AD$51</f>
        <v>0.741795345468841</v>
      </c>
      <c r="Y154" s="0" t="n">
        <f aca="false">(-W154+SQRT(W154^2-4*$C154))/2</f>
        <v>3.49616836756107</v>
      </c>
      <c r="Z154" s="0" t="n">
        <f aca="false">(-X154+SQRT(X154^2-4*$D154))/2</f>
        <v>3.02728436801014</v>
      </c>
      <c r="AA154" s="0" t="n">
        <f aca="false">IF(Y154&lt;&gt;0,($C$21-$B154)*$V154/Y154/$AC$51-$AC$60*$AC$51,0)</f>
        <v>-0.000136785116612538</v>
      </c>
      <c r="AB154" s="0" t="n">
        <f aca="false">IF(Z154&lt;&gt;0,($C$27-$B154)*$V154/Z154/$AD$51-$AC$60*$AD$51,0)</f>
        <v>-0.000182220541026553</v>
      </c>
      <c r="AC154" s="0" t="n">
        <f aca="false">V154*1.001</f>
        <v>-0.0141814147667904</v>
      </c>
      <c r="AD154" s="0" t="n">
        <f aca="false">-AC154*$AC$51</f>
        <v>1.48507428162862</v>
      </c>
      <c r="AE154" s="0" t="n">
        <f aca="false">-AC154*$AD$51</f>
        <v>0.742537140814309</v>
      </c>
      <c r="AF154" s="0" t="n">
        <f aca="false">(-AD154+SQRT(AD154^2-4*$C154))/2</f>
        <v>3.49555647588268</v>
      </c>
      <c r="AG154" s="0" t="n">
        <f aca="false">(-AE154+SQRT(AE154^2-4*$D154))/2</f>
        <v>3.0269539723012</v>
      </c>
      <c r="AH154" s="0" t="n">
        <f aca="false">IF(AF154&lt;&gt;0,($C$21-$B154)*$AC154/AF154/$AC$51-$AC$60*$AC$51,0)</f>
        <v>-0.000136917074211054</v>
      </c>
      <c r="AI154" s="0" t="n">
        <f aca="false">IF(AG154&lt;&gt;0,($C$27-$B154)*$AC154/AG154/$AD$51-$AC$60*$AD$51,0)</f>
        <v>-0.000182409081428294</v>
      </c>
      <c r="AJ154" s="0" t="n">
        <f aca="false">(AH154-AA154)/($AC154-$V154)</f>
        <v>0.0093142721150758</v>
      </c>
      <c r="AK154" s="0" t="n">
        <f aca="false">(AI154-AB154)/($AC154-$V154)</f>
        <v>0.0133081885866532</v>
      </c>
      <c r="AL154" s="0" t="n">
        <f aca="false">IF(AJ154&lt;&gt;AK154,(AB154-AA154)/(AJ154-AK154),0)</f>
        <v>0.0113761578984828</v>
      </c>
      <c r="AM154" s="0" t="n">
        <f aca="false">V154+AL154</f>
        <v>-0.00279108962078831</v>
      </c>
      <c r="AN154" s="0" t="n">
        <f aca="false">-AM154*$AC$51</f>
        <v>0.292282221605976</v>
      </c>
      <c r="AO154" s="0" t="n">
        <f aca="false">-AM154*$AD$51</f>
        <v>0.146141110802988</v>
      </c>
      <c r="AP154" s="0" t="n">
        <f aca="false">(-AN154+SQRT(AN154^2-4*$C154))/2</f>
        <v>4.02895569318441</v>
      </c>
      <c r="AQ154" s="0" t="n">
        <f aca="false">(-AO154+SQRT(AO154^2-4*$D154))/2</f>
        <v>3.30560010100551</v>
      </c>
      <c r="AR154" s="0" t="n">
        <f aca="false">IF(AP154&lt;&gt;0,($C$21-$B154)*$AM154/AP154/$AC$51-$AC$60*$AC$51,0)</f>
        <v>-4.36977508645892E-005</v>
      </c>
      <c r="AS154" s="0" t="n">
        <f aca="false">IF(AQ154&lt;&gt;0,($C$27-$B154)*$AM154/AQ154/$AD$51-$AC$60*$AD$51,0)</f>
        <v>-4.29174200417643E-005</v>
      </c>
      <c r="AT154" s="0" t="n">
        <f aca="false">AM154*1.001</f>
        <v>-0.0027938807104091</v>
      </c>
      <c r="AU154" s="0" t="n">
        <f aca="false">-AT154*$AC$51</f>
        <v>0.292574503827582</v>
      </c>
      <c r="AV154" s="0" t="n">
        <f aca="false">-AT154*$AD$51</f>
        <v>0.146287251913791</v>
      </c>
      <c r="AW154" s="0" t="n">
        <f aca="false">(-AU154+SQRT(AU154^2-4*$C154))/2</f>
        <v>4.02881467001237</v>
      </c>
      <c r="AX154" s="0" t="n">
        <f aca="false">(-AV154+SQRT(AV154^2-4*$D154))/2</f>
        <v>3.30552861153777</v>
      </c>
      <c r="AY154" s="0" t="n">
        <f aca="false">IF(AW154&lt;&gt;0,($C$21-$B154)*$AT154/AW154/$AC$51-$AC$60*$AC$51,0)</f>
        <v>-4.371761907064E-005</v>
      </c>
      <c r="AZ154" s="0" t="n">
        <f aca="false">IF(AX154&lt;&gt;0,($C$27-$B154)*$AT154/AX154/$AD$51-$AC$60*$AD$51,0)</f>
        <v>-4.29487502870913E-005</v>
      </c>
      <c r="BA154" s="0" t="n">
        <f aca="false">(AY154-AR154)/($AT154-$AM154)</f>
        <v>0.0071184407346635</v>
      </c>
      <c r="BB154" s="0" t="n">
        <f aca="false">(AZ154-AS154)/($AT154-$AM154)</f>
        <v>0.0112250947062761</v>
      </c>
      <c r="BC154" s="0" t="n">
        <f aca="false">IF(BA154&lt;&gt;BB154,(AS154-AR154)/(BA154-BB154),0)</f>
        <v>-0.000190016209843591</v>
      </c>
      <c r="BD154" s="0" t="n">
        <f aca="false">AM154+BC154</f>
        <v>-0.0029811058306319</v>
      </c>
      <c r="BE154" s="0" t="n">
        <f aca="false">-BD154*$AC$51</f>
        <v>0.312180672569563</v>
      </c>
      <c r="BF154" s="0" t="n">
        <f aca="false">-BD154*$AD$51</f>
        <v>0.156090336284781</v>
      </c>
      <c r="BG154" s="0" t="n">
        <f aca="false">(-BE154+SQRT(BE154^2-4*$C154))/2</f>
        <v>4.01936655985013</v>
      </c>
      <c r="BH154" s="0" t="n">
        <f aca="false">(-BF154+SQRT(BF154^2-4*$D154))/2</f>
        <v>3.30073673465475</v>
      </c>
      <c r="BI154" s="0" t="n">
        <f aca="false">IF(BG154&lt;&gt;0,($C$21-$B154)*$BD154/BG154/$AC$51-$AC$60*$AC$51,0)</f>
        <v>-4.50534938128707E-005</v>
      </c>
      <c r="BJ154" s="0" t="n">
        <f aca="false">IF(BH154&lt;&gt;0,($C$27-$B154)*$BD154/BH154/$AD$51-$AC$60*$AD$51,0)</f>
        <v>-4.50534330158565E-005</v>
      </c>
      <c r="BK154" s="0" t="n">
        <f aca="false">BD154*1.001</f>
        <v>-0.00298408693646253</v>
      </c>
      <c r="BL154" s="0" t="n">
        <f aca="false">-BK154*$AC$51</f>
        <v>0.312492853242132</v>
      </c>
      <c r="BM154" s="0" t="n">
        <f aca="false">-BK154*$AD$51</f>
        <v>0.156246426621066</v>
      </c>
      <c r="BN154" s="0" t="n">
        <f aca="false">(-BL154+SQRT(BL154^2-4*$C154))/2</f>
        <v>4.01921630752361</v>
      </c>
      <c r="BO154" s="0" t="n">
        <f aca="false">(-BM154+SQRT(BM154^2-4*$D154))/2</f>
        <v>3.30066049312245</v>
      </c>
      <c r="BP154" s="0" t="n">
        <f aca="false">IF(BN154&lt;&gt;0,($C$21-$B154)*$BK154/BN154/$AC$51-$AC$60*$AC$51,0)</f>
        <v>-4.50748142233272E-005</v>
      </c>
      <c r="BQ154" s="0" t="n">
        <f aca="false">IF(BO154&lt;&gt;0,($C$27-$B154)*$BK154/BO154/$AD$51-$AC$60*$AD$51,0)</f>
        <v>-4.50869938376183E-005</v>
      </c>
      <c r="BR154" s="0" t="n">
        <f aca="false">(BP154-BI154)/($BK154-$BD154)</f>
        <v>0.00715184621672736</v>
      </c>
      <c r="BS154" s="0" t="n">
        <f aca="false">(BQ154-BJ154)/($BK154-$BD154)</f>
        <v>0.0112578431188182</v>
      </c>
      <c r="BT154" s="0" t="n">
        <f aca="false">IF(BR154&lt;&gt;BS154,(BJ154-BI154)/(BR154-BS154),0)</f>
        <v>-1.4806882632666E-008</v>
      </c>
      <c r="BU154" s="0" t="n">
        <f aca="false">BD154+BT154</f>
        <v>-0.00298112063751453</v>
      </c>
      <c r="BV154" s="0" t="n">
        <f aca="false">-BU154*$AC$51</f>
        <v>0.312182223142686</v>
      </c>
      <c r="BW154" s="0" t="n">
        <f aca="false">-BU154*$AD$51</f>
        <v>0.156091111571343</v>
      </c>
      <c r="BX154" s="0" t="n">
        <f aca="false">(-BV154+SQRT(BV154^2-4*$C154))/2</f>
        <v>4.01936581354603</v>
      </c>
      <c r="BY154" s="0" t="n">
        <f aca="false">(-BW154+SQRT(BW154^2-4*$D154))/2</f>
        <v>3.30073635596551</v>
      </c>
      <c r="BZ154" s="0" t="n">
        <f aca="false">IF(BX154&lt;&gt;0,($C$21-$B154)*$BU154/BX154/$AC$51-$AC$60*$AC$51,0)</f>
        <v>-4.50535997055529E-005</v>
      </c>
      <c r="CA154" s="0" t="n">
        <f aca="false">IF(BY154&lt;&gt;0,($C$27-$B154)*$BU154/BY154/$AD$51-$AC$60*$AD$51,0)</f>
        <v>-4.50535997056313E-005</v>
      </c>
      <c r="CB154" s="0" t="n">
        <f aca="false">BU154*1.001</f>
        <v>-0.00298410175815205</v>
      </c>
      <c r="CC154" s="0" t="n">
        <f aca="false">-CB154*$AC$51</f>
        <v>0.312494405365829</v>
      </c>
      <c r="CD154" s="0" t="n">
        <f aca="false">-CB154*$AD$51</f>
        <v>0.156247202682914</v>
      </c>
      <c r="CE154" s="0" t="n">
        <f aca="false">(-CC154+SQRT(CC154^2-4*$C154))/2</f>
        <v>4.01921556050218</v>
      </c>
      <c r="CF154" s="0" t="n">
        <f aca="false">(-CD154+SQRT(CD154^2-4*$D154))/2</f>
        <v>3.30066011406348</v>
      </c>
      <c r="CG154" s="0" t="n">
        <f aca="false">IF(CE154&lt;&gt;0,($C$21-$B154)*$CB154/CE154/$AC$51-$AC$60*$AC$51,0)</f>
        <v>-4.50749202296792E-005</v>
      </c>
      <c r="CH154" s="0" t="n">
        <f aca="false">IF(CF154&lt;&gt;0,($C$27-$B154)*$CB154/CF154/$AD$51-$AC$60*$AD$51,0)</f>
        <v>-4.50871607017023E-005</v>
      </c>
      <c r="CI154" s="0" t="n">
        <f aca="false">(CG154-BZ154)/($CB154-$BU154)</f>
        <v>0.00715184882423269</v>
      </c>
      <c r="CJ154" s="0" t="n">
        <f aca="false">(CH154-CA154)/($CB154-$BU154)</f>
        <v>0.0112578456734436</v>
      </c>
      <c r="CK154" s="0" t="n">
        <f aca="false">IF(CI154&lt;&gt;CJ154,(CA154-BZ154)/(CI154-CJ154),0)</f>
        <v>1.90877556466239E-014</v>
      </c>
      <c r="CL154" s="6" t="str">
        <f aca="false">IF(AND(BU154&gt;0,CE154&gt;0,CE154&lt;$C$15,CF154&lt;$C$15,CG154&gt;0,ABS(CK154)&lt;0.1*BU154),B154,"")</f>
        <v/>
      </c>
      <c r="CM154" s="0" t="n">
        <f aca="false">CG154+BU154^2/$C$39</f>
        <v>-4.359374018711E-005</v>
      </c>
      <c r="CN154" s="0" t="n">
        <f aca="false">-BU154*$C$15/$C$39</f>
        <v>0.00298112063751453</v>
      </c>
      <c r="CO154" s="0" t="n">
        <f aca="false">IF(CL154&lt;&gt;"",(-CM154+SQRT(CM154^2-4*$AC$60*CN154))/2/$AC$60,0)</f>
        <v>0</v>
      </c>
      <c r="CP154" s="0" t="n">
        <f aca="false">CO154*30/PI()</f>
        <v>0</v>
      </c>
      <c r="DB154" s="6"/>
    </row>
    <row r="155" customFormat="false" ht="12.75" hidden="false" customHeight="false" outlineLevel="0" collapsed="false">
      <c r="A155" s="0" t="n">
        <f aca="false">A154+0.01</f>
        <v>0.06</v>
      </c>
      <c r="B155" s="0" t="n">
        <f aca="false">A155*$AC$68</f>
        <v>0.117984780320188</v>
      </c>
      <c r="C155" s="0" t="n">
        <f aca="false">$C$39*($B155-$C$21)</f>
        <v>-17.2920913180789</v>
      </c>
      <c r="D155" s="0" t="n">
        <f aca="false">$C$39*($B155-$C$27)</f>
        <v>-11.2920913180789</v>
      </c>
      <c r="E155" s="0" t="n">
        <f aca="false">$AC$71</f>
        <v>0.0474257507541105</v>
      </c>
      <c r="F155" s="0" t="n">
        <f aca="false">-E155*$AC$51</f>
        <v>-4.96641300533647</v>
      </c>
      <c r="G155" s="0" t="n">
        <f aca="false">-E155*$AD$51</f>
        <v>-2.48320650266823</v>
      </c>
      <c r="H155" s="0" t="n">
        <f aca="false">(-F155+SQRT(F155^2-4*$C155))/2</f>
        <v>7.32659435137214</v>
      </c>
      <c r="I155" s="0" t="n">
        <f aca="false">(-G155+SQRT(G155^2-4*$D155))/2</f>
        <v>4.82401444378569</v>
      </c>
      <c r="J155" s="0" t="n">
        <f aca="false">IF(H155&lt;&gt;0,($C$21-$B155)*$E155/H155/$AC$51-$AC$60*$AC$51,0)</f>
        <v>0.000153645361716911</v>
      </c>
      <c r="K155" s="0" t="n">
        <f aca="false">IF(I155&lt;&gt;0,($C$27-$B155)*$E155/I155/$AD$51-$AC$60*$AD$51,0)</f>
        <v>0.000341119297483482</v>
      </c>
      <c r="L155" s="0" t="n">
        <f aca="false">E155*1.001</f>
        <v>0.0474731765048646</v>
      </c>
      <c r="M155" s="0" t="n">
        <f aca="false">-L155*$AC$51</f>
        <v>-4.97137941834181</v>
      </c>
      <c r="N155" s="0" t="n">
        <f aca="false">-L155*$AD$51</f>
        <v>-2.4856897091709</v>
      </c>
      <c r="O155" s="0" t="n">
        <f aca="false">(-M155+SQRT(M155^2-4*$C155))/2</f>
        <v>7.3303511677619</v>
      </c>
      <c r="P155" s="0" t="n">
        <f aca="false">(-N155+SQRT(N155^2-4*$D155))/2</f>
        <v>4.82568655505847</v>
      </c>
      <c r="Q155" s="0" t="n">
        <f aca="false">IF(O155&lt;&gt;0,($C$21-$B155)*$L155/O155/$AC$51-$AC$60*$AC$51,0)</f>
        <v>0.000153732117042364</v>
      </c>
      <c r="R155" s="0" t="n">
        <f aca="false">IF(P155&lt;&gt;0,($C$27-$B155)*$L155/P155/$AD$51-$AC$60*$AD$51,0)</f>
        <v>0.000341350101775964</v>
      </c>
      <c r="S155" s="0" t="n">
        <f aca="false">(Q155-J155)/($L155-$E155)</f>
        <v>0.00182928734016767</v>
      </c>
      <c r="T155" s="0" t="n">
        <f aca="false">(R155-K155)/($L155-$E155)</f>
        <v>0.00486664499374553</v>
      </c>
      <c r="U155" s="0" t="n">
        <f aca="false">IF(S155&lt;&gt;T155,(K155-J155)/(S155-T155),0)</f>
        <v>-0.0617227067565568</v>
      </c>
      <c r="V155" s="0" t="n">
        <f aca="false">E155+U155</f>
        <v>-0.0142969560024464</v>
      </c>
      <c r="W155" s="0" t="n">
        <f aca="false">-V155*$AC$51</f>
        <v>1.49717373153273</v>
      </c>
      <c r="X155" s="0" t="n">
        <f aca="false">-V155*$AD$51</f>
        <v>0.748586865766366</v>
      </c>
      <c r="Y155" s="0" t="n">
        <f aca="false">(-W155+SQRT(W155^2-4*$C155))/2</f>
        <v>3.47663189941926</v>
      </c>
      <c r="Z155" s="0" t="n">
        <f aca="false">(-X155+SQRT(X155^2-4*$D155))/2</f>
        <v>3.00685827799557</v>
      </c>
      <c r="AA155" s="0" t="n">
        <f aca="false">IF(Y155&lt;&gt;0,($C$21-$B155)*$V155/Y155/$AC$51-$AC$60*$AC$51,0)</f>
        <v>-0.000137677659287851</v>
      </c>
      <c r="AB155" s="0" t="n">
        <f aca="false">IF(Z155&lt;&gt;0,($C$27-$B155)*$V155/Z155/$AD$51-$AC$60*$AD$51,0)</f>
        <v>-0.000183156209019376</v>
      </c>
      <c r="AC155" s="0" t="n">
        <f aca="false">V155*1.001</f>
        <v>-0.0143112529584488</v>
      </c>
      <c r="AD155" s="0" t="n">
        <f aca="false">-AC155*$AC$51</f>
        <v>1.49867090526427</v>
      </c>
      <c r="AE155" s="0" t="n">
        <f aca="false">-AC155*$AD$51</f>
        <v>0.749335452632133</v>
      </c>
      <c r="AF155" s="0" t="n">
        <f aca="false">(-AD155+SQRT(AD155^2-4*$C155))/2</f>
        <v>3.47601600477946</v>
      </c>
      <c r="AG155" s="0" t="n">
        <f aca="false">(-AE155+SQRT(AE155^2-4*$D155))/2</f>
        <v>3.00652543930191</v>
      </c>
      <c r="AH155" s="0" t="n">
        <f aca="false">IF(AF155&lt;&gt;0,($C$21-$B155)*$AC155/AF155/$AC$51-$AC$60*$AC$51,0)</f>
        <v>-0.000137810907766427</v>
      </c>
      <c r="AI155" s="0" t="n">
        <f aca="false">IF(AG155&lt;&gt;0,($C$27-$B155)*$AC155/AG155/$AD$51-$AC$60*$AD$51,0)</f>
        <v>-0.000183346053209328</v>
      </c>
      <c r="AJ155" s="0" t="n">
        <f aca="false">(AH155-AA155)/($AC155-$V155)</f>
        <v>0.00932005935760371</v>
      </c>
      <c r="AK155" s="0" t="n">
        <f aca="false">(AI155-AB155)/($AC155-$V155)</f>
        <v>0.0132786440637728</v>
      </c>
      <c r="AL155" s="0" t="n">
        <f aca="false">IF(AJ155&lt;&gt;AK155,(AB155-AA155)/(AJ155-AK155),0)</f>
        <v>0.0114885882473729</v>
      </c>
      <c r="AM155" s="0" t="n">
        <f aca="false">V155+AL155</f>
        <v>-0.00280836775507342</v>
      </c>
      <c r="AN155" s="0" t="n">
        <f aca="false">-AM155*$AC$51</f>
        <v>0.294091583597237</v>
      </c>
      <c r="AO155" s="0" t="n">
        <f aca="false">-AM155*$AD$51</f>
        <v>0.147045791798619</v>
      </c>
      <c r="AP155" s="0" t="n">
        <f aca="false">(-AN155+SQRT(AN155^2-4*$C155))/2</f>
        <v>4.01392930821875</v>
      </c>
      <c r="AQ155" s="0" t="n">
        <f aca="false">(-AO155+SQRT(AO155^2-4*$D155))/2</f>
        <v>3.28765203770654</v>
      </c>
      <c r="AR155" s="0" t="n">
        <f aca="false">IF(AP155&lt;&gt;0,($C$21-$B155)*$AM155/AP155/$AC$51-$AC$60*$AC$51,0)</f>
        <v>-4.37575050593086E-005</v>
      </c>
      <c r="AS155" s="0" t="n">
        <f aca="false">IF(AQ155&lt;&gt;0,($C$27-$B155)*$AM155/AQ155/$AD$51-$AC$60*$AD$51,0)</f>
        <v>-4.29549028225556E-005</v>
      </c>
      <c r="AT155" s="0" t="n">
        <f aca="false">AM155*1.001</f>
        <v>-0.0028111761228285</v>
      </c>
      <c r="AU155" s="0" t="n">
        <f aca="false">-AT155*$AC$51</f>
        <v>0.294385675180835</v>
      </c>
      <c r="AV155" s="0" t="n">
        <f aca="false">-AT155*$AD$51</f>
        <v>0.147192837590417</v>
      </c>
      <c r="AW155" s="0" t="n">
        <f aca="false">(-AU155+SQRT(AU155^2-4*$C155))/2</f>
        <v>4.0137874615118</v>
      </c>
      <c r="AX155" s="0" t="n">
        <f aca="false">(-AV155+SQRT(AV155^2-4*$D155))/2</f>
        <v>3.28758012386636</v>
      </c>
      <c r="AY155" s="0" t="n">
        <f aca="false">IF(AW155&lt;&gt;0,($C$21-$B155)*$AT155/AW155/$AC$51-$AC$60*$AC$51,0)</f>
        <v>-4.37774415939012E-005</v>
      </c>
      <c r="AZ155" s="0" t="n">
        <f aca="false">IF(AX155&lt;&gt;0,($C$27-$B155)*$AT155/AX155/$AD$51-$AC$60*$AD$51,0)</f>
        <v>-4.29862789583826E-005</v>
      </c>
      <c r="BA155" s="0" t="n">
        <f aca="false">(AY155-AR155)/($AT155-$AM155)</f>
        <v>0.00709897575079158</v>
      </c>
      <c r="BB155" s="0" t="n">
        <f aca="false">(AZ155-AS155)/($AT155-$AM155)</f>
        <v>0.011172374333952</v>
      </c>
      <c r="BC155" s="0" t="n">
        <f aca="false">IF(BA155&lt;&gt;BB155,(AS155-AR155)/(BA155-BB155),0)</f>
        <v>-0.000197035036068167</v>
      </c>
      <c r="BD155" s="0" t="n">
        <f aca="false">AM155+BC155</f>
        <v>-0.00300540279114159</v>
      </c>
      <c r="BE155" s="0" t="n">
        <f aca="false">-BD155*$AC$51</f>
        <v>0.314725044324289</v>
      </c>
      <c r="BF155" s="0" t="n">
        <f aca="false">-BD155*$AD$51</f>
        <v>0.157362522162145</v>
      </c>
      <c r="BG155" s="0" t="n">
        <f aca="false">(-BE155+SQRT(BE155^2-4*$C155))/2</f>
        <v>4.00398993604902</v>
      </c>
      <c r="BH155" s="0" t="n">
        <f aca="false">(-BF155+SQRT(BF155^2-4*$D155))/2</f>
        <v>3.28261046367657</v>
      </c>
      <c r="BI155" s="0" t="n">
        <f aca="false">IF(BG155&lt;&gt;0,($C$21-$B155)*$BD155/BG155/$AC$51-$AC$60*$AC$51,0)</f>
        <v>-4.5159614104849E-005</v>
      </c>
      <c r="BJ155" s="0" t="n">
        <f aca="false">IF(BH155&lt;&gt;0,($C$27-$B155)*$BD155/BH155/$AD$51-$AC$60*$AD$51,0)</f>
        <v>-4.51595482258893E-005</v>
      </c>
      <c r="BK155" s="0" t="n">
        <f aca="false">BD155*1.001</f>
        <v>-0.00300840819393273</v>
      </c>
      <c r="BL155" s="0" t="n">
        <f aca="false">-BK155*$AC$51</f>
        <v>0.315039769368613</v>
      </c>
      <c r="BM155" s="0" t="n">
        <f aca="false">-BK155*$AD$51</f>
        <v>0.157519884684307</v>
      </c>
      <c r="BN155" s="0" t="n">
        <f aca="false">(-BL155+SQRT(BL155^2-4*$C155))/2</f>
        <v>4.00383852719874</v>
      </c>
      <c r="BO155" s="0" t="n">
        <f aca="false">(-BM155+SQRT(BM155^2-4*$D155))/2</f>
        <v>3.28253362511021</v>
      </c>
      <c r="BP155" s="0" t="n">
        <f aca="false">IF(BN155&lt;&gt;0,($C$21-$B155)*$BK155/BN155/$AC$51-$AC$60*$AC$51,0)</f>
        <v>-4.51810535486565E-005</v>
      </c>
      <c r="BQ155" s="0" t="n">
        <f aca="false">IF(BO155&lt;&gt;0,($C$27-$B155)*$BK155/BO155/$AD$51-$AC$60*$AD$51,0)</f>
        <v>-4.51932278098081E-005</v>
      </c>
      <c r="BR155" s="0" t="n">
        <f aca="false">(BP155-BI155)/($BK155-$BD155)</f>
        <v>0.0071336340908078</v>
      </c>
      <c r="BS155" s="0" t="n">
        <f aca="false">(BQ155-BJ155)/($BK155-$BD155)</f>
        <v>0.0112063461237529</v>
      </c>
      <c r="BT155" s="0" t="n">
        <f aca="false">IF(BR155&lt;&gt;BS155,(BJ155-BI155)/(BR155-BS155),0)</f>
        <v>-1.61756979519871E-008</v>
      </c>
      <c r="BU155" s="0" t="n">
        <f aca="false">BD155+BT155</f>
        <v>-0.00300541896683954</v>
      </c>
      <c r="BV155" s="0" t="n">
        <f aca="false">-BU155*$AC$51</f>
        <v>0.314726738239418</v>
      </c>
      <c r="BW155" s="0" t="n">
        <f aca="false">-BU155*$AD$51</f>
        <v>0.157363369119709</v>
      </c>
      <c r="BX155" s="0" t="n">
        <f aca="false">(-BV155+SQRT(BV155^2-4*$C155))/2</f>
        <v>4.00398912111944</v>
      </c>
      <c r="BY155" s="0" t="n">
        <f aca="false">(-BW155+SQRT(BW155^2-4*$D155))/2</f>
        <v>3.28261005011062</v>
      </c>
      <c r="BZ155" s="0" t="n">
        <f aca="false">IF(BX155&lt;&gt;0,($C$21-$B155)*$BU155/BX155/$AC$51-$AC$60*$AC$51,0)</f>
        <v>-4.51597294921014E-005</v>
      </c>
      <c r="CA155" s="0" t="n">
        <f aca="false">IF(BY155&lt;&gt;0,($C$27-$B155)*$BU155/BY155/$AD$51-$AC$60*$AD$51,0)</f>
        <v>-4.51597294921884E-005</v>
      </c>
      <c r="CB155" s="0" t="n">
        <f aca="false">BU155*1.001</f>
        <v>-0.00300842438580638</v>
      </c>
      <c r="CC155" s="0" t="n">
        <f aca="false">-CB155*$AC$51</f>
        <v>0.315041464977657</v>
      </c>
      <c r="CD155" s="0" t="n">
        <f aca="false">-CB155*$AD$51</f>
        <v>0.157520732488829</v>
      </c>
      <c r="CE155" s="0" t="n">
        <f aca="false">(-CC155+SQRT(CC155^2-4*$C155))/2</f>
        <v>4.00383771148625</v>
      </c>
      <c r="CF155" s="0" t="n">
        <f aca="false">(-CD155+SQRT(CD155^2-4*$D155))/2</f>
        <v>3.28253321114061</v>
      </c>
      <c r="CG155" s="0" t="n">
        <f aca="false">IF(CE155&lt;&gt;0,($C$21-$B155)*$CB155/CE155/$AC$51-$AC$60*$AC$51,0)</f>
        <v>-4.51811690598667E-005</v>
      </c>
      <c r="CH155" s="0" t="n">
        <f aca="false">IF(CF155&lt;&gt;0,($C$27-$B155)*$CB155/CF155/$AD$51-$AC$60*$AD$51,0)</f>
        <v>-4.51934092657689E-005</v>
      </c>
      <c r="CI155" s="0" t="n">
        <f aca="false">(CG155-BZ155)/($CB155-$BU155)</f>
        <v>0.00713363694110611</v>
      </c>
      <c r="CJ155" s="0" t="n">
        <f aca="false">(CH155-CA155)/($CB155-$BU155)</f>
        <v>0.0112063489157892</v>
      </c>
      <c r="CK155" s="0" t="n">
        <f aca="false">IF(CI155&lt;&gt;CJ155,(CA155-BZ155)/(CI155-CJ155),0)</f>
        <v>2.13684526855025E-014</v>
      </c>
      <c r="CL155" s="6" t="str">
        <f aca="false">IF(AND(BU155&gt;0,CE155&gt;0,CE155&lt;$C$15,CF155&lt;$C$15,CG155&gt;0,ABS(CK155)&lt;0.1*BU155),B155,"")</f>
        <v/>
      </c>
      <c r="CM155" s="0" t="n">
        <f aca="false">CG155+BU155^2/$C$39</f>
        <v>-4.36757451988269E-005</v>
      </c>
      <c r="CN155" s="0" t="n">
        <f aca="false">-BU155*$C$15/$C$39</f>
        <v>0.00300541896683954</v>
      </c>
      <c r="CO155" s="0" t="n">
        <f aca="false">IF(CL155&lt;&gt;"",(-CM155+SQRT(CM155^2-4*$AC$60*CN155))/2/$AC$60,0)</f>
        <v>0</v>
      </c>
      <c r="CP155" s="0" t="n">
        <f aca="false">CO155*30/PI()</f>
        <v>0</v>
      </c>
      <c r="DB155" s="6"/>
    </row>
    <row r="156" customFormat="false" ht="12.75" hidden="false" customHeight="false" outlineLevel="0" collapsed="false">
      <c r="A156" s="0" t="n">
        <f aca="false">A155+0.01</f>
        <v>0.07</v>
      </c>
      <c r="B156" s="0" t="n">
        <f aca="false">A156*$AC$68</f>
        <v>0.137648910373553</v>
      </c>
      <c r="C156" s="0" t="n">
        <f aca="false">$C$39*($B156-$C$21)</f>
        <v>-17.1741065377587</v>
      </c>
      <c r="D156" s="0" t="n">
        <f aca="false">$C$39*($B156-$C$27)</f>
        <v>-11.1741065377587</v>
      </c>
      <c r="E156" s="0" t="n">
        <f aca="false">$AC$71</f>
        <v>0.0474257507541105</v>
      </c>
      <c r="F156" s="0" t="n">
        <f aca="false">-E156*$AC$51</f>
        <v>-4.96641300533647</v>
      </c>
      <c r="G156" s="0" t="n">
        <f aca="false">-E156*$AD$51</f>
        <v>-2.48320650266823</v>
      </c>
      <c r="H156" s="0" t="n">
        <f aca="false">(-F156+SQRT(F156^2-4*$C156))/2</f>
        <v>7.31439901307935</v>
      </c>
      <c r="I156" s="0" t="n">
        <f aca="false">(-G156+SQRT(G156^2-4*$D156))/2</f>
        <v>4.80750919113148</v>
      </c>
      <c r="J156" s="0" t="n">
        <f aca="false">IF(H156&lt;&gt;0,($C$21-$B156)*$E156/H156/$AC$51-$AC$60*$AC$51,0)</f>
        <v>0.000152724852379753</v>
      </c>
      <c r="K156" s="0" t="n">
        <f aca="false">IF(I156&lt;&gt;0,($C$27-$B156)*$E156/I156/$AD$51-$AC$60*$AD$51,0)</f>
        <v>0.000338627650459741</v>
      </c>
      <c r="L156" s="0" t="n">
        <f aca="false">E156*1.001</f>
        <v>0.0474731765048646</v>
      </c>
      <c r="M156" s="0" t="n">
        <f aca="false">-L156*$AC$51</f>
        <v>-4.97137941834181</v>
      </c>
      <c r="N156" s="0" t="n">
        <f aca="false">-L156*$AD$51</f>
        <v>-2.4856897091709</v>
      </c>
      <c r="O156" s="0" t="n">
        <f aca="false">(-M156+SQRT(M156^2-4*$C156))/2</f>
        <v>7.31815904358336</v>
      </c>
      <c r="P156" s="0" t="n">
        <f aca="false">(-N156+SQRT(N156^2-4*$D156))/2</f>
        <v>4.80918329482471</v>
      </c>
      <c r="Q156" s="0" t="n">
        <f aca="false">IF(O156&lt;&gt;0,($C$21-$B156)*$L156/O156/$AC$51-$AC$60*$AC$51,0)</f>
        <v>0.000152810930041186</v>
      </c>
      <c r="R156" s="0" t="n">
        <f aca="false">IF(P156&lt;&gt;0,($C$27-$B156)*$L156/P156/$AD$51-$AC$60*$AD$51,0)</f>
        <v>0.000338856264183468</v>
      </c>
      <c r="S156" s="0" t="n">
        <f aca="false">(Q156-J156)/($L156-$E156)</f>
        <v>0.00181499839358736</v>
      </c>
      <c r="T156" s="0" t="n">
        <f aca="false">(R156-K156)/($L156-$E156)</f>
        <v>0.00482045555615126</v>
      </c>
      <c r="U156" s="0" t="n">
        <f aca="false">IF(S156&lt;&gt;T156,(K156-J156)/(S156-T156),0)</f>
        <v>-0.0618550816147378</v>
      </c>
      <c r="V156" s="0" t="n">
        <f aca="false">E156+U156</f>
        <v>-0.0144293308606273</v>
      </c>
      <c r="W156" s="0" t="n">
        <f aca="false">-V156*$AC$51</f>
        <v>1.51103599426544</v>
      </c>
      <c r="X156" s="0" t="n">
        <f aca="false">-V156*$AD$51</f>
        <v>0.755517997132721</v>
      </c>
      <c r="Y156" s="0" t="n">
        <f aca="false">(-W156+SQRT(W156^2-4*$C156))/2</f>
        <v>3.45695324689377</v>
      </c>
      <c r="Z156" s="0" t="n">
        <f aca="false">(-X156+SQRT(X156^2-4*$D156))/2</f>
        <v>2.98628743374645</v>
      </c>
      <c r="AA156" s="0" t="n">
        <f aca="false">IF(Y156&lt;&gt;0,($C$21-$B156)*$V156/Y156/$AC$51-$AC$60*$AC$51,0)</f>
        <v>-0.000138591972926868</v>
      </c>
      <c r="AB156" s="0" t="n">
        <f aca="false">IF(Z156&lt;&gt;0,($C$27-$B156)*$V156/Z156/$AD$51-$AC$60*$AD$51,0)</f>
        <v>-0.000184112140043531</v>
      </c>
      <c r="AC156" s="0" t="n">
        <f aca="false">V156*1.001</f>
        <v>-0.0144437601914879</v>
      </c>
      <c r="AD156" s="0" t="n">
        <f aca="false">-AC156*$AC$51</f>
        <v>1.51254703025971</v>
      </c>
      <c r="AE156" s="0" t="n">
        <f aca="false">-AC156*$AD$51</f>
        <v>0.756273515129854</v>
      </c>
      <c r="AF156" s="0" t="n">
        <f aca="false">(-AD156+SQRT(AD156^2-4*$C156))/2</f>
        <v>3.45633329864301</v>
      </c>
      <c r="AG156" s="0" t="n">
        <f aca="false">(-AE156+SQRT(AE156^2-4*$D156))/2</f>
        <v>2.98595211539613</v>
      </c>
      <c r="AH156" s="0" t="n">
        <f aca="false">IF(AF156&lt;&gt;0,($C$21-$B156)*$AC156/AF156/$AC$51-$AC$60*$AC$51,0)</f>
        <v>-0.000138726547054505</v>
      </c>
      <c r="AI156" s="0" t="n">
        <f aca="false">IF(AG156&lt;&gt;0,($C$27-$B156)*$AC156/AG156/$AD$51-$AC$60*$AD$51,0)</f>
        <v>-0.000184303320180907</v>
      </c>
      <c r="AJ156" s="0" t="n">
        <f aca="false">(AH156-AA156)/($AC156-$V156)</f>
        <v>0.00932642885083546</v>
      </c>
      <c r="AK156" s="0" t="n">
        <f aca="false">(AI156-AB156)/($AC156-$V156)</f>
        <v>0.013249411162787</v>
      </c>
      <c r="AL156" s="0" t="n">
        <f aca="false">IF(AJ156&lt;&gt;AK156,(AB156-AA156)/(AJ156-AK156),0)</f>
        <v>0.0116034596888147</v>
      </c>
      <c r="AM156" s="0" t="n">
        <f aca="false">V156+AL156</f>
        <v>-0.00282587117181263</v>
      </c>
      <c r="AN156" s="0" t="n">
        <f aca="false">-AM156*$AC$51</f>
        <v>0.295924537111925</v>
      </c>
      <c r="AO156" s="0" t="n">
        <f aca="false">-AM156*$AD$51</f>
        <v>0.147962268555962</v>
      </c>
      <c r="AP156" s="0" t="n">
        <f aca="false">(-AN156+SQRT(AN156^2-4*$C156))/2</f>
        <v>3.99884365536608</v>
      </c>
      <c r="AQ156" s="0" t="n">
        <f aca="false">(-AO156+SQRT(AO156^2-4*$D156))/2</f>
        <v>3.26960672100379</v>
      </c>
      <c r="AR156" s="0" t="n">
        <f aca="false">IF(AP156&lt;&gt;0,($C$21-$B156)*$AM156/AP156/$AC$51-$AC$60*$AC$51,0)</f>
        <v>-4.38179117831711E-005</v>
      </c>
      <c r="AS156" s="0" t="n">
        <f aca="false">IF(AQ156&lt;&gt;0,($C$27-$B156)*$AM156/AQ156/$AD$51-$AC$60*$AD$51,0)</f>
        <v>-4.29921929927543E-005</v>
      </c>
      <c r="AT156" s="0" t="n">
        <f aca="false">AM156*1.001</f>
        <v>-0.00282869704298444</v>
      </c>
      <c r="AU156" s="0" t="n">
        <f aca="false">-AT156*$AC$51</f>
        <v>0.296220461649037</v>
      </c>
      <c r="AV156" s="0" t="n">
        <f aca="false">-AT156*$AD$51</f>
        <v>0.148110230824518</v>
      </c>
      <c r="AW156" s="0" t="n">
        <f aca="false">(-AU156+SQRT(AU156^2-4*$C156))/2</f>
        <v>3.99870097517866</v>
      </c>
      <c r="AX156" s="0" t="n">
        <f aca="false">(-AV156+SQRT(AV156^2-4*$D156))/2</f>
        <v>3.26953437761427</v>
      </c>
      <c r="AY156" s="0" t="n">
        <f aca="false">IF(AW156&lt;&gt;0,($C$21-$B156)*$AT156/AW156/$AC$51-$AC$60*$AC$51,0)</f>
        <v>-4.38379174695372E-005</v>
      </c>
      <c r="AZ156" s="0" t="n">
        <f aca="false">IF(AX156&lt;&gt;0,($C$27-$B156)*$AT156/AX156/$AD$51-$AC$60*$AD$51,0)</f>
        <v>-4.30236149932276E-005</v>
      </c>
      <c r="BA156" s="0" t="n">
        <f aca="false">(AY156-AR156)/($AT156-$AM156)</f>
        <v>0.00707947572618183</v>
      </c>
      <c r="BB156" s="0" t="n">
        <f aca="false">(AZ156-AS156)/($AT156-$AM156)</f>
        <v>0.0111194030310888</v>
      </c>
      <c r="BC156" s="0" t="n">
        <f aca="false">IF(BA156&lt;&gt;BB156,(AS156-AR156)/(BA156-BB156),0)</f>
        <v>-0.000204389516963294</v>
      </c>
      <c r="BD156" s="0" t="n">
        <f aca="false">AM156+BC156</f>
        <v>-0.00303026068877592</v>
      </c>
      <c r="BE156" s="0" t="n">
        <f aca="false">-BD156*$AC$51</f>
        <v>0.317328157277346</v>
      </c>
      <c r="BF156" s="0" t="n">
        <f aca="false">-BD156*$AD$51</f>
        <v>0.158664078638673</v>
      </c>
      <c r="BG156" s="0" t="n">
        <f aca="false">(-BE156+SQRT(BE156^2-4*$C156))/2</f>
        <v>3.98853748718966</v>
      </c>
      <c r="BH156" s="0" t="n">
        <f aca="false">(-BF156+SQRT(BF156^2-4*$D156))/2</f>
        <v>3.26437849094809</v>
      </c>
      <c r="BI156" s="0" t="n">
        <f aca="false">IF(BG156&lt;&gt;0,($C$21-$B156)*$BD156/BG156/$AC$51-$AC$60*$AC$51,0)</f>
        <v>-4.52685036792851E-005</v>
      </c>
      <c r="BJ156" s="0" t="n">
        <f aca="false">IF(BH156&lt;&gt;0,($C$27-$B156)*$BD156/BH156/$AD$51-$AC$60*$AD$51,0)</f>
        <v>-4.5268432238891E-005</v>
      </c>
      <c r="BK156" s="0" t="n">
        <f aca="false">BD156*1.001</f>
        <v>-0.0030332909494647</v>
      </c>
      <c r="BL156" s="0" t="n">
        <f aca="false">-BK156*$AC$51</f>
        <v>0.317645485434624</v>
      </c>
      <c r="BM156" s="0" t="n">
        <f aca="false">-BK156*$AD$51</f>
        <v>0.158822742717312</v>
      </c>
      <c r="BN156" s="0" t="n">
        <f aca="false">(-BL156+SQRT(BL156^2-4*$C156))/2</f>
        <v>3.98838489632886</v>
      </c>
      <c r="BO156" s="0" t="n">
        <f aca="false">(-BM156+SQRT(BM156^2-4*$D156))/2</f>
        <v>3.26430104206146</v>
      </c>
      <c r="BP156" s="0" t="n">
        <f aca="false">IF(BN156&lt;&gt;0,($C$21-$B156)*$BK156/BN156/$AC$51-$AC$60*$AC$51,0)</f>
        <v>-4.52900653408973E-005</v>
      </c>
      <c r="BQ156" s="0" t="n">
        <f aca="false">IF(BO156&lt;&gt;0,($C$27-$B156)*$BK156/BO156/$AD$51-$AC$60*$AD$51,0)</f>
        <v>-4.53022337587327E-005</v>
      </c>
      <c r="BR156" s="0" t="n">
        <f aca="false">(BP156-BI156)/($BK156-$BD156)</f>
        <v>0.00711544775408214</v>
      </c>
      <c r="BS156" s="0" t="n">
        <f aca="false">(BQ156-BJ156)/($BK156-$BD156)</f>
        <v>0.0111546574085016</v>
      </c>
      <c r="BT156" s="0" t="n">
        <f aca="false">IF(BR156&lt;&gt;BS156,(BJ156-BI156)/(BR156-BS156),0)</f>
        <v>-1.76867259307488E-008</v>
      </c>
      <c r="BU156" s="0" t="n">
        <f aca="false">BD156+BT156</f>
        <v>-0.00303027837550185</v>
      </c>
      <c r="BV156" s="0" t="n">
        <f aca="false">-BU156*$AC$51</f>
        <v>0.317330009426955</v>
      </c>
      <c r="BW156" s="0" t="n">
        <f aca="false">-BU156*$AD$51</f>
        <v>0.158665004713477</v>
      </c>
      <c r="BX156" s="0" t="n">
        <f aca="false">(-BV156+SQRT(BV156^2-4*$C156))/2</f>
        <v>3.98853659654482</v>
      </c>
      <c r="BY156" s="0" t="n">
        <f aca="false">(-BW156+SQRT(BW156^2-4*$D156))/2</f>
        <v>3.26437803889663</v>
      </c>
      <c r="BZ156" s="0" t="n">
        <f aca="false">IF(BX156&lt;&gt;0,($C$21-$B156)*$BU156/BX156/$AC$51-$AC$60*$AC$51,0)</f>
        <v>-4.52686295235644E-005</v>
      </c>
      <c r="CA156" s="0" t="n">
        <f aca="false">IF(BY156&lt;&gt;0,($C$27-$B156)*$BU156/BY156/$AD$51-$AC$60*$AD$51,0)</f>
        <v>-4.52686295236611E-005</v>
      </c>
      <c r="CB156" s="0" t="n">
        <f aca="false">BU156*1.001</f>
        <v>-0.00303330865387736</v>
      </c>
      <c r="CC156" s="0" t="n">
        <f aca="false">-CB156*$AC$51</f>
        <v>0.317647339436382</v>
      </c>
      <c r="CD156" s="0" t="n">
        <f aca="false">-CB156*$AD$51</f>
        <v>0.158823669718191</v>
      </c>
      <c r="CE156" s="0" t="n">
        <f aca="false">(-CC156+SQRT(CC156^2-4*$C156))/2</f>
        <v>3.9883840048288</v>
      </c>
      <c r="CF156" s="0" t="n">
        <f aca="false">(-CD156+SQRT(CD156^2-4*$D156))/2</f>
        <v>3.26430058956893</v>
      </c>
      <c r="CG156" s="0" t="n">
        <f aca="false">IF(CE156&lt;&gt;0,($C$21-$B156)*$CB156/CE156/$AC$51-$AC$60*$AC$51,0)</f>
        <v>-4.52901913204756E-005</v>
      </c>
      <c r="CH156" s="0" t="n">
        <f aca="false">IF(CF156&lt;&gt;0,($C$27-$B156)*$CB156/CF156/$AD$51-$AC$60*$AD$51,0)</f>
        <v>-4.53024312500475E-005</v>
      </c>
      <c r="CI156" s="0" t="n">
        <f aca="false">(CG156-BZ156)/($CB156-$BU156)</f>
        <v>0.00711545087259696</v>
      </c>
      <c r="CJ156" s="0" t="n">
        <f aca="false">(CH156-CA156)/($CB156-$BU156)</f>
        <v>0.0111546604627607</v>
      </c>
      <c r="CK156" s="0" t="n">
        <f aca="false">IF(CI156&lt;&gt;CJ156,(CA156-BZ156)/(CI156-CJ156),0)</f>
        <v>2.39463647908754E-014</v>
      </c>
      <c r="CL156" s="6" t="str">
        <f aca="false">IF(AND(BU156&gt;0,CE156&gt;0,CE156&lt;$C$15,CF156&lt;$C$15,CG156&gt;0,ABS(CK156)&lt;0.1*BU156),B156,"")</f>
        <v/>
      </c>
      <c r="CM156" s="0" t="n">
        <f aca="false">CG156+BU156^2/$C$39</f>
        <v>-4.37597601483032E-005</v>
      </c>
      <c r="CN156" s="0" t="n">
        <f aca="false">-BU156*$C$15/$C$39</f>
        <v>0.00303027837550185</v>
      </c>
      <c r="CO156" s="0" t="n">
        <f aca="false">IF(CL156&lt;&gt;"",(-CM156+SQRT(CM156^2-4*$AC$60*CN156))/2/$AC$60,0)</f>
        <v>0</v>
      </c>
      <c r="CP156" s="0" t="n">
        <f aca="false">CO156*30/PI()</f>
        <v>0</v>
      </c>
      <c r="DB156" s="6"/>
    </row>
    <row r="157" customFormat="false" ht="12.75" hidden="false" customHeight="false" outlineLevel="0" collapsed="false">
      <c r="A157" s="0" t="n">
        <f aca="false">A156+0.01</f>
        <v>0.08</v>
      </c>
      <c r="B157" s="0" t="n">
        <f aca="false">A157*$AC$68</f>
        <v>0.157313040426918</v>
      </c>
      <c r="C157" s="0" t="n">
        <f aca="false">$C$39*($B157-$C$21)</f>
        <v>-17.0561217574385</v>
      </c>
      <c r="D157" s="0" t="n">
        <f aca="false">$C$39*($B157-$C$27)</f>
        <v>-11.0561217574385</v>
      </c>
      <c r="E157" s="0" t="n">
        <f aca="false">$AC$71</f>
        <v>0.0474257507541105</v>
      </c>
      <c r="F157" s="0" t="n">
        <f aca="false">-E157*$AC$51</f>
        <v>-4.96641300533647</v>
      </c>
      <c r="G157" s="0" t="n">
        <f aca="false">-E157*$AD$51</f>
        <v>-2.48320650266823</v>
      </c>
      <c r="H157" s="0" t="n">
        <f aca="false">(-F157+SQRT(F157^2-4*$C157))/2</f>
        <v>7.30217281219275</v>
      </c>
      <c r="I157" s="0" t="n">
        <f aca="false">(-G157+SQRT(G157^2-4*$D157))/2</f>
        <v>4.79092718571401</v>
      </c>
      <c r="J157" s="0" t="n">
        <f aca="false">IF(H157&lt;&gt;0,($C$21-$B157)*$E157/H157/$AC$51-$AC$60*$AC$51,0)</f>
        <v>0.000151802013520845</v>
      </c>
      <c r="K157" s="0" t="n">
        <f aca="false">IF(I157&lt;&gt;0,($C$27-$B157)*$E157/I157/$AD$51-$AC$60*$AD$51,0)</f>
        <v>0.000336124416773369</v>
      </c>
      <c r="L157" s="0" t="n">
        <f aca="false">E157*1.001</f>
        <v>0.0474731765048646</v>
      </c>
      <c r="M157" s="0" t="n">
        <f aca="false">-L157*$AC$51</f>
        <v>-4.97137941834181</v>
      </c>
      <c r="N157" s="0" t="n">
        <f aca="false">-L157*$AD$51</f>
        <v>-2.4856897091709</v>
      </c>
      <c r="O157" s="0" t="n">
        <f aca="false">(-M157+SQRT(M157^2-4*$C157))/2</f>
        <v>7.30593608126815</v>
      </c>
      <c r="P157" s="0" t="n">
        <f aca="false">(-N157+SQRT(N157^2-4*$D157))/2</f>
        <v>4.79260330974941</v>
      </c>
      <c r="Q157" s="0" t="n">
        <f aca="false">IF(O157&lt;&gt;0,($C$21-$B157)*$L157/O157/$AC$51-$AC$60*$AC$51,0)</f>
        <v>0.000151887413036619</v>
      </c>
      <c r="R157" s="0" t="n">
        <f aca="false">IF(P157&lt;&gt;0,($C$27-$B157)*$L157/P157/$AD$51-$AC$60*$AD$51,0)</f>
        <v>0.000336350832560981</v>
      </c>
      <c r="S157" s="0" t="n">
        <f aca="false">(Q157-J157)/($L157-$E157)</f>
        <v>0.00180069929132147</v>
      </c>
      <c r="T157" s="0" t="n">
        <f aca="false">(R157-K157)/($L157-$E157)</f>
        <v>0.00477411077340144</v>
      </c>
      <c r="U157" s="0" t="n">
        <f aca="false">IF(S157&lt;&gt;T157,(K157-J157)/(S157-T157),0)</f>
        <v>-0.061990210357157</v>
      </c>
      <c r="V157" s="0" t="n">
        <f aca="false">E157+U157</f>
        <v>-0.0145644596030465</v>
      </c>
      <c r="W157" s="0" t="n">
        <f aca="false">-V157*$AC$51</f>
        <v>1.52518664308121</v>
      </c>
      <c r="X157" s="0" t="n">
        <f aca="false">-V157*$AD$51</f>
        <v>0.762593321540605</v>
      </c>
      <c r="Y157" s="0" t="n">
        <f aca="false">(-W157+SQRT(W157^2-4*$C157))/2</f>
        <v>3.43712932781338</v>
      </c>
      <c r="Z157" s="0" t="n">
        <f aca="false">(-X157+SQRT(X157^2-4*$D157))/2</f>
        <v>2.96556887297214</v>
      </c>
      <c r="AA157" s="0" t="n">
        <f aca="false">IF(Y157&lt;&gt;0,($C$21-$B157)*$V157/Y157/$AC$51-$AC$60*$AC$51,0)</f>
        <v>-0.00013952890219784</v>
      </c>
      <c r="AB157" s="0" t="n">
        <f aca="false">IF(Z157&lt;&gt;0,($C$27-$B157)*$V157/Z157/$AD$51-$AC$60*$AD$51,0)</f>
        <v>-0.000185089093872945</v>
      </c>
      <c r="AC157" s="0" t="n">
        <f aca="false">V157*1.001</f>
        <v>-0.0145790240626496</v>
      </c>
      <c r="AD157" s="0" t="n">
        <f aca="false">-AC157*$AC$51</f>
        <v>1.52671182972429</v>
      </c>
      <c r="AE157" s="0" t="n">
        <f aca="false">-AC157*$AD$51</f>
        <v>0.763355914862145</v>
      </c>
      <c r="AF157" s="0" t="n">
        <f aca="false">(-AD157+SQRT(AD157^2-4*$C157))/2</f>
        <v>3.4365052745337</v>
      </c>
      <c r="AG157" s="0" t="n">
        <f aca="false">(-AE157+SQRT(AE157^2-4*$D157))/2</f>
        <v>2.96523103754134</v>
      </c>
      <c r="AH157" s="0" t="n">
        <f aca="false">IF(AF157&lt;&gt;0,($C$21-$B157)*$AC157/AF157/$AC$51-$AC$60*$AC$51,0)</f>
        <v>-0.000139664838178252</v>
      </c>
      <c r="AI157" s="0" t="n">
        <f aca="false">IF(AG157&lt;&gt;0,($C$27-$B157)*$AC157/AG157/$AD$51-$AC$60*$AD$51,0)</f>
        <v>-0.000185281643416618</v>
      </c>
      <c r="AJ157" s="0" t="n">
        <f aca="false">(AH157-AA157)/($AC157-$V157)</f>
        <v>0.00933340364952255</v>
      </c>
      <c r="AK157" s="0" t="n">
        <f aca="false">(AI157-AB157)/($AC157-$V157)</f>
        <v>0.0132205072430355</v>
      </c>
      <c r="AL157" s="0" t="n">
        <f aca="false">IF(AJ157&lt;&gt;AK157,(AB157-AA157)/(AJ157-AK157),0)</f>
        <v>0.0117208586236648</v>
      </c>
      <c r="AM157" s="0" t="n">
        <f aca="false">V157+AL157</f>
        <v>-0.00284360097938173</v>
      </c>
      <c r="AN157" s="0" t="n">
        <f aca="false">-AM157*$AC$51</f>
        <v>0.297781198218879</v>
      </c>
      <c r="AO157" s="0" t="n">
        <f aca="false">-AM157*$AD$51</f>
        <v>0.14889059910944</v>
      </c>
      <c r="AP157" s="0" t="n">
        <f aca="false">(-AN157+SQRT(AN157^2-4*$C157))/2</f>
        <v>3.98369819823559</v>
      </c>
      <c r="AQ157" s="0" t="n">
        <f aca="false">(-AO157+SQRT(AO157^2-4*$D157))/2</f>
        <v>3.25146267573027</v>
      </c>
      <c r="AR157" s="0" t="n">
        <f aca="false">IF(AP157&lt;&gt;0,($C$21-$B157)*$AM157/AP157/$AC$51-$AC$60*$AC$51,0)</f>
        <v>-4.38789594498305E-005</v>
      </c>
      <c r="AS157" s="0" t="n">
        <f aca="false">IF(AQ157&lt;&gt;0,($C$27-$B157)*$AM157/AQ157/$AD$51-$AC$60*$AD$51,0)</f>
        <v>-4.30292385889968E-005</v>
      </c>
      <c r="AT157" s="0" t="n">
        <f aca="false">AM157*1.001</f>
        <v>-0.00284644458036111</v>
      </c>
      <c r="AU157" s="0" t="n">
        <f aca="false">-AT157*$AC$51</f>
        <v>0.298078979417098</v>
      </c>
      <c r="AV157" s="0" t="n">
        <f aca="false">-AT157*$AD$51</f>
        <v>0.149039489708549</v>
      </c>
      <c r="AW157" s="0" t="n">
        <f aca="false">(-AU157+SQRT(AU157^2-4*$C157))/2</f>
        <v>3.98355467460653</v>
      </c>
      <c r="AX157" s="0" t="n">
        <f aca="false">(-AV157+SQRT(AV157^2-4*$D157))/2</f>
        <v>3.25138989760621</v>
      </c>
      <c r="AY157" s="0" t="n">
        <f aca="false">IF(AW157&lt;&gt;0,($C$21-$B157)*$AT157/AW157/$AC$51-$AC$60*$AC$51,0)</f>
        <v>-4.38990351025607E-005</v>
      </c>
      <c r="AZ157" s="0" t="n">
        <f aca="false">IF(AX157&lt;&gt;0,($C$27-$B157)*$AT157/AX157/$AD$51-$AC$60*$AD$51,0)</f>
        <v>-4.30607063791745E-005</v>
      </c>
      <c r="BA157" s="0" t="n">
        <f aca="false">(AY157-AR157)/($AT157-$AM157)</f>
        <v>0.00705994015187455</v>
      </c>
      <c r="BB157" s="0" t="n">
        <f aca="false">(AZ157-AS157)/($AT157-$AM157)</f>
        <v>0.0110661764452359</v>
      </c>
      <c r="BC157" s="0" t="n">
        <f aca="false">IF(BA157&lt;&gt;BB157,(AS157-AR157)/(BA157-BB157),0)</f>
        <v>-0.000212099536475593</v>
      </c>
      <c r="BD157" s="0" t="n">
        <f aca="false">AM157+BC157</f>
        <v>-0.00305570051585732</v>
      </c>
      <c r="BE157" s="0" t="n">
        <f aca="false">-BD157*$AC$51</f>
        <v>0.319992209739596</v>
      </c>
      <c r="BF157" s="0" t="n">
        <f aca="false">-BD157*$AD$51</f>
        <v>0.159996104869798</v>
      </c>
      <c r="BG157" s="0" t="n">
        <f aca="false">(-BE157+SQRT(BE157^2-4*$C157))/2</f>
        <v>3.97300770725184</v>
      </c>
      <c r="BH157" s="0" t="n">
        <f aca="false">(-BF157+SQRT(BF157^2-4*$D157))/2</f>
        <v>3.24603884541092</v>
      </c>
      <c r="BI157" s="0" t="n">
        <f aca="false">IF(BG157&lt;&gt;0,($C$21-$B157)*$BD157/BG157/$AC$51-$AC$60*$AC$51,0)</f>
        <v>-4.53802728917366E-005</v>
      </c>
      <c r="BJ157" s="0" t="n">
        <f aca="false">IF(BH157&lt;&gt;0,($C$27-$B157)*$BD157/BH157/$AD$51-$AC$60*$AD$51,0)</f>
        <v>-4.53801953598527E-005</v>
      </c>
      <c r="BK157" s="0" t="n">
        <f aca="false">BD157*1.001</f>
        <v>-0.00305875621637318</v>
      </c>
      <c r="BL157" s="0" t="n">
        <f aca="false">-BK157*$AC$51</f>
        <v>0.320312201949336</v>
      </c>
      <c r="BM157" s="0" t="n">
        <f aca="false">-BK157*$AD$51</f>
        <v>0.160156100974668</v>
      </c>
      <c r="BN157" s="0" t="n">
        <f aca="false">(-BL157+SQRT(BL157^2-4*$C157))/2</f>
        <v>3.97285390797981</v>
      </c>
      <c r="BO157" s="0" t="n">
        <f aca="false">(-BM157+SQRT(BM157^2-4*$D157))/2</f>
        <v>3.24596077243827</v>
      </c>
      <c r="BP157" s="0" t="n">
        <f aca="false">IF(BN157&lt;&gt;0,($C$21-$B157)*$BK157/BN157/$AC$51-$AC$60*$AC$51,0)</f>
        <v>-4.54019600855341E-005</v>
      </c>
      <c r="BQ157" s="0" t="n">
        <f aca="false">IF(BO157&lt;&gt;0,($C$27-$B157)*$BK157/BO157/$AD$51-$AC$60*$AD$51,0)</f>
        <v>-4.54141221187289E-005</v>
      </c>
      <c r="BR157" s="0" t="n">
        <f aca="false">(BP157-BI157)/($BK157-$BD157)</f>
        <v>0.00709729035453405</v>
      </c>
      <c r="BS157" s="0" t="n">
        <f aca="false">(BQ157-BJ157)/($BK157-$BD157)</f>
        <v>0.011102776171965</v>
      </c>
      <c r="BT157" s="0" t="n">
        <f aca="false">IF(BR157&lt;&gt;BS157,(BJ157-BI157)/(BR157-BS157),0)</f>
        <v>-1.93564244988132E-008</v>
      </c>
      <c r="BU157" s="0" t="n">
        <f aca="false">BD157+BT157</f>
        <v>-0.00305571987228182</v>
      </c>
      <c r="BV157" s="0" t="n">
        <f aca="false">-BU157*$AC$51</f>
        <v>0.31999423673963</v>
      </c>
      <c r="BW157" s="0" t="n">
        <f aca="false">-BU157*$AD$51</f>
        <v>0.159997118369815</v>
      </c>
      <c r="BX157" s="0" t="n">
        <f aca="false">(-BV157+SQRT(BV157^2-4*$C157))/2</f>
        <v>3.97300673298638</v>
      </c>
      <c r="BY157" s="0" t="n">
        <f aca="false">(-BW157+SQRT(BW157^2-4*$D157))/2</f>
        <v>3.24603835084934</v>
      </c>
      <c r="BZ157" s="0" t="n">
        <f aca="false">IF(BX157&lt;&gt;0,($C$21-$B157)*$BU157/BX157/$AC$51-$AC$60*$AC$51,0)</f>
        <v>-4.53804102647194E-005</v>
      </c>
      <c r="CA157" s="0" t="n">
        <f aca="false">IF(BY157&lt;&gt;0,($C$27-$B157)*$BU157/BY157/$AD$51-$AC$60*$AD$51,0)</f>
        <v>-4.5380410264827E-005</v>
      </c>
      <c r="CB157" s="0" t="n">
        <f aca="false">BU157*1.001</f>
        <v>-0.0030587755921541</v>
      </c>
      <c r="CC157" s="0" t="n">
        <f aca="false">-CB157*$AC$51</f>
        <v>0.32031423097637</v>
      </c>
      <c r="CD157" s="0" t="n">
        <f aca="false">-CB157*$AD$51</f>
        <v>0.160157115488185</v>
      </c>
      <c r="CE157" s="0" t="n">
        <f aca="false">(-CC157+SQRT(CC157^2-4*$C157))/2</f>
        <v>3.9728529327793</v>
      </c>
      <c r="CF157" s="0" t="n">
        <f aca="false">(-CD157+SQRT(CD157^2-4*$D157))/2</f>
        <v>3.24596027739432</v>
      </c>
      <c r="CG157" s="0" t="n">
        <f aca="false">IF(CE157&lt;&gt;0,($C$21-$B157)*$CB157/CE157/$AC$51-$AC$60*$AC$51,0)</f>
        <v>-4.54020976063307E-005</v>
      </c>
      <c r="CH157" s="0" t="n">
        <f aca="false">IF(CF157&lt;&gt;0,($C$27-$B157)*$CB157/CF157/$AD$51-$AC$60*$AD$51,0)</f>
        <v>-4.5414337248832E-005</v>
      </c>
      <c r="CI157" s="0" t="n">
        <f aca="false">(CG157-BZ157)/($CB157-$BU157)</f>
        <v>0.00709729376964326</v>
      </c>
      <c r="CJ157" s="0" t="n">
        <f aca="false">(CH157-CA157)/($CB157-$BU157)</f>
        <v>0.0111027795161309</v>
      </c>
      <c r="CK157" s="0" t="n">
        <f aca="false">IF(CI157&lt;&gt;CJ157,(CA157-BZ157)/(CI157-CJ157),0)</f>
        <v>2.68716898488232E-014</v>
      </c>
      <c r="CL157" s="6" t="str">
        <f aca="false">IF(AND(BU157&gt;0,CE157&gt;0,CE157&lt;$C$15,CF157&lt;$C$15,CG157&gt;0,ABS(CK157)&lt;0.1*BU157),B157,"")</f>
        <v/>
      </c>
      <c r="CM157" s="0" t="n">
        <f aca="false">CG157+BU157^2/$C$39</f>
        <v>-4.38458602833543E-005</v>
      </c>
      <c r="CN157" s="0" t="n">
        <f aca="false">-BU157*$C$15/$C$39</f>
        <v>0.00305571987228182</v>
      </c>
      <c r="CO157" s="0" t="n">
        <f aca="false">IF(CL157&lt;&gt;"",(-CM157+SQRT(CM157^2-4*$AC$60*CN157))/2/$AC$60,0)</f>
        <v>0</v>
      </c>
      <c r="CP157" s="0" t="n">
        <f aca="false">CO157*30/PI()</f>
        <v>0</v>
      </c>
      <c r="DB157" s="6"/>
    </row>
    <row r="158" customFormat="false" ht="12.75" hidden="false" customHeight="false" outlineLevel="0" collapsed="false">
      <c r="A158" s="0" t="n">
        <f aca="false">A157+0.01</f>
        <v>0.09</v>
      </c>
      <c r="B158" s="0" t="n">
        <f aca="false">A158*$AC$68</f>
        <v>0.176977170480282</v>
      </c>
      <c r="C158" s="0" t="n">
        <f aca="false">$C$39*($B158-$C$21)</f>
        <v>-16.9381369771183</v>
      </c>
      <c r="D158" s="0" t="n">
        <f aca="false">$C$39*($B158-$C$27)</f>
        <v>-10.9381369771183</v>
      </c>
      <c r="E158" s="0" t="n">
        <f aca="false">$AC$71</f>
        <v>0.0474257507541105</v>
      </c>
      <c r="F158" s="0" t="n">
        <f aca="false">-E158*$AC$51</f>
        <v>-4.96641300533647</v>
      </c>
      <c r="G158" s="0" t="n">
        <f aca="false">-E158*$AD$51</f>
        <v>-2.48320650266823</v>
      </c>
      <c r="H158" s="0" t="n">
        <f aca="false">(-F158+SQRT(F158^2-4*$C158))/2</f>
        <v>7.28991551320883</v>
      </c>
      <c r="I158" s="0" t="n">
        <f aca="false">(-G158+SQRT(G158^2-4*$D158))/2</f>
        <v>4.77426734672187</v>
      </c>
      <c r="J158" s="0" t="n">
        <f aca="false">IF(H158&lt;&gt;0,($C$21-$B158)*$E158/H158/$AC$51-$AC$60*$AC$51,0)</f>
        <v>0.000150876827364286</v>
      </c>
      <c r="K158" s="0" t="n">
        <f aca="false">IF(I158&lt;&gt;0,($C$27-$B158)*$E158/I158/$AD$51-$AC$60*$AD$51,0)</f>
        <v>0.000333609433264154</v>
      </c>
      <c r="L158" s="0" t="n">
        <f aca="false">E158*1.001</f>
        <v>0.0474731765048646</v>
      </c>
      <c r="M158" s="0" t="n">
        <f aca="false">-L158*$AC$51</f>
        <v>-4.97137941834181</v>
      </c>
      <c r="N158" s="0" t="n">
        <f aca="false">-L158*$AD$51</f>
        <v>-2.4856897091709</v>
      </c>
      <c r="O158" s="0" t="n">
        <f aca="false">(-M158+SQRT(M158^2-4*$C158))/2</f>
        <v>7.29368204562449</v>
      </c>
      <c r="P158" s="0" t="n">
        <f aca="false">(-N158+SQRT(N158^2-4*$D158))/2</f>
        <v>4.77594551967948</v>
      </c>
      <c r="Q158" s="0" t="n">
        <f aca="false">IF(O158&lt;&gt;0,($C$21-$B158)*$L158/O158/$AC$51-$AC$60*$AC$51,0)</f>
        <v>0.000150961548258537</v>
      </c>
      <c r="R158" s="0" t="n">
        <f aca="false">IF(P158&lt;&gt;0,($C$27-$B158)*$L158/P158/$AD$51-$AC$60*$AD$51,0)</f>
        <v>0.000333833643684608</v>
      </c>
      <c r="S158" s="0" t="n">
        <f aca="false">(Q158-J158)/($L158-$E158)</f>
        <v>0.00178639015521079</v>
      </c>
      <c r="T158" s="0" t="n">
        <f aca="false">(R158-K158)/($L158-$E158)</f>
        <v>0.00472760930272294</v>
      </c>
      <c r="U158" s="0" t="n">
        <f aca="false">IF(S158&lt;&gt;T158,(K158-J158)/(S158-T158),0)</f>
        <v>-0.0621281845164221</v>
      </c>
      <c r="V158" s="0" t="n">
        <f aca="false">E158+U158</f>
        <v>-0.0147024337623116</v>
      </c>
      <c r="W158" s="0" t="n">
        <f aca="false">-V158*$AC$51</f>
        <v>1.53963526325229</v>
      </c>
      <c r="X158" s="0" t="n">
        <f aca="false">-V158*$AD$51</f>
        <v>0.769817631626146</v>
      </c>
      <c r="Y158" s="0" t="n">
        <f aca="false">(-W158+SQRT(W158^2-4*$C158))/2</f>
        <v>3.41715695189843</v>
      </c>
      <c r="Z158" s="0" t="n">
        <f aca="false">(-X158+SQRT(X158^2-4*$D158))/2</f>
        <v>2.94469953557135</v>
      </c>
      <c r="AA158" s="0" t="n">
        <f aca="false">IF(Y158&lt;&gt;0,($C$21-$B158)*$V158/Y158/$AC$51-$AC$60*$AC$51,0)</f>
        <v>-0.000140489336582067</v>
      </c>
      <c r="AB158" s="0" t="n">
        <f aca="false">IF(Z158&lt;&gt;0,($C$27-$B158)*$V158/Z158/$AD$51-$AC$60*$AD$51,0)</f>
        <v>-0.000186087870508567</v>
      </c>
      <c r="AC158" s="0" t="n">
        <f aca="false">V158*1.001</f>
        <v>-0.0147171361960739</v>
      </c>
      <c r="AD158" s="0" t="n">
        <f aca="false">-AC158*$AC$51</f>
        <v>1.54117489851554</v>
      </c>
      <c r="AE158" s="0" t="n">
        <f aca="false">-AC158*$AD$51</f>
        <v>0.770587449257772</v>
      </c>
      <c r="AF158" s="0" t="n">
        <f aca="false">(-AD158+SQRT(AD158^2-4*$C158))/2</f>
        <v>3.41652874140041</v>
      </c>
      <c r="AG158" s="0" t="n">
        <f aca="false">(-AE158+SQRT(AE158^2-4*$D158))/2</f>
        <v>2.94435914486918</v>
      </c>
      <c r="AH158" s="0" t="n">
        <f aca="false">IF(AF158&lt;&gt;0,($C$21-$B158)*$AC158/AF158/$AC$51-$AC$60*$AC$51,0)</f>
        <v>-0.000140626672133067</v>
      </c>
      <c r="AI158" s="0" t="n">
        <f aca="false">IF(AG158&lt;&gt;0,($C$27-$B158)*$AC158/AG158/$AD$51-$AC$60*$AD$51,0)</f>
        <v>-0.000186281824289134</v>
      </c>
      <c r="AJ158" s="0" t="n">
        <f aca="false">(AH158-AA158)/($AC158-$V158)</f>
        <v>0.00934100797320676</v>
      </c>
      <c r="AK158" s="0" t="n">
        <f aca="false">(AI158-AB158)/($AC158-$V158)</f>
        <v>0.0131919506459339</v>
      </c>
      <c r="AL158" s="0" t="n">
        <f aca="false">IF(AJ158&lt;&gt;AK158,(AB158-AA158)/(AJ158-AK158),0)</f>
        <v>0.0118408758067042</v>
      </c>
      <c r="AM158" s="0" t="n">
        <f aca="false">V158+AL158</f>
        <v>-0.00286155795560749</v>
      </c>
      <c r="AN158" s="0" t="n">
        <f aca="false">-AM158*$AC$51</f>
        <v>0.29966164837193</v>
      </c>
      <c r="AO158" s="0" t="n">
        <f aca="false">-AM158*$AD$51</f>
        <v>0.149830824185965</v>
      </c>
      <c r="AP158" s="0" t="n">
        <f aca="false">(-AN158+SQRT(AN158^2-4*$C158))/2</f>
        <v>3.96849240899942</v>
      </c>
      <c r="AQ158" s="0" t="n">
        <f aca="false">(-AO158+SQRT(AO158^2-4*$D158))/2</f>
        <v>3.23321839658033</v>
      </c>
      <c r="AR158" s="0" t="n">
        <f aca="false">IF(AP158&lt;&gt;0,($C$21-$B158)*$AM158/AP158/$AC$51-$AC$60*$AC$51,0)</f>
        <v>-4.39406338900614E-005</v>
      </c>
      <c r="AS158" s="0" t="n">
        <f aca="false">IF(AQ158&lt;&gt;0,($C$27-$B158)*$AM158/AQ158/$AD$51-$AC$60*$AD$51,0)</f>
        <v>-4.30659827203668E-005</v>
      </c>
      <c r="AT158" s="0" t="n">
        <f aca="false">AM158*1.001</f>
        <v>-0.00286441951356309</v>
      </c>
      <c r="AU158" s="0" t="n">
        <f aca="false">-AT158*$AC$51</f>
        <v>0.299961310020302</v>
      </c>
      <c r="AV158" s="0" t="n">
        <f aca="false">-AT158*$AD$51</f>
        <v>0.149980655010151</v>
      </c>
      <c r="AW158" s="0" t="n">
        <f aca="false">(-AU158+SQRT(AU158^2-4*$C158))/2</f>
        <v>3.96834803196902</v>
      </c>
      <c r="AX158" s="0" t="n">
        <f aca="false">(-AV158+SQRT(AV158^2-4*$D158))/2</f>
        <v>3.23314517853721</v>
      </c>
      <c r="AY158" s="0" t="n">
        <f aca="false">IF(AW158&lt;&gt;0,($C$21-$B158)*$AT158/AW158/$AC$51-$AC$60*$AC$51,0)</f>
        <v>-4.39607803124087E-005</v>
      </c>
      <c r="AZ158" s="0" t="n">
        <f aca="false">IF(AX158&lt;&gt;0,($C$27-$B158)*$AT158/AX158/$AD$51-$AC$60*$AD$51,0)</f>
        <v>-4.30974961711818E-005</v>
      </c>
      <c r="BA158" s="0" t="n">
        <f aca="false">(AY158-AR158)/($AT158-$AM158)</f>
        <v>0.00704036844958848</v>
      </c>
      <c r="BB158" s="0" t="n">
        <f aca="false">(AZ158-AS158)/($AT158-$AM158)</f>
        <v>0.0110126900464351</v>
      </c>
      <c r="BC158" s="0" t="n">
        <f aca="false">IF(BA158&lt;&gt;BB158,(AS158-AR158)/(BA158-BB158),0)</f>
        <v>-0.00022018639437173</v>
      </c>
      <c r="BD158" s="0" t="n">
        <f aca="false">AM158+BC158</f>
        <v>-0.00308174434997922</v>
      </c>
      <c r="BE158" s="0" t="n">
        <f aca="false">-BD158*$AC$51</f>
        <v>0.322719513671219</v>
      </c>
      <c r="BF158" s="0" t="n">
        <f aca="false">-BD158*$AD$51</f>
        <v>0.161359756835609</v>
      </c>
      <c r="BG158" s="0" t="n">
        <f aca="false">(-BE158+SQRT(BE158^2-4*$C158))/2</f>
        <v>3.95739903049879</v>
      </c>
      <c r="BH158" s="0" t="n">
        <f aca="false">(-BF158+SQRT(BF158^2-4*$D158))/2</f>
        <v>3.22758949088993</v>
      </c>
      <c r="BI158" s="0" t="n">
        <f aca="false">IF(BG158&lt;&gt;0,($C$21-$B158)*$BD158/BG158/$AC$51-$AC$60*$AC$51,0)</f>
        <v>-4.54950380566739E-005</v>
      </c>
      <c r="BJ158" s="0" t="n">
        <f aca="false">IF(BH158&lt;&gt;0,($C$27-$B158)*$BD158/BH158/$AD$51-$AC$60*$AD$51,0)</f>
        <v>-4.549495384677E-005</v>
      </c>
      <c r="BK158" s="0" t="n">
        <f aca="false">BD158*1.001</f>
        <v>-0.0030848260943292</v>
      </c>
      <c r="BL158" s="0" t="n">
        <f aca="false">-BK158*$AC$51</f>
        <v>0.32304223318489</v>
      </c>
      <c r="BM158" s="0" t="n">
        <f aca="false">-BK158*$AD$51</f>
        <v>0.161521116592445</v>
      </c>
      <c r="BN158" s="0" t="n">
        <f aca="false">(-BL158+SQRT(BL158^2-4*$C158))/2</f>
        <v>3.95724399545553</v>
      </c>
      <c r="BO158" s="0" t="n">
        <f aca="false">(-BM158+SQRT(BM158^2-4*$D158))/2</f>
        <v>3.22751077956206</v>
      </c>
      <c r="BP158" s="0" t="n">
        <f aca="false">IF(BN158&lt;&gt;0,($C$21-$B158)*$BK158/BN158/$AC$51-$AC$60*$AC$51,0)</f>
        <v>-4.55168542341389E-005</v>
      </c>
      <c r="BQ158" s="0" t="n">
        <f aca="false">IF(BO158&lt;&gt;0,($C$27-$B158)*$BK158/BO158/$AD$51-$AC$60*$AD$51,0)</f>
        <v>-4.55290092842713E-005</v>
      </c>
      <c r="BR158" s="0" t="n">
        <f aca="false">(BP158-BI158)/($BK158-$BD158)</f>
        <v>0.00707916523481749</v>
      </c>
      <c r="BS158" s="0" t="n">
        <f aca="false">(BQ158-BJ158)/($BK158-$BD158)</f>
        <v>0.0110507016915425</v>
      </c>
      <c r="BT158" s="0" t="n">
        <f aca="false">IF(BR158&lt;&gt;BS158,(BJ158-BI158)/(BR158-BS158),0)</f>
        <v>-2.12033566317702E-008</v>
      </c>
      <c r="BU158" s="0" t="n">
        <f aca="false">BD158+BT158</f>
        <v>-0.00308176555333585</v>
      </c>
      <c r="BV158" s="0" t="n">
        <f aca="false">-BU158*$AC$51</f>
        <v>0.322721734081533</v>
      </c>
      <c r="BW158" s="0" t="n">
        <f aca="false">-BU158*$AD$51</f>
        <v>0.161360867040766</v>
      </c>
      <c r="BX158" s="0" t="n">
        <f aca="false">(-BV158+SQRT(BV158^2-4*$C158))/2</f>
        <v>3.95739796378806</v>
      </c>
      <c r="BY158" s="0" t="n">
        <f aca="false">(-BW158+SQRT(BW158^2-4*$D158))/2</f>
        <v>3.22758894932487</v>
      </c>
      <c r="BZ158" s="0" t="n">
        <f aca="false">IF(BX158&lt;&gt;0,($C$21-$B158)*$BU158/BX158/$AC$51-$AC$60*$AC$51,0)</f>
        <v>-4.54951881530135E-005</v>
      </c>
      <c r="CA158" s="0" t="n">
        <f aca="false">IF(BY158&lt;&gt;0,($C$27-$B158)*$BU158/BY158/$AD$51-$AC$60*$AD$51,0)</f>
        <v>-4.54951881531334E-005</v>
      </c>
      <c r="CB158" s="0" t="n">
        <f aca="false">BU158*1.001</f>
        <v>-0.00308484731888918</v>
      </c>
      <c r="CC158" s="0" t="n">
        <f aca="false">-CB158*$AC$51</f>
        <v>0.323044455815614</v>
      </c>
      <c r="CD158" s="0" t="n">
        <f aca="false">-CB158*$AD$51</f>
        <v>0.161522227907807</v>
      </c>
      <c r="CE158" s="0" t="n">
        <f aca="false">(-CC158+SQRT(CC158^2-4*$C158))/2</f>
        <v>3.95724292772156</v>
      </c>
      <c r="CF158" s="0" t="n">
        <f aca="false">(-CD158+SQRT(CD158^2-4*$D158))/2</f>
        <v>3.22751023746898</v>
      </c>
      <c r="CG158" s="0" t="n">
        <f aca="false">IF(CE158&lt;&gt;0,($C$21-$B158)*$CB158/CE158/$AC$51-$AC$60*$AC$51,0)</f>
        <v>-4.55170044921169E-005</v>
      </c>
      <c r="CH158" s="0" t="n">
        <f aca="false">IF(CF158&lt;&gt;0,($C$27-$B158)*$CB158/CF158/$AD$51-$AC$60*$AD$51,0)</f>
        <v>-4.55292438362413E-005</v>
      </c>
      <c r="CI158" s="0" t="n">
        <f aca="false">(CG158-BZ158)/($CB158-$BU158)</f>
        <v>0.0070791689782475</v>
      </c>
      <c r="CJ158" s="0" t="n">
        <f aca="false">(CH158-CA158)/($CB158-$BU158)</f>
        <v>0.0110507053565796</v>
      </c>
      <c r="CK158" s="0" t="n">
        <f aca="false">IF(CI158&lt;&gt;CJ158,(CA158-BZ158)/(CI158-CJ158),0)</f>
        <v>3.01862160640546E-014</v>
      </c>
      <c r="CL158" s="6" t="str">
        <f aca="false">IF(AND(BU158&gt;0,CE158&gt;0,CE158&lt;$C$15,CF158&lt;$C$15,CG158&gt;0,ABS(CK158)&lt;0.1*BU158),B158,"")</f>
        <v/>
      </c>
      <c r="CM158" s="0" t="n">
        <f aca="false">CG158+BU158^2/$C$39</f>
        <v>-4.39341246711623E-005</v>
      </c>
      <c r="CN158" s="0" t="n">
        <f aca="false">-BU158*$C$15/$C$39</f>
        <v>0.00308176555333585</v>
      </c>
      <c r="CO158" s="0" t="n">
        <f aca="false">IF(CL158&lt;&gt;"",(-CM158+SQRT(CM158^2-4*$AC$60*CN158))/2/$AC$60,0)</f>
        <v>0</v>
      </c>
      <c r="CP158" s="0" t="n">
        <f aca="false">CO158*30/PI()</f>
        <v>0</v>
      </c>
      <c r="DB158" s="6"/>
    </row>
    <row r="159" customFormat="false" ht="12.75" hidden="false" customHeight="false" outlineLevel="0" collapsed="false">
      <c r="A159" s="0" t="n">
        <f aca="false">A158+0.01</f>
        <v>0.1</v>
      </c>
      <c r="B159" s="0" t="n">
        <f aca="false">A159*$AC$68</f>
        <v>0.196641300533647</v>
      </c>
      <c r="C159" s="0" t="n">
        <f aca="false">$C$39*($B159-$C$21)</f>
        <v>-16.8201521967981</v>
      </c>
      <c r="D159" s="0" t="n">
        <f aca="false">$C$39*($B159-$C$27)</f>
        <v>-10.8201521967981</v>
      </c>
      <c r="E159" s="0" t="n">
        <f aca="false">$AC$71</f>
        <v>0.0474257507541105</v>
      </c>
      <c r="F159" s="0" t="n">
        <f aca="false">-E159*$AC$51</f>
        <v>-4.96641300533647</v>
      </c>
      <c r="G159" s="0" t="n">
        <f aca="false">-E159*$AD$51</f>
        <v>-2.48320650266823</v>
      </c>
      <c r="H159" s="0" t="n">
        <f aca="false">(-F159+SQRT(F159^2-4*$C159))/2</f>
        <v>7.27762687761367</v>
      </c>
      <c r="I159" s="0" t="n">
        <f aca="false">(-G159+SQRT(G159^2-4*$D159))/2</f>
        <v>4.75752856773684</v>
      </c>
      <c r="J159" s="0" t="n">
        <f aca="false">IF(H159&lt;&gt;0,($C$21-$B159)*$E159/H159/$AC$51-$AC$60*$AC$51,0)</f>
        <v>0.000149949275906942</v>
      </c>
      <c r="K159" s="0" t="n">
        <f aca="false">IF(I159&lt;&gt;0,($C$27-$B159)*$E159/I159/$AD$51-$AC$60*$AD$51,0)</f>
        <v>0.000331082532906258</v>
      </c>
      <c r="L159" s="0" t="n">
        <f aca="false">E159*1.001</f>
        <v>0.0474731765048646</v>
      </c>
      <c r="M159" s="0" t="n">
        <f aca="false">-L159*$AC$51</f>
        <v>-4.97137941834181</v>
      </c>
      <c r="N159" s="0" t="n">
        <f aca="false">-L159*$AD$51</f>
        <v>-2.4856897091709</v>
      </c>
      <c r="O159" s="0" t="n">
        <f aca="false">(-M159+SQRT(M159^2-4*$C159))/2</f>
        <v>7.28139669845582</v>
      </c>
      <c r="P159" s="0" t="n">
        <f aca="false">(-N159+SQRT(N159^2-4*$D159))/2</f>
        <v>4.75920881887693</v>
      </c>
      <c r="Q159" s="0" t="n">
        <f aca="false">IF(O159&lt;&gt;0,($C$21-$B159)*$L159/O159/$AC$51-$AC$60*$AC$51,0)</f>
        <v>0.000150033317709781</v>
      </c>
      <c r="R159" s="0" t="n">
        <f aca="false">IF(P159&lt;&gt;0,($C$27-$B159)*$L159/P159/$AD$51-$AC$60*$AD$51,0)</f>
        <v>0.000331304530464278</v>
      </c>
      <c r="S159" s="0" t="n">
        <f aca="false">(Q159-J159)/($L159-$E159)</f>
        <v>0.00177207111122483</v>
      </c>
      <c r="T159" s="0" t="n">
        <f aca="false">(R159-K159)/($L159-$E159)</f>
        <v>0.00468094978973378</v>
      </c>
      <c r="U159" s="0" t="n">
        <f aca="false">IF(S159&lt;&gt;T159,(K159-J159)/(S159-T159),0)</f>
        <v>-0.0622690998897769</v>
      </c>
      <c r="V159" s="0" t="n">
        <f aca="false">E159+U159</f>
        <v>-0.0148433491356664</v>
      </c>
      <c r="W159" s="0" t="n">
        <f aca="false">-V159*$AC$51</f>
        <v>1.5543918866426</v>
      </c>
      <c r="X159" s="0" t="n">
        <f aca="false">-V159*$AD$51</f>
        <v>0.777195943321299</v>
      </c>
      <c r="Y159" s="0" t="n">
        <f aca="false">(-W159+SQRT(W159^2-4*$C159))/2</f>
        <v>3.39703281551706</v>
      </c>
      <c r="Z159" s="0" t="n">
        <f aca="false">(-X159+SQRT(X159^2-4*$D159))/2</f>
        <v>2.92367625919296</v>
      </c>
      <c r="AA159" s="0" t="n">
        <f aca="false">IF(Y159&lt;&gt;0,($C$21-$B159)*$V159/Y159/$AC$51-$AC$60*$AC$51,0)</f>
        <v>-0.000141474213401817</v>
      </c>
      <c r="AB159" s="0" t="n">
        <f aca="false">IF(Z159&lt;&gt;0,($C$27-$B159)*$V159/Z159/$AD$51-$AC$60*$AD$51,0)</f>
        <v>-0.000187109312923593</v>
      </c>
      <c r="AC159" s="0" t="n">
        <f aca="false">V159*1.001</f>
        <v>-0.0148581924848021</v>
      </c>
      <c r="AD159" s="0" t="n">
        <f aca="false">-AC159*$AC$51</f>
        <v>1.55594627852924</v>
      </c>
      <c r="AE159" s="0" t="n">
        <f aca="false">-AC159*$AD$51</f>
        <v>0.777973139264621</v>
      </c>
      <c r="AF159" s="0" t="n">
        <f aca="false">(-AD159+SQRT(AD159^2-4*$C159))/2</f>
        <v>3.39640039483788</v>
      </c>
      <c r="AG159" s="0" t="n">
        <f aca="false">(-AE159+SQRT(AE159^2-4*$D159))/2</f>
        <v>2.92333327424636</v>
      </c>
      <c r="AH159" s="0" t="n">
        <f aca="false">IF(AF159&lt;&gt;0,($C$21-$B159)*$AC159/AF159/$AC$51-$AC$60*$AC$51,0)</f>
        <v>-0.000141612987840221</v>
      </c>
      <c r="AI159" s="0" t="n">
        <f aca="false">IF(AG159&lt;&gt;0,($C$27-$B159)*$AC159/AG159/$AD$51-$AC$60*$AD$51,0)</f>
        <v>-0.000187304707220516</v>
      </c>
      <c r="AJ159" s="0" t="n">
        <f aca="false">(AH159-AA159)/($AC159-$V159)</f>
        <v>0.00934926728027066</v>
      </c>
      <c r="AK159" s="0" t="n">
        <f aca="false">(AI159-AB159)/($AC159-$V159)</f>
        <v>0.0131637607616189</v>
      </c>
      <c r="AL159" s="0" t="n">
        <f aca="false">IF(AJ159&lt;&gt;AK159,(AB159-AA159)/(AJ159-AK159),0)</f>
        <v>0.011963606634778</v>
      </c>
      <c r="AM159" s="0" t="n">
        <f aca="false">V159+AL159</f>
        <v>-0.00287974250088836</v>
      </c>
      <c r="AN159" s="0" t="n">
        <f aca="false">-AM159*$AC$51</f>
        <v>0.301565929500706</v>
      </c>
      <c r="AO159" s="0" t="n">
        <f aca="false">-AM159*$AD$51</f>
        <v>0.150782964750353</v>
      </c>
      <c r="AP159" s="0" t="n">
        <f aca="false">(-AN159+SQRT(AN159^2-4*$C159))/2</f>
        <v>3.95322577052995</v>
      </c>
      <c r="AQ159" s="0" t="n">
        <f aca="false">(-AO159+SQRT(AO159^2-4*$D159))/2</f>
        <v>3.21487234783857</v>
      </c>
      <c r="AR159" s="0" t="n">
        <f aca="false">IF(AP159&lt;&gt;0,($C$21-$B159)*$AM159/AP159/$AC$51-$AC$60*$AC$51,0)</f>
        <v>-4.40029180508218E-005</v>
      </c>
      <c r="AS159" s="0" t="n">
        <f aca="false">IF(AQ159&lt;&gt;0,($C$27-$B159)*$AM159/AQ159/$AD$51-$AC$60*$AD$51,0)</f>
        <v>-4.31023631056293E-005</v>
      </c>
      <c r="AT159" s="0" t="n">
        <f aca="false">AM159*1.001</f>
        <v>-0.00288262224338925</v>
      </c>
      <c r="AU159" s="0" t="n">
        <f aca="false">-AT159*$AC$51</f>
        <v>0.301867495430206</v>
      </c>
      <c r="AV159" s="0" t="n">
        <f aca="false">-AT159*$AD$51</f>
        <v>0.150933747715103</v>
      </c>
      <c r="AW159" s="0" t="n">
        <f aca="false">(-AU159+SQRT(AU159^2-4*$C159))/2</f>
        <v>3.95308053015936</v>
      </c>
      <c r="AX159" s="0" t="n">
        <f aca="false">(-AV159+SQRT(AV159^2-4*$D159))/2</f>
        <v>3.21479868470272</v>
      </c>
      <c r="AY159" s="0" t="n">
        <f aca="false">IF(AW159&lt;&gt;0,($C$21-$B159)*$AT159/AW159/$AC$51-$AC$60*$AC$51,0)</f>
        <v>-4.40231360316759E-005</v>
      </c>
      <c r="AZ159" s="0" t="n">
        <f aca="false">IF(AX159&lt;&gt;0,($C$27-$B159)*$AT159/AX159/$AD$51-$AC$60*$AD$51,0)</f>
        <v>-4.31339220283619E-005</v>
      </c>
      <c r="BA159" s="0" t="n">
        <f aca="false">(AY159-AR159)/($AT159-$AM159)</f>
        <v>0.0070207599630406</v>
      </c>
      <c r="BB159" s="0" t="n">
        <f aca="false">(AZ159-AS159)/($AT159-$AM159)</f>
        <v>0.0109589391144809</v>
      </c>
      <c r="BC159" s="0" t="n">
        <f aca="false">IF(BA159&lt;&gt;BB159,(AS159-AR159)/(BA159-BB159),0)</f>
        <v>-0.000228672924862533</v>
      </c>
      <c r="BD159" s="0" t="n">
        <f aca="false">AM159+BC159</f>
        <v>-0.00310841542575089</v>
      </c>
      <c r="BE159" s="0" t="n">
        <f aca="false">-BD159*$AC$51</f>
        <v>0.325512502194806</v>
      </c>
      <c r="BF159" s="0" t="n">
        <f aca="false">-BD159*$AD$51</f>
        <v>0.162756251097403</v>
      </c>
      <c r="BG159" s="0" t="n">
        <f aca="false">(-BE159+SQRT(BE159^2-4*$C159))/2</f>
        <v>3.94170982795227</v>
      </c>
      <c r="BH159" s="0" t="n">
        <f aca="false">(-BF159+SQRT(BF159^2-4*$D159))/2</f>
        <v>3.20902832291871</v>
      </c>
      <c r="BI159" s="0" t="n">
        <f aca="false">IF(BG159&lt;&gt;0,($C$21-$B159)*$BD159/BG159/$AC$51-$AC$60*$AC$51,0)</f>
        <v>-4.56129218557018E-005</v>
      </c>
      <c r="BJ159" s="0" t="n">
        <f aca="false">IF(BH159&lt;&gt;0,($C$27-$B159)*$BD159/BH159/$AD$51-$AC$60*$AD$51,0)</f>
        <v>-4.56128303180999E-005</v>
      </c>
      <c r="BK159" s="0" t="n">
        <f aca="false">BD159*1.001</f>
        <v>-0.00311152384117664</v>
      </c>
      <c r="BL159" s="0" t="n">
        <f aca="false">-BK159*$AC$51</f>
        <v>0.325838014697001</v>
      </c>
      <c r="BM159" s="0" t="n">
        <f aca="false">-BK159*$AD$51</f>
        <v>0.162919007348501</v>
      </c>
      <c r="BN159" s="0" t="n">
        <f aca="false">(-BL159+SQRT(BL159^2-4*$C159))/2</f>
        <v>3.94155352877031</v>
      </c>
      <c r="BO159" s="0" t="n">
        <f aca="false">(-BM159+SQRT(BM159^2-4*$D159))/2</f>
        <v>3.20894895843755</v>
      </c>
      <c r="BP159" s="0" t="n">
        <f aca="false">IF(BN159&lt;&gt;0,($C$21-$B159)*$BK159/BN159/$AC$51-$AC$60*$AC$51,0)</f>
        <v>-4.56348706130948E-005</v>
      </c>
      <c r="BQ159" s="0" t="n">
        <f aca="false">IF(BO159&lt;&gt;0,($C$27-$B159)*$BK159/BO159/$AD$51-$AC$60*$AD$51,0)</f>
        <v>-4.56470180179286E-005</v>
      </c>
      <c r="BR159" s="0" t="n">
        <f aca="false">(BP159-BI159)/($BK159-$BD159)</f>
        <v>0.00706107594602953</v>
      </c>
      <c r="BS159" s="0" t="n">
        <f aca="false">(BQ159-BJ159)/($BK159-$BD159)</f>
        <v>0.0109984333321451</v>
      </c>
      <c r="BT159" s="0" t="n">
        <f aca="false">IF(BR159&lt;&gt;BS159,(BJ159-BI159)/(BR159-BS159),0)</f>
        <v>-2.3248486971557E-008</v>
      </c>
      <c r="BU159" s="0" t="n">
        <f aca="false">BD159+BT159</f>
        <v>-0.00310843867423786</v>
      </c>
      <c r="BV159" s="0" t="n">
        <f aca="false">-BU159*$AC$51</f>
        <v>0.325514936770669</v>
      </c>
      <c r="BW159" s="0" t="n">
        <f aca="false">-BU159*$AD$51</f>
        <v>0.162757468385335</v>
      </c>
      <c r="BX159" s="0" t="n">
        <f aca="false">(-BV159+SQRT(BV159^2-4*$C159))/2</f>
        <v>3.94170865893419</v>
      </c>
      <c r="BY159" s="0" t="n">
        <f aca="false">(-BW159+SQRT(BW159^2-4*$D159))/2</f>
        <v>3.20902772932775</v>
      </c>
      <c r="BZ159" s="0" t="n">
        <f aca="false">IF(BX159&lt;&gt;0,($C$21-$B159)*$BU159/BX159/$AC$51-$AC$60*$AC$51,0)</f>
        <v>-4.56130860087013E-005</v>
      </c>
      <c r="CA159" s="0" t="n">
        <f aca="false">IF(BY159&lt;&gt;0,($C$27-$B159)*$BU159/BY159/$AD$51-$AC$60*$AD$51,0)</f>
        <v>-4.5613086008835E-005</v>
      </c>
      <c r="CB159" s="0" t="n">
        <f aca="false">BU159*1.001</f>
        <v>-0.0031115471129121</v>
      </c>
      <c r="CC159" s="0" t="n">
        <f aca="false">-CB159*$AC$51</f>
        <v>0.32584045170744</v>
      </c>
      <c r="CD159" s="0" t="n">
        <f aca="false">-CB159*$AD$51</f>
        <v>0.16292022585372</v>
      </c>
      <c r="CE159" s="0" t="n">
        <f aca="false">(-CC159+SQRT(CC159^2-4*$C159))/2</f>
        <v>3.94155235863145</v>
      </c>
      <c r="CF159" s="0" t="n">
        <f aca="false">(-CD159+SQRT(CD159^2-4*$D159))/2</f>
        <v>3.20894836426806</v>
      </c>
      <c r="CG159" s="0" t="n">
        <f aca="false">IF(CE159&lt;&gt;0,($C$21-$B159)*$CB159/CE159/$AC$51-$AC$60*$AC$51,0)</f>
        <v>-4.56350349430209E-005</v>
      </c>
      <c r="CH159" s="0" t="n">
        <f aca="false">IF(CF159&lt;&gt;0,($C$27-$B159)*$CB159/CF159/$AD$51-$AC$60*$AD$51,0)</f>
        <v>-4.56472739768583E-005</v>
      </c>
      <c r="CI159" s="0" t="n">
        <f aca="false">(CG159-BZ159)/($CB159-$BU159)</f>
        <v>0.00706108005329487</v>
      </c>
      <c r="CJ159" s="0" t="n">
        <f aca="false">(CH159-CA159)/($CB159-$BU159)</f>
        <v>0.0109984373526903</v>
      </c>
      <c r="CK159" s="0" t="n">
        <f aca="false">IF(CI159&lt;&gt;CJ159,(CA159-BZ159)/(CI159-CJ159),0)</f>
        <v>3.39522470790216E-014</v>
      </c>
      <c r="CL159" s="6" t="str">
        <f aca="false">IF(AND(BU159&gt;0,CE159&gt;0,CE159&lt;$C$15,CF159&lt;$C$15,CG159&gt;0,ABS(CK159)&lt;0.1*BU159),B159,"")</f>
        <v/>
      </c>
      <c r="CM159" s="0" t="n">
        <f aca="false">CG159+BU159^2/$C$39</f>
        <v>-4.40246364444379E-005</v>
      </c>
      <c r="CN159" s="0" t="n">
        <f aca="false">-BU159*$C$15/$C$39</f>
        <v>0.00310843867423786</v>
      </c>
      <c r="CO159" s="0" t="n">
        <f aca="false">IF(CL159&lt;&gt;"",(-CM159+SQRT(CM159^2-4*$AC$60*CN159))/2/$AC$60,0)</f>
        <v>0</v>
      </c>
      <c r="CP159" s="0" t="n">
        <f aca="false">CO159*30/PI()</f>
        <v>0</v>
      </c>
      <c r="DB159" s="6"/>
    </row>
    <row r="160" customFormat="false" ht="12.75" hidden="false" customHeight="false" outlineLevel="0" collapsed="false">
      <c r="A160" s="0" t="n">
        <f aca="false">A159+0.01</f>
        <v>0.11</v>
      </c>
      <c r="B160" s="0" t="n">
        <f aca="false">A160*$AC$68</f>
        <v>0.216305430587012</v>
      </c>
      <c r="C160" s="0" t="n">
        <f aca="false">$C$39*($B160-$C$21)</f>
        <v>-16.7021674164779</v>
      </c>
      <c r="D160" s="0" t="n">
        <f aca="false">$C$39*($B160-$C$27)</f>
        <v>-10.7021674164779</v>
      </c>
      <c r="E160" s="0" t="n">
        <f aca="false">$AC$71</f>
        <v>0.0474257507541105</v>
      </c>
      <c r="F160" s="0" t="n">
        <f aca="false">-E160*$AC$51</f>
        <v>-4.96641300533647</v>
      </c>
      <c r="G160" s="0" t="n">
        <f aca="false">-E160*$AD$51</f>
        <v>-2.48320650266823</v>
      </c>
      <c r="H160" s="0" t="n">
        <f aca="false">(-F160+SQRT(F160^2-4*$C160))/2</f>
        <v>7.26530666382878</v>
      </c>
      <c r="I160" s="0" t="n">
        <f aca="false">(-G160+SQRT(G160^2-4*$D160))/2</f>
        <v>4.74070971587637</v>
      </c>
      <c r="J160" s="0" t="n">
        <f aca="false">IF(H160&lt;&gt;0,($C$21-$B160)*$E160/H160/$AC$51-$AC$60*$AC$51,0)</f>
        <v>0.000149019340914364</v>
      </c>
      <c r="K160" s="0" t="n">
        <f aca="false">IF(I160&lt;&gt;0,($C$27-$B160)*$E160/I160/$AD$51-$AC$60*$AD$51,0)</f>
        <v>0.000328543544678763</v>
      </c>
      <c r="L160" s="0" t="n">
        <f aca="false">E160*1.001</f>
        <v>0.0474731765048646</v>
      </c>
      <c r="M160" s="0" t="n">
        <f aca="false">-L160*$AC$51</f>
        <v>-4.97137941834181</v>
      </c>
      <c r="N160" s="0" t="n">
        <f aca="false">-L160*$AD$51</f>
        <v>-2.4856897091709</v>
      </c>
      <c r="O160" s="0" t="n">
        <f aca="false">(-M160+SQRT(M160^2-4*$C160))/2</f>
        <v>7.26907979850671</v>
      </c>
      <c r="P160" s="0" t="n">
        <f aca="false">(-N160+SQRT(N160^2-4*$D160))/2</f>
        <v>4.74239207516235</v>
      </c>
      <c r="Q160" s="0" t="n">
        <f aca="false">IF(O160&lt;&gt;0,($C$21-$B160)*$L160/O160/$AC$51-$AC$60*$AC$51,0)</f>
        <v>0.000149102703162079</v>
      </c>
      <c r="R160" s="0" t="n">
        <f aca="false">IF(P160&lt;&gt;0,($C$27-$B160)*$L160/P160/$AD$51-$AC$60*$AD$51,0)</f>
        <v>0.000328763321814305</v>
      </c>
      <c r="S160" s="0" t="n">
        <f aca="false">(Q160-J160)/($L160-$E160)</f>
        <v>0.00175774228956522</v>
      </c>
      <c r="T160" s="0" t="n">
        <f aca="false">(R160-K160)/($L160-$E160)</f>
        <v>0.00463413086873234</v>
      </c>
      <c r="U160" s="0" t="n">
        <f aca="false">IF(S160&lt;&gt;T160,(K160-J160)/(S160-T160),0)</f>
        <v>-0.0624130567979035</v>
      </c>
      <c r="V160" s="0" t="n">
        <f aca="false">E160+U160</f>
        <v>-0.0149873060437931</v>
      </c>
      <c r="W160" s="0" t="n">
        <f aca="false">-V160*$AC$51</f>
        <v>1.56946701880941</v>
      </c>
      <c r="X160" s="0" t="n">
        <f aca="false">-V160*$AD$51</f>
        <v>0.784733509404703</v>
      </c>
      <c r="Y160" s="0" t="n">
        <f aca="false">(-W160+SQRT(W160^2-4*$C160))/2</f>
        <v>3.37675349613317</v>
      </c>
      <c r="Z160" s="0" t="n">
        <f aca="false">(-X160+SQRT(X160^2-4*$D160))/2</f>
        <v>2.90249577455036</v>
      </c>
      <c r="AA160" s="0" t="n">
        <f aca="false">IF(Y160&lt;&gt;0,($C$21-$B160)*$V160/Y160/$AC$51-$AC$60*$AC$51,0)</f>
        <v>-0.000142484521093503</v>
      </c>
      <c r="AB160" s="0" t="n">
        <f aca="false">IF(Z160&lt;&gt;0,($C$27-$B160)*$V160/Z160/$AD$51-$AC$60*$AD$51,0)</f>
        <v>-0.000188154310031965</v>
      </c>
      <c r="AC160" s="0" t="n">
        <f aca="false">V160*1.001</f>
        <v>-0.0150022933498368</v>
      </c>
      <c r="AD160" s="0" t="n">
        <f aca="false">-AC160*$AC$51</f>
        <v>1.57103648582821</v>
      </c>
      <c r="AE160" s="0" t="n">
        <f aca="false">-AC160*$AD$51</f>
        <v>0.785518242914107</v>
      </c>
      <c r="AF160" s="0" t="n">
        <f aca="false">(-AD160+SQRT(AD160^2-4*$C160))/2</f>
        <v>3.3761168115361</v>
      </c>
      <c r="AG160" s="0" t="n">
        <f aca="false">(-AE160+SQRT(AE160^2-4*$D160))/2</f>
        <v>2.90215015558923</v>
      </c>
      <c r="AH160" s="0" t="n">
        <f aca="false">IF(AF160&lt;&gt;0,($C$21-$B160)*$AC160/AF160/$AC$51-$AC$60*$AC$51,0)</f>
        <v>-0.00014262477542603</v>
      </c>
      <c r="AI160" s="0" t="n">
        <f aca="false">IF(AG160&lt;&gt;0,($C$27-$B160)*$AC160/AG160/$AD$51-$AC$60*$AD$51,0)</f>
        <v>-0.000188351182656202</v>
      </c>
      <c r="AJ160" s="0" t="n">
        <f aca="false">(AH160-AA160)/($AC160-$V160)</f>
        <v>0.00935820834758387</v>
      </c>
      <c r="AK160" s="0" t="n">
        <f aca="false">(AI160-AB160)/($AC160-$V160)</f>
        <v>0.0131359581009272</v>
      </c>
      <c r="AL160" s="0" t="n">
        <f aca="false">IF(AJ160&lt;&gt;AK160,(AB160-AA160)/(AJ160-AK160),0)</f>
        <v>0.0120891514579662</v>
      </c>
      <c r="AM160" s="0" t="n">
        <f aca="false">V160+AL160</f>
        <v>-0.00289815458582682</v>
      </c>
      <c r="AN160" s="0" t="n">
        <f aca="false">-AM160*$AC$51</f>
        <v>0.303494038526703</v>
      </c>
      <c r="AO160" s="0" t="n">
        <f aca="false">-AM160*$AD$51</f>
        <v>0.151747019263352</v>
      </c>
      <c r="AP160" s="0" t="n">
        <f aca="false">(-AN160+SQRT(AN160^2-4*$C160))/2</f>
        <v>3.93789777880081</v>
      </c>
      <c r="AQ160" s="0" t="n">
        <f aca="false">(-AO160+SQRT(AO160^2-4*$D160))/2</f>
        <v>3.19642296317481</v>
      </c>
      <c r="AR160" s="0" t="n">
        <f aca="false">IF(AP160&lt;&gt;0,($C$21-$B160)*$AM160/AP160/$AC$51-$AC$60*$AC$51,0)</f>
        <v>-4.40657916614816E-005</v>
      </c>
      <c r="AS160" s="0" t="n">
        <f aca="false">IF(AQ160&lt;&gt;0,($C$27-$B160)*$AM160/AQ160/$AD$51-$AC$60*$AD$51,0)</f>
        <v>-4.31383115654492E-005</v>
      </c>
      <c r="AT160" s="0" t="n">
        <f aca="false">AM160*1.001</f>
        <v>-0.00290105274041264</v>
      </c>
      <c r="AU160" s="0" t="n">
        <f aca="false">-AT160*$AC$51</f>
        <v>0.30379753256523</v>
      </c>
      <c r="AV160" s="0" t="n">
        <f aca="false">-AT160*$AD$51</f>
        <v>0.151898766282615</v>
      </c>
      <c r="AW160" s="0" t="n">
        <f aca="false">(-AU160+SQRT(AU160^2-4*$C160))/2</f>
        <v>3.93775166519391</v>
      </c>
      <c r="AX160" s="0" t="n">
        <f aca="false">(-AV160+SQRT(AV160^2-4*$D160))/2</f>
        <v>3.19634884979491</v>
      </c>
      <c r="AY160" s="0" t="n">
        <f aca="false">IF(AW160&lt;&gt;0,($C$21-$B160)*$AT160/AW160/$AC$51-$AC$60*$AC$51,0)</f>
        <v>-4.40860819719768E-005</v>
      </c>
      <c r="AZ160" s="0" t="n">
        <f aca="false">IF(AX160&lt;&gt;0,($C$27-$B160)*$AT160/AX160/$AD$51-$AC$60*$AD$51,0)</f>
        <v>-4.31699157056601E-005</v>
      </c>
      <c r="BA160" s="0" t="n">
        <f aca="false">(AY160-AR160)/($AT160-$AM160)</f>
        <v>0.00700111394830317</v>
      </c>
      <c r="BB160" s="0" t="n">
        <f aca="false">(AZ160-AS160)/($AT160-$AM160)</f>
        <v>0.0109049187249821</v>
      </c>
      <c r="BC160" s="0" t="n">
        <f aca="false">IF(BA160&lt;&gt;BB160,(AS160-AR160)/(BA160-BB160),0)</f>
        <v>-0.000237583626510504</v>
      </c>
      <c r="BD160" s="0" t="n">
        <f aca="false">AM160+BC160</f>
        <v>-0.00313573821233732</v>
      </c>
      <c r="BE160" s="0" t="n">
        <f aca="false">-BD160*$AC$51</f>
        <v>0.328373737715324</v>
      </c>
      <c r="BF160" s="0" t="n">
        <f aca="false">-BD160*$AD$51</f>
        <v>0.164186868857662</v>
      </c>
      <c r="BG160" s="0" t="n">
        <f aca="false">(-BE160+SQRT(BE160^2-4*$C160))/2</f>
        <v>3.92593840359833</v>
      </c>
      <c r="BH160" s="0" t="n">
        <f aca="false">(-BF160+SQRT(BF160^2-4*$D160))/2</f>
        <v>3.19035316535767</v>
      </c>
      <c r="BI160" s="0" t="n">
        <f aca="false">IF(BG160&lt;&gt;0,($C$21-$B160)*$BD160/BG160/$AC$51-$AC$60*$AC$51,0)</f>
        <v>-4.5734053779828E-005</v>
      </c>
      <c r="BJ160" s="0" t="n">
        <f aca="false">IF(BH160&lt;&gt;0,($C$27-$B160)*$BD160/BH160/$AD$51-$AC$60*$AD$51,0)</f>
        <v>-4.57339541941705E-005</v>
      </c>
      <c r="BK160" s="0" t="n">
        <f aca="false">BD160*1.001</f>
        <v>-0.00313887395054966</v>
      </c>
      <c r="BL160" s="0" t="n">
        <f aca="false">-BK160*$AC$51</f>
        <v>0.328702111453039</v>
      </c>
      <c r="BM160" s="0" t="n">
        <f aca="false">-BK160*$AD$51</f>
        <v>0.16435105572652</v>
      </c>
      <c r="BN160" s="0" t="n">
        <f aca="false">(-BL160+SQRT(BL160^2-4*$C160))/2</f>
        <v>3.92578081085142</v>
      </c>
      <c r="BO160" s="0" t="n">
        <f aca="false">(-BM160+SQRT(BM160^2-4*$D160))/2</f>
        <v>3.19027313236925</v>
      </c>
      <c r="BP160" s="0" t="n">
        <f aca="false">IF(BN160&lt;&gt;0,($C$21-$B160)*$BK160/BN160/$AC$51-$AC$60*$AC$51,0)</f>
        <v>-4.575613886641E-005</v>
      </c>
      <c r="BQ160" s="0" t="n">
        <f aca="false">IF(BO160&lt;&gt;0,($C$27-$B160)*$BK160/BO160/$AD$51-$AC$60*$AD$51,0)</f>
        <v>-4.57682778923142E-005</v>
      </c>
      <c r="BR160" s="0" t="n">
        <f aca="false">(BP160-BI160)/($BK160-$BD160)</f>
        <v>0.00704302626257493</v>
      </c>
      <c r="BS160" s="0" t="n">
        <f aca="false">(BQ160-BJ160)/($BK160-$BD160)</f>
        <v>0.0109459705560487</v>
      </c>
      <c r="BT160" s="0" t="n">
        <f aca="false">IF(BR160&lt;&gt;BS160,(BJ160-BI160)/(BR160-BS160),0)</f>
        <v>-2.55155210992666E-008</v>
      </c>
      <c r="BU160" s="0" t="n">
        <f aca="false">BD160+BT160</f>
        <v>-0.00313576372785842</v>
      </c>
      <c r="BV160" s="0" t="n">
        <f aca="false">-BU160*$AC$51</f>
        <v>0.328376409694445</v>
      </c>
      <c r="BW160" s="0" t="n">
        <f aca="false">-BU160*$AD$51</f>
        <v>0.164188204847223</v>
      </c>
      <c r="BX160" s="0" t="n">
        <f aca="false">(-BV160+SQRT(BV160^2-4*$C160))/2</f>
        <v>3.92593712123863</v>
      </c>
      <c r="BY160" s="0" t="n">
        <f aca="false">(-BW160+SQRT(BW160^2-4*$D160))/2</f>
        <v>3.19035251412045</v>
      </c>
      <c r="BZ160" s="0" t="n">
        <f aca="false">IF(BX160&lt;&gt;0,($C$21-$B160)*$BU160/BX160/$AC$51-$AC$60*$AC$51,0)</f>
        <v>-4.57342334793018E-005</v>
      </c>
      <c r="CA160" s="0" t="n">
        <f aca="false">IF(BY160&lt;&gt;0,($C$27-$B160)*$BU160/BY160/$AD$51-$AC$60*$AD$51,0)</f>
        <v>-4.5734233479451E-005</v>
      </c>
      <c r="CB160" s="0" t="n">
        <f aca="false">BU160*1.001</f>
        <v>-0.00313889949158628</v>
      </c>
      <c r="CC160" s="0" t="n">
        <f aca="false">-CB160*$AC$51</f>
        <v>0.32870478610414</v>
      </c>
      <c r="CD160" s="0" t="n">
        <f aca="false">-CB160*$AD$51</f>
        <v>0.16435239305207</v>
      </c>
      <c r="CE160" s="0" t="n">
        <f aca="false">(-CC160+SQRT(CC160^2-4*$C160))/2</f>
        <v>3.92577952726295</v>
      </c>
      <c r="CF160" s="0" t="n">
        <f aca="false">(-CD160+SQRT(CD160^2-4*$D160))/2</f>
        <v>3.19027248049755</v>
      </c>
      <c r="CG160" s="0" t="n">
        <f aca="false">IF(CE160&lt;&gt;0,($C$21-$B160)*$CB160/CE160/$AC$51-$AC$60*$AC$51,0)</f>
        <v>-4.57563187597354E-005</v>
      </c>
      <c r="CH160" s="0" t="n">
        <f aca="false">IF(CF160&lt;&gt;0,($C$27-$B160)*$CB160/CF160/$AD$51-$AC$60*$AD$51,0)</f>
        <v>-4.57685574707309E-005</v>
      </c>
      <c r="CI160" s="0" t="n">
        <f aca="false">(CG160-BZ160)/($CB160-$BU160)</f>
        <v>0.00704303077347035</v>
      </c>
      <c r="CJ160" s="0" t="n">
        <f aca="false">(CH160-CA160)/($CB160-$BU160)</f>
        <v>0.0109459749709087</v>
      </c>
      <c r="CK160" s="0" t="n">
        <f aca="false">IF(CI160&lt;&gt;CJ160,(CA160-BZ160)/(CI160-CJ160),0)</f>
        <v>3.82396462148154E-014</v>
      </c>
      <c r="CL160" s="6" t="str">
        <f aca="false">IF(AND(BU160&gt;0,CE160&gt;0,CE160&lt;$C$15,CF160&lt;$C$15,CG160&gt;0,ABS(CK160)&lt;0.1*BU160),B160,"")</f>
        <v/>
      </c>
      <c r="CM160" s="0" t="n">
        <f aca="false">CG160+BU160^2/$C$39</f>
        <v>-4.411748306691E-005</v>
      </c>
      <c r="CN160" s="0" t="n">
        <f aca="false">-BU160*$C$15/$C$39</f>
        <v>0.00313576372785842</v>
      </c>
      <c r="CO160" s="0" t="n">
        <f aca="false">IF(CL160&lt;&gt;"",(-CM160+SQRT(CM160^2-4*$AC$60*CN160))/2/$AC$60,0)</f>
        <v>0</v>
      </c>
      <c r="CP160" s="0" t="n">
        <f aca="false">CO160*30/PI()</f>
        <v>0</v>
      </c>
      <c r="DB160" s="6"/>
    </row>
    <row r="161" customFormat="false" ht="12.75" hidden="false" customHeight="false" outlineLevel="0" collapsed="false">
      <c r="A161" s="0" t="n">
        <f aca="false">A160+0.01</f>
        <v>0.12</v>
      </c>
      <c r="B161" s="0" t="n">
        <f aca="false">A161*$AC$68</f>
        <v>0.235969560640376</v>
      </c>
      <c r="C161" s="0" t="n">
        <f aca="false">$C$39*($B161-$C$21)</f>
        <v>-16.5841826361577</v>
      </c>
      <c r="D161" s="0" t="n">
        <f aca="false">$C$39*($B161-$C$27)</f>
        <v>-10.5841826361577</v>
      </c>
      <c r="E161" s="0" t="n">
        <f aca="false">$AC$71</f>
        <v>0.0474257507541105</v>
      </c>
      <c r="F161" s="0" t="n">
        <f aca="false">-E161*$AC$51</f>
        <v>-4.96641300533647</v>
      </c>
      <c r="G161" s="0" t="n">
        <f aca="false">-E161*$AD$51</f>
        <v>-2.48320650266823</v>
      </c>
      <c r="H161" s="0" t="n">
        <f aca="false">(-F161+SQRT(F161^2-4*$C161))/2</f>
        <v>7.25295462715568</v>
      </c>
      <c r="I161" s="0" t="n">
        <f aca="false">(-G161+SQRT(G161^2-4*$D161))/2</f>
        <v>4.72380963089883</v>
      </c>
      <c r="J161" s="0" t="n">
        <f aca="false">IF(H161&lt;&gt;0,($C$21-$B161)*$E161/H161/$AC$51-$AC$60*$AC$51,0)</f>
        <v>0.000148087003916608</v>
      </c>
      <c r="K161" s="0" t="n">
        <f aca="false">IF(I161&lt;&gt;0,($C$27-$B161)*$E161/I161/$AD$51-$AC$60*$AD$51,0)</f>
        <v>0.000325992293430603</v>
      </c>
      <c r="L161" s="0" t="n">
        <f aca="false">E161*1.001</f>
        <v>0.0474731765048646</v>
      </c>
      <c r="M161" s="0" t="n">
        <f aca="false">-L161*$AC$51</f>
        <v>-4.97137941834181</v>
      </c>
      <c r="N161" s="0" t="n">
        <f aca="false">-L161*$AD$51</f>
        <v>-2.4856897091709</v>
      </c>
      <c r="O161" s="0" t="n">
        <f aca="false">(-M161+SQRT(M161^2-4*$C161))/2</f>
        <v>7.2567311014076</v>
      </c>
      <c r="P161" s="0" t="n">
        <f aca="false">(-N161+SQRT(N161^2-4*$D161))/2</f>
        <v>4.72549412902112</v>
      </c>
      <c r="Q161" s="0" t="n">
        <f aca="false">IF(O161&lt;&gt;0,($C$21-$B161)*$L161/O161/$AC$51-$AC$60*$AC$51,0)</f>
        <v>0.000148169686151867</v>
      </c>
      <c r="R161" s="0" t="n">
        <f aca="false">IF(P161&lt;&gt;0,($C$27-$B161)*$L161/P161/$AD$51-$AC$60*$AD$51,0)</f>
        <v>0.000326209842518332</v>
      </c>
      <c r="S161" s="0" t="n">
        <f aca="false">(Q161-J161)/($L161-$E161)</f>
        <v>0.00174340382479494</v>
      </c>
      <c r="T161" s="0" t="n">
        <f aca="false">(R161-K161)/($L161-$E161)</f>
        <v>0.00458715116303</v>
      </c>
      <c r="U161" s="0" t="n">
        <f aca="false">IF(S161&lt;&gt;T161,(K161-J161)/(S161-T161),0)</f>
        <v>-0.0625601603637579</v>
      </c>
      <c r="V161" s="0" t="n">
        <f aca="false">E161+U161</f>
        <v>-0.0151344096096474</v>
      </c>
      <c r="W161" s="0" t="n">
        <f aca="false">-V161*$AC$51</f>
        <v>1.5848716682029</v>
      </c>
      <c r="X161" s="0" t="n">
        <f aca="false">-V161*$AD$51</f>
        <v>0.792435834101452</v>
      </c>
      <c r="Y161" s="0" t="n">
        <f aca="false">(-W161+SQRT(W161^2-4*$C161))/2</f>
        <v>3.35631544638353</v>
      </c>
      <c r="Z161" s="0" t="n">
        <f aca="false">(-X161+SQRT(X161^2-4*$D161))/2</f>
        <v>2.88115470045095</v>
      </c>
      <c r="AA161" s="0" t="n">
        <f aca="false">IF(Y161&lt;&gt;0,($C$21-$B161)*$V161/Y161/$AC$51-$AC$60*$AC$51,0)</f>
        <v>-0.000143521302758667</v>
      </c>
      <c r="AB161" s="0" t="n">
        <f aca="false">IF(Z161&lt;&gt;0,($C$27-$B161)*$V161/Z161/$AD$51-$AC$60*$AD$51,0)</f>
        <v>-0.000189223799914383</v>
      </c>
      <c r="AC161" s="0" t="n">
        <f aca="false">V161*1.001</f>
        <v>-0.0151495440192571</v>
      </c>
      <c r="AD161" s="0" t="n">
        <f aca="false">-AC161*$AC$51</f>
        <v>1.58645653987111</v>
      </c>
      <c r="AE161" s="0" t="n">
        <f aca="false">-AC161*$AD$51</f>
        <v>0.793228269935554</v>
      </c>
      <c r="AF161" s="0" t="n">
        <f aca="false">(-AD161+SQRT(AD161^2-4*$C161))/2</f>
        <v>3.35567444335897</v>
      </c>
      <c r="AG161" s="0" t="n">
        <f aca="false">(-AE161+SQRT(AE161^2-4*$D161))/2</f>
        <v>2.88080640689346</v>
      </c>
      <c r="AH161" s="0" t="n">
        <f aca="false">IF(AF161&lt;&gt;0,($C$21-$B161)*$AC161/AF161/$AC$51-$AC$60*$AC$51,0)</f>
        <v>-0.000143663079779334</v>
      </c>
      <c r="AI161" s="0" t="n">
        <f aca="false">IF(AG161&lt;&gt;0,($C$27-$B161)*$AC161/AG161/$AD$51-$AC$60*$AD$51,0)</f>
        <v>-0.000189422190297004</v>
      </c>
      <c r="AJ161" s="0" t="n">
        <f aca="false">(AH161-AA161)/($AC161-$V161)</f>
        <v>0.00936785935653741</v>
      </c>
      <c r="AK161" s="0" t="n">
        <f aca="false">(AI161-AB161)/($AC161-$V161)</f>
        <v>0.0131085643733506</v>
      </c>
      <c r="AL161" s="0" t="n">
        <f aca="false">IF(AJ161&lt;&gt;AK161,(AB161-AA161)/(AJ161-AK161),0)</f>
        <v>0.0122176159174004</v>
      </c>
      <c r="AM161" s="0" t="n">
        <f aca="false">V161+AL161</f>
        <v>-0.00291679369224699</v>
      </c>
      <c r="AN161" s="0" t="n">
        <f aca="false">-AM161*$AC$51</f>
        <v>0.305445921186673</v>
      </c>
      <c r="AO161" s="0" t="n">
        <f aca="false">-AM161*$AD$51</f>
        <v>0.152722960593336</v>
      </c>
      <c r="AP161" s="0" t="n">
        <f aca="false">(-AN161+SQRT(AN161^2-4*$C161))/2</f>
        <v>3.92250794560697</v>
      </c>
      <c r="AQ161" s="0" t="n">
        <f aca="false">(-AO161+SQRT(AO161^2-4*$D161))/2</f>
        <v>3.17786864552892</v>
      </c>
      <c r="AR161" s="0" t="n">
        <f aca="false">IF(AP161&lt;&gt;0,($C$21-$B161)*$AM161/AP161/$AC$51-$AC$60*$AC$51,0)</f>
        <v>-4.41292308601526E-005</v>
      </c>
      <c r="AS161" s="0" t="n">
        <f aca="false">IF(AQ161&lt;&gt;0,($C$27-$B161)*$AM161/AQ161/$AD$51-$AC$60*$AD$51,0)</f>
        <v>-4.31737534596891E-005</v>
      </c>
      <c r="AT161" s="0" t="n">
        <f aca="false">AM161*1.001</f>
        <v>-0.00291971048593923</v>
      </c>
      <c r="AU161" s="0" t="n">
        <f aca="false">-AT161*$AC$51</f>
        <v>0.305751367107859</v>
      </c>
      <c r="AV161" s="0" t="n">
        <f aca="false">-AT161*$AD$51</f>
        <v>0.15287568355393</v>
      </c>
      <c r="AW161" s="0" t="n">
        <f aca="false">(-AU161+SQRT(AU161^2-4*$C161))/2</f>
        <v>3.92236094893501</v>
      </c>
      <c r="AX161" s="0" t="n">
        <f aca="false">(-AV161+SQRT(AV161^2-4*$D161))/2</f>
        <v>3.17779407678896</v>
      </c>
      <c r="AY161" s="0" t="n">
        <f aca="false">IF(AW161&lt;&gt;0,($C$21-$B161)*$AT161/AW161/$AC$51-$AC$60*$AC$51,0)</f>
        <v>-4.41495942498646E-005</v>
      </c>
      <c r="AZ161" s="0" t="n">
        <f aca="false">IF(AX161&lt;&gt;0,($C$27-$B161)*$AT161/AX161/$AD$51-$AC$60*$AD$51,0)</f>
        <v>-4.32054024905535E-005</v>
      </c>
      <c r="BA161" s="0" t="n">
        <f aca="false">(AY161-AR161)/($AT161-$AM161)</f>
        <v>0.00698142956290972</v>
      </c>
      <c r="BB161" s="0" t="n">
        <f aca="false">(AZ161-AS161)/($AT161-$AM161)</f>
        <v>0.0108506237340447</v>
      </c>
      <c r="BC161" s="0" t="n">
        <f aca="false">IF(BA161&lt;&gt;BB161,(AS161-AR161)/(BA161-BB161),0)</f>
        <v>-0.000246944805094464</v>
      </c>
      <c r="BD161" s="0" t="n">
        <f aca="false">AM161+BC161</f>
        <v>-0.00316373849734145</v>
      </c>
      <c r="BE161" s="0" t="n">
        <f aca="false">-BD161*$AC$51</f>
        <v>0.331305920704237</v>
      </c>
      <c r="BF161" s="0" t="n">
        <f aca="false">-BD161*$AD$51</f>
        <v>0.165652960352119</v>
      </c>
      <c r="BG161" s="0" t="n">
        <f aca="false">(-BE161+SQRT(BE161^2-4*$C161))/2</f>
        <v>3.91008299029914</v>
      </c>
      <c r="BH161" s="0" t="n">
        <f aca="false">(-BF161+SQRT(BF161^2-4*$D161))/2</f>
        <v>3.17156176678774</v>
      </c>
      <c r="BI161" s="0" t="n">
        <f aca="false">IF(BG161&lt;&gt;0,($C$21-$B161)*$BD161/BG161/$AC$51-$AC$60*$AC$51,0)</f>
        <v>-4.58585706090886E-005</v>
      </c>
      <c r="BJ161" s="0" t="n">
        <f aca="false">IF(BH161&lt;&gt;0,($C$27-$B161)*$BD161/BH161/$AD$51-$AC$60*$AD$51,0)</f>
        <v>-4.58584621758089E-005</v>
      </c>
      <c r="BK161" s="0" t="n">
        <f aca="false">BD161*1.001</f>
        <v>-0.00316690223583879</v>
      </c>
      <c r="BL161" s="0" t="n">
        <f aca="false">-BK161*$AC$51</f>
        <v>0.331637226624941</v>
      </c>
      <c r="BM161" s="0" t="n">
        <f aca="false">-BK161*$AD$51</f>
        <v>0.165818613312471</v>
      </c>
      <c r="BN161" s="0" t="n">
        <f aca="false">(-BL161+SQRT(BL161^2-4*$C161))/2</f>
        <v>3.90992407344765</v>
      </c>
      <c r="BO161" s="0" t="n">
        <f aca="false">(-BM161+SQRT(BM161^2-4*$D161))/2</f>
        <v>3.17148104935331</v>
      </c>
      <c r="BP161" s="0" t="n">
        <f aca="false">IF(BN161&lt;&gt;0,($C$21-$B161)*$BK161/BN161/$AC$51-$AC$60*$AC$51,0)</f>
        <v>-4.58807959359346E-005</v>
      </c>
      <c r="BQ161" s="0" t="n">
        <f aca="false">IF(BO161&lt;&gt;0,($C$27-$B161)*$BK161/BO161/$AD$51-$AC$60*$AD$51,0)</f>
        <v>-4.5892925769301E-005</v>
      </c>
      <c r="BR161" s="0" t="n">
        <f aca="false">(BP161-BI161)/($BK161-$BD161)</f>
        <v>0.00702502019833482</v>
      </c>
      <c r="BS161" s="0" t="n">
        <f aca="false">(BQ161-BJ161)/($BK161-$BD161)</f>
        <v>0.0108933129337581</v>
      </c>
      <c r="BT161" s="0" t="n">
        <f aca="false">IF(BR161&lt;&gt;BS161,(BJ161-BI161)/(BR161-BS161),0)</f>
        <v>-2.80313014395575E-008</v>
      </c>
      <c r="BU161" s="0" t="n">
        <f aca="false">BD161+BT161</f>
        <v>-0.00316376652864289</v>
      </c>
      <c r="BV161" s="0" t="n">
        <f aca="false">-BU161*$AC$51</f>
        <v>0.33130885613526</v>
      </c>
      <c r="BW161" s="0" t="n">
        <f aca="false">-BU161*$AD$51</f>
        <v>0.16565442806763</v>
      </c>
      <c r="BX161" s="0" t="n">
        <f aca="false">(-BV161+SQRT(BV161^2-4*$C161))/2</f>
        <v>3.91008158223728</v>
      </c>
      <c r="BY161" s="0" t="n">
        <f aca="false">(-BW161+SQRT(BW161^2-4*$D161))/2</f>
        <v>3.17156105160726</v>
      </c>
      <c r="BZ161" s="0" t="n">
        <f aca="false">IF(BX161&lt;&gt;0,($C$21-$B161)*$BU161/BX161/$AC$51-$AC$60*$AC$51,0)</f>
        <v>-4.58587675217761E-005</v>
      </c>
      <c r="CA161" s="0" t="n">
        <f aca="false">IF(BY161&lt;&gt;0,($C$27-$B161)*$BU161/BY161/$AD$51-$AC$60*$AD$51,0)</f>
        <v>-4.58587675219429E-005</v>
      </c>
      <c r="CB161" s="0" t="n">
        <f aca="false">BU161*1.001</f>
        <v>-0.00316693029517153</v>
      </c>
      <c r="CC161" s="0" t="n">
        <f aca="false">-CB161*$AC$51</f>
        <v>0.331640164991395</v>
      </c>
      <c r="CD161" s="0" t="n">
        <f aca="false">-CB161*$AD$51</f>
        <v>0.165820082495697</v>
      </c>
      <c r="CE161" s="0" t="n">
        <f aca="false">(-CC161+SQRT(CC161^2-4*$C161))/2</f>
        <v>3.90992266403733</v>
      </c>
      <c r="CF161" s="0" t="n">
        <f aca="false">(-CD161+SQRT(CD161^2-4*$D161))/2</f>
        <v>3.17148033347634</v>
      </c>
      <c r="CG161" s="0" t="n">
        <f aca="false">IF(CE161&lt;&gt;0,($C$21-$B161)*$CB161/CE161/$AC$51-$AC$60*$AC$51,0)</f>
        <v>-4.58809930612323E-005</v>
      </c>
      <c r="CH161" s="0" t="n">
        <f aca="false">IF(CF161&lt;&gt;0,($C$27-$B161)*$CB161/CF161/$AD$51-$AC$60*$AD$51,0)</f>
        <v>-4.58932314361416E-005</v>
      </c>
      <c r="CI161" s="0" t="n">
        <f aca="false">(CG161-BZ161)/($CB161-$BU161)</f>
        <v>0.00702502515750642</v>
      </c>
      <c r="CJ161" s="0" t="n">
        <f aca="false">(CH161-CA161)/($CB161-$BU161)</f>
        <v>0.010893317786466</v>
      </c>
      <c r="CK161" s="0" t="n">
        <f aca="false">IF(CI161&lt;&gt;CJ161,(CA161-BZ161)/(CI161-CJ161),0)</f>
        <v>4.31244667260141E-014</v>
      </c>
      <c r="CL161" s="6" t="str">
        <f aca="false">IF(AND(BU161&gt;0,CE161&gt;0,CE161&lt;$C$15,CF161&lt;$C$15,CG161&gt;0,ABS(CK161)&lt;0.1*BU161),B161,"")</f>
        <v/>
      </c>
      <c r="CM161" s="0" t="n">
        <f aca="false">CG161+BU161^2/$C$39</f>
        <v>-4.42127566199388E-005</v>
      </c>
      <c r="CN161" s="0" t="n">
        <f aca="false">-BU161*$C$15/$C$39</f>
        <v>0.00316376652864289</v>
      </c>
      <c r="CO161" s="0" t="n">
        <f aca="false">IF(CL161&lt;&gt;"",(-CM161+SQRT(CM161^2-4*$AC$60*CN161))/2/$AC$60,0)</f>
        <v>0</v>
      </c>
      <c r="CP161" s="0" t="n">
        <f aca="false">CO161*30/PI()</f>
        <v>0</v>
      </c>
      <c r="DB161" s="6"/>
    </row>
    <row r="162" customFormat="false" ht="12.75" hidden="false" customHeight="false" outlineLevel="0" collapsed="false">
      <c r="A162" s="0" t="n">
        <f aca="false">A161+0.01</f>
        <v>0.13</v>
      </c>
      <c r="B162" s="0" t="n">
        <f aca="false">A162*$AC$68</f>
        <v>0.255633690693741</v>
      </c>
      <c r="C162" s="0" t="n">
        <f aca="false">$C$39*($B162-$C$21)</f>
        <v>-16.4661978558376</v>
      </c>
      <c r="D162" s="0" t="n">
        <f aca="false">$C$39*($B162-$C$27)</f>
        <v>-10.4661978558376</v>
      </c>
      <c r="E162" s="0" t="n">
        <f aca="false">$AC$71</f>
        <v>0.0474257507541105</v>
      </c>
      <c r="F162" s="0" t="n">
        <f aca="false">-E162*$AC$51</f>
        <v>-4.96641300533647</v>
      </c>
      <c r="G162" s="0" t="n">
        <f aca="false">-E162*$AD$51</f>
        <v>-2.48320650266823</v>
      </c>
      <c r="H162" s="0" t="n">
        <f aca="false">(-F162+SQRT(F162^2-4*$C162))/2</f>
        <v>7.24057051971921</v>
      </c>
      <c r="I162" s="0" t="n">
        <f aca="false">(-G162+SQRT(G162^2-4*$D162))/2</f>
        <v>4.70682712426946</v>
      </c>
      <c r="J162" s="0" t="n">
        <f aca="false">IF(H162&lt;&gt;0,($C$21-$B162)*$E162/H162/$AC$51-$AC$60*$AC$51,0)</f>
        <v>0.00014715224620395</v>
      </c>
      <c r="K162" s="0" t="n">
        <f aca="false">IF(I162&lt;&gt;0,($C$27-$B162)*$E162/I162/$AD$51-$AC$60*$AD$51,0)</f>
        <v>0.000323428599739556</v>
      </c>
      <c r="L162" s="0" t="n">
        <f aca="false">E162*1.001</f>
        <v>0.0474731765048646</v>
      </c>
      <c r="M162" s="0" t="n">
        <f aca="false">-L162*$AC$51</f>
        <v>-4.97137941834181</v>
      </c>
      <c r="N162" s="0" t="n">
        <f aca="false">-L162*$AD$51</f>
        <v>-2.4856897091709</v>
      </c>
      <c r="O162" s="0" t="n">
        <f aca="false">(-M162+SQRT(M162^2-4*$C162))/2</f>
        <v>7.24435035961822</v>
      </c>
      <c r="P162" s="0" t="n">
        <f aca="false">(-N162+SQRT(N162^2-4*$D162))/2</f>
        <v>4.70851379267043</v>
      </c>
      <c r="Q162" s="0" t="n">
        <f aca="false">IF(O162&lt;&gt;0,($C$21-$B162)*$L162/O162/$AC$51-$AC$60*$AC$51,0)</f>
        <v>0.000147234247976016</v>
      </c>
      <c r="R162" s="0" t="n">
        <f aca="false">IF(P162&lt;&gt;0,($C$27-$B162)*$L162/P162/$AD$51-$AC$60*$AD$51,0)</f>
        <v>0.000323643913088344</v>
      </c>
      <c r="S162" s="0" t="n">
        <f aca="false">(Q162-J162)/($L162-$E162)</f>
        <v>0.00172905585597142</v>
      </c>
      <c r="T162" s="0" t="n">
        <f aca="false">(R162-K162)/($L162-$E162)</f>
        <v>0.00454000928534314</v>
      </c>
      <c r="U162" s="0" t="n">
        <f aca="false">IF(S162&lt;&gt;T162,(K162-J162)/(S162-T162),0)</f>
        <v>-0.0627105208125079</v>
      </c>
      <c r="V162" s="0" t="n">
        <f aca="false">E162+U162</f>
        <v>-0.0152847700583974</v>
      </c>
      <c r="W162" s="0" t="n">
        <f aca="false">-V162*$AC$51</f>
        <v>1.60061737757569</v>
      </c>
      <c r="X162" s="0" t="n">
        <f aca="false">-V162*$AD$51</f>
        <v>0.800308688787843</v>
      </c>
      <c r="Y162" s="0" t="n">
        <f aca="false">(-W162+SQRT(W162^2-4*$C162))/2</f>
        <v>3.3357149877869</v>
      </c>
      <c r="Z162" s="0" t="n">
        <f aca="false">(-X162+SQRT(X162^2-4*$D162))/2</f>
        <v>2.85964953853752</v>
      </c>
      <c r="AA162" s="0" t="n">
        <f aca="false">IF(Y162&lt;&gt;0,($C$21-$B162)*$V162/Y162/$AC$51-$AC$60*$AC$51,0)</f>
        <v>-0.000144585660013203</v>
      </c>
      <c r="AB162" s="0" t="n">
        <f aca="false">IF(Z162&lt;&gt;0,($C$27-$B162)*$V162/Z162/$AD$51-$AC$60*$AD$51,0)</f>
        <v>-0.000190318773317683</v>
      </c>
      <c r="AC162" s="0" t="n">
        <f aca="false">V162*1.001</f>
        <v>-0.0153000548284558</v>
      </c>
      <c r="AD162" s="0" t="n">
        <f aca="false">-AC162*$AC$51</f>
        <v>1.60221799495326</v>
      </c>
      <c r="AE162" s="0" t="n">
        <f aca="false">-AC162*$AD$51</f>
        <v>0.80110899747663</v>
      </c>
      <c r="AF162" s="0" t="n">
        <f aca="false">(-AD162+SQRT(AD162^2-4*$C162))/2</f>
        <v>3.33506961105511</v>
      </c>
      <c r="AG162" s="0" t="n">
        <f aca="false">(-AE162+SQRT(AE162^2-4*$D162))/2</f>
        <v>2.85929852897583</v>
      </c>
      <c r="AH162" s="0" t="n">
        <f aca="false">IF(AF162&lt;&gt;0,($C$21-$B162)*$AC162/AF162/$AC$51-$AC$60*$AC$51,0)</f>
        <v>-0.000144729004407786</v>
      </c>
      <c r="AI162" s="0" t="n">
        <f aca="false">IF(AG162&lt;&gt;0,($C$27-$B162)*$AC162/AG162/$AD$51-$AC$60*$AD$51,0)</f>
        <v>-0.000190518722604982</v>
      </c>
      <c r="AJ162" s="0" t="n">
        <f aca="false">(AH162-AA162)/($AC162-$V162)</f>
        <v>0.00937824998581241</v>
      </c>
      <c r="AK162" s="0" t="n">
        <f aca="false">(AI162-AB162)/($AC162-$V162)</f>
        <v>0.0130816025714017</v>
      </c>
      <c r="AL162" s="0" t="n">
        <f aca="false">IF(AJ162&lt;&gt;AK162,(AB162-AA162)/(AJ162-AK162),0)</f>
        <v>0.0123491113113127</v>
      </c>
      <c r="AM162" s="0" t="n">
        <f aca="false">V162+AL162</f>
        <v>-0.00293565874708476</v>
      </c>
      <c r="AN162" s="0" t="n">
        <f aca="false">-AM162*$AC$51</f>
        <v>0.307421465109603</v>
      </c>
      <c r="AO162" s="0" t="n">
        <f aca="false">-AM162*$AD$51</f>
        <v>0.153710732554802</v>
      </c>
      <c r="AP162" s="0" t="n">
        <f aca="false">(-AN162+SQRT(AN162^2-4*$C162))/2</f>
        <v>3.90705580162813</v>
      </c>
      <c r="AQ162" s="0" t="n">
        <f aca="false">(-AO162+SQRT(AO162^2-4*$D162))/2</f>
        <v>3.15920776709364</v>
      </c>
      <c r="AR162" s="0" t="n">
        <f aca="false">IF(AP162&lt;&gt;0,($C$21-$B162)*$AM162/AP162/$AC$51-$AC$60*$AC$51,0)</f>
        <v>-4.41932077775096E-005</v>
      </c>
      <c r="AS162" s="0" t="n">
        <f aca="false">IF(AQ162&lt;&gt;0,($C$27-$B162)*$AM162/AQ162/$AD$51-$AC$60*$AD$51,0)</f>
        <v>-4.32086070670502E-005</v>
      </c>
      <c r="AT162" s="0" t="n">
        <f aca="false">AM162*1.001</f>
        <v>-0.00293859440583185</v>
      </c>
      <c r="AU162" s="0" t="n">
        <f aca="false">-AT162*$AC$51</f>
        <v>0.307728886574713</v>
      </c>
      <c r="AV162" s="0" t="n">
        <f aca="false">-AT162*$AD$51</f>
        <v>0.153864443287357</v>
      </c>
      <c r="AW162" s="0" t="n">
        <f aca="false">(-AU162+SQRT(AU162^2-4*$C162))/2</f>
        <v>3.90690791215756</v>
      </c>
      <c r="AX162" s="0" t="n">
        <f aca="false">(-AV162+SQRT(AV162^2-4*$D162))/2</f>
        <v>3.15913273792753</v>
      </c>
      <c r="AY162" s="0" t="n">
        <f aca="false">IF(AW162&lt;&gt;0,($C$21-$B162)*$AT162/AW162/$AC$51-$AC$60*$AC$51,0)</f>
        <v>-4.42136449701935E-005</v>
      </c>
      <c r="AZ162" s="0" t="n">
        <f aca="false">IF(AX162&lt;&gt;0,($C$27-$B162)*$AT162/AX162/$AD$51-$AC$60*$AD$51,0)</f>
        <v>-4.32403005820306E-005</v>
      </c>
      <c r="BA162" s="0" t="n">
        <f aca="false">(AY162-AR162)/($AT162-$AM162)</f>
        <v>0.00696170585367868</v>
      </c>
      <c r="BB162" s="0" t="n">
        <f aca="false">(AZ162-AS162)/($AT162-$AM162)</f>
        <v>0.0107960487613927</v>
      </c>
      <c r="BC162" s="0" t="n">
        <f aca="false">IF(BA162&lt;&gt;BB162,(AS162-AR162)/(BA162-BB162),0)</f>
        <v>-0.00025678473056713</v>
      </c>
      <c r="BD162" s="0" t="n">
        <f aca="false">AM162+BC162</f>
        <v>-0.00319244347765189</v>
      </c>
      <c r="BE162" s="0" t="n">
        <f aca="false">-BD162*$AC$51</f>
        <v>0.334311899213061</v>
      </c>
      <c r="BF162" s="0" t="n">
        <f aca="false">-BD162*$AD$51</f>
        <v>0.167155949606531</v>
      </c>
      <c r="BG162" s="0" t="n">
        <f aca="false">(-BE162+SQRT(BE162^2-4*$C162))/2</f>
        <v>3.89414174538289</v>
      </c>
      <c r="BH162" s="0" t="n">
        <f aca="false">(-BF162+SQRT(BF162^2-4*$D162))/2</f>
        <v>3.15265179666071</v>
      </c>
      <c r="BI162" s="0" t="n">
        <f aca="false">IF(BG162&lt;&gt;0,($C$21-$B162)*$BD162/BG162/$AC$51-$AC$60*$AC$51,0)</f>
        <v>-4.59866169333204E-005</v>
      </c>
      <c r="BJ162" s="0" t="n">
        <f aca="false">IF(BH162&lt;&gt;0,($C$27-$B162)*$BD162/BH162/$AD$51-$AC$60*$AD$51,0)</f>
        <v>-4.59864987639894E-005</v>
      </c>
      <c r="BK162" s="0" t="n">
        <f aca="false">BD162*1.001</f>
        <v>-0.00319563592112954</v>
      </c>
      <c r="BL162" s="0" t="n">
        <f aca="false">-BK162*$AC$51</f>
        <v>0.334646211112274</v>
      </c>
      <c r="BM162" s="0" t="n">
        <f aca="false">-BK162*$AD$51</f>
        <v>0.167323105556137</v>
      </c>
      <c r="BN162" s="0" t="n">
        <f aca="false">(-BL162+SQRT(BL162^2-4*$C162))/2</f>
        <v>3.89398147271554</v>
      </c>
      <c r="BO162" s="0" t="n">
        <f aca="false">(-BM162+SQRT(BM162^2-4*$D162))/2</f>
        <v>3.15257037822607</v>
      </c>
      <c r="BP162" s="0" t="n">
        <f aca="false">IF(BN162&lt;&gt;0,($C$21-$B162)*$BK162/BN162/$AC$51-$AC$60*$AC$51,0)</f>
        <v>-4.6008986582777E-005</v>
      </c>
      <c r="BQ162" s="0" t="n">
        <f aca="false">IF(BO162&lt;&gt;0,($C$27-$B162)*$BK162/BO162/$AD$51-$AC$60*$AD$51,0)</f>
        <v>-4.6021106320309E-005</v>
      </c>
      <c r="BR162" s="0" t="n">
        <f aca="false">(BP162-BI162)/($BK162-$BD162)</f>
        <v>0.00700706202418823</v>
      </c>
      <c r="BS162" s="0" t="n">
        <f aca="false">(BQ162-BJ162)/($BK162-$BD162)</f>
        <v>0.0108404601559669</v>
      </c>
      <c r="BT162" s="0" t="n">
        <f aca="false">IF(BR162&lt;&gt;BS162,(BJ162-BI162)/(BR162-BS162),0)</f>
        <v>-3.0826260924303E-008</v>
      </c>
      <c r="BU162" s="0" t="n">
        <f aca="false">BD162+BT162</f>
        <v>-0.00319247430391282</v>
      </c>
      <c r="BV162" s="0" t="n">
        <f aca="false">-BU162*$AC$51</f>
        <v>0.334315127331556</v>
      </c>
      <c r="BW162" s="0" t="n">
        <f aca="false">-BU162*$AD$51</f>
        <v>0.167157563665778</v>
      </c>
      <c r="BX162" s="0" t="n">
        <f aca="false">(-BV162+SQRT(BV162^2-4*$C162))/2</f>
        <v>3.89414019775584</v>
      </c>
      <c r="BY162" s="0" t="n">
        <f aca="false">(-BW162+SQRT(BW162^2-4*$D162))/2</f>
        <v>3.15265101047331</v>
      </c>
      <c r="BZ162" s="0" t="n">
        <f aca="false">IF(BX162&lt;&gt;0,($C$21-$B162)*$BU162/BX162/$AC$51-$AC$60*$AC$51,0)</f>
        <v>-4.59868329262196E-005</v>
      </c>
      <c r="CA162" s="0" t="n">
        <f aca="false">IF(BY162&lt;&gt;0,($C$27-$B162)*$BU162/BY162/$AD$51-$AC$60*$AD$51,0)</f>
        <v>-4.59868329264063E-005</v>
      </c>
      <c r="CB162" s="0" t="n">
        <f aca="false">BU162*1.001</f>
        <v>-0.00319566677821673</v>
      </c>
      <c r="CC162" s="0" t="n">
        <f aca="false">-CB162*$AC$51</f>
        <v>0.334649442458888</v>
      </c>
      <c r="CD162" s="0" t="n">
        <f aca="false">-CB162*$AD$51</f>
        <v>0.167324721229444</v>
      </c>
      <c r="CE162" s="0" t="n">
        <f aca="false">(-CC162+SQRT(CC162^2-4*$C162))/2</f>
        <v>3.89397992360725</v>
      </c>
      <c r="CF162" s="0" t="n">
        <f aca="false">(-CD162+SQRT(CD162^2-4*$D162))/2</f>
        <v>3.15256959127333</v>
      </c>
      <c r="CG162" s="0" t="n">
        <f aca="false">IF(CE162&lt;&gt;0,($C$21-$B162)*$CB162/CE162/$AC$51-$AC$60*$AC$51,0)</f>
        <v>-4.60092028091011E-005</v>
      </c>
      <c r="CH162" s="0" t="n">
        <f aca="false">IF(CF162&lt;&gt;0,($C$27-$B162)*$CB162/CF162/$AD$51-$AC$60*$AD$51,0)</f>
        <v>-4.60214408339429E-005</v>
      </c>
      <c r="CI162" s="0" t="n">
        <f aca="false">(CG162-BZ162)/($CB162-$BU162)</f>
        <v>0.00700706748179919</v>
      </c>
      <c r="CJ162" s="0" t="n">
        <f aca="false">(CH162-CA162)/($CB162-$BU162)</f>
        <v>0.0108404654954286</v>
      </c>
      <c r="CK162" s="0" t="n">
        <f aca="false">IF(CI162&lt;&gt;CJ162,(CA162-BZ162)/(CI162-CJ162),0)</f>
        <v>4.86892838494131E-014</v>
      </c>
      <c r="CL162" s="6" t="str">
        <f aca="false">IF(AND(BU162&gt;0,CE162&gt;0,CE162&lt;$C$15,CF162&lt;$C$15,CG162&gt;0,ABS(CK162)&lt;0.1*BU162),B162,"")</f>
        <v/>
      </c>
      <c r="CM162" s="0" t="n">
        <f aca="false">CG162+BU162^2/$C$39</f>
        <v>-4.43105541122438E-005</v>
      </c>
      <c r="CN162" s="0" t="n">
        <f aca="false">-BU162*$C$15/$C$39</f>
        <v>0.00319247430391282</v>
      </c>
      <c r="CO162" s="0" t="n">
        <f aca="false">IF(CL162&lt;&gt;"",(-CM162+SQRT(CM162^2-4*$AC$60*CN162))/2/$AC$60,0)</f>
        <v>0</v>
      </c>
      <c r="CP162" s="0" t="n">
        <f aca="false">CO162*30/PI()</f>
        <v>0</v>
      </c>
      <c r="DB162" s="6"/>
    </row>
    <row r="163" customFormat="false" ht="12.75" hidden="false" customHeight="false" outlineLevel="0" collapsed="false">
      <c r="A163" s="0" t="n">
        <f aca="false">A162+0.01</f>
        <v>0.14</v>
      </c>
      <c r="B163" s="0" t="n">
        <f aca="false">A163*$AC$68</f>
        <v>0.275297820747106</v>
      </c>
      <c r="C163" s="0" t="n">
        <f aca="false">$C$39*($B163-$C$21)</f>
        <v>-16.3482130755174</v>
      </c>
      <c r="D163" s="0" t="n">
        <f aca="false">$C$39*($B163-$C$27)</f>
        <v>-10.3482130755174</v>
      </c>
      <c r="E163" s="0" t="n">
        <f aca="false">$AC$71</f>
        <v>0.0474257507541105</v>
      </c>
      <c r="F163" s="0" t="n">
        <f aca="false">-E163*$AC$51</f>
        <v>-4.96641300533647</v>
      </c>
      <c r="G163" s="0" t="n">
        <f aca="false">-E163*$AD$51</f>
        <v>-2.48320650266823</v>
      </c>
      <c r="H163" s="0" t="n">
        <f aca="false">(-F163+SQRT(F163^2-4*$C163))/2</f>
        <v>7.22815409040945</v>
      </c>
      <c r="I163" s="0" t="n">
        <f aca="false">(-G163+SQRT(G163^2-4*$D163))/2</f>
        <v>4.68976097818491</v>
      </c>
      <c r="J163" s="0" t="n">
        <f aca="false">IF(H163&lt;&gt;0,($C$21-$B163)*$E163/H163/$AC$51-$AC$60*$AC$51,0)</f>
        <v>0.000146215048822508</v>
      </c>
      <c r="K163" s="0" t="n">
        <f aca="false">IF(I163&lt;&gt;0,($C$27-$B163)*$E163/I163/$AD$51-$AC$60*$AD$51,0)</f>
        <v>0.000320852279764991</v>
      </c>
      <c r="L163" s="0" t="n">
        <f aca="false">E163*1.001</f>
        <v>0.0474731765048646</v>
      </c>
      <c r="M163" s="0" t="n">
        <f aca="false">-L163*$AC$51</f>
        <v>-4.97137941834181</v>
      </c>
      <c r="N163" s="0" t="n">
        <f aca="false">-L163*$AD$51</f>
        <v>-2.4856897091709</v>
      </c>
      <c r="O163" s="0" t="n">
        <f aca="false">(-M163+SQRT(M163^2-4*$C163))/2</f>
        <v>7.23193732236972</v>
      </c>
      <c r="P163" s="0" t="n">
        <f aca="false">(-N163+SQRT(N163^2-4*$D163))/2</f>
        <v>4.69144984908495</v>
      </c>
      <c r="Q163" s="0" t="n">
        <f aca="false">IF(O163&lt;&gt;0,($C$21-$B163)*$L163/O163/$AC$51-$AC$60*$AC$51,0)</f>
        <v>0.000146296369687457</v>
      </c>
      <c r="R163" s="0" t="n">
        <f aca="false">IF(P163&lt;&gt;0,($C$27-$B163)*$L163/P163/$AD$51-$AC$60*$AD$51,0)</f>
        <v>0.000321065349617434</v>
      </c>
      <c r="S163" s="0" t="n">
        <f aca="false">(Q163-J163)/($L163-$E163)</f>
        <v>0.0017146985267706</v>
      </c>
      <c r="T163" s="0" t="n">
        <f aca="false">(R163-K163)/($L163-$E163)</f>
        <v>0.00449270383821161</v>
      </c>
      <c r="U163" s="0" t="n">
        <f aca="false">IF(S163&lt;&gt;T163,(K163-J163)/(S163-T163),0)</f>
        <v>-0.0628642537950713</v>
      </c>
      <c r="V163" s="0" t="n">
        <f aca="false">E163+U163</f>
        <v>-0.0154385030409608</v>
      </c>
      <c r="W163" s="0" t="n">
        <f aca="false">-V163*$AC$51</f>
        <v>1.61671625786354</v>
      </c>
      <c r="X163" s="0" t="n">
        <f aca="false">-V163*$AD$51</f>
        <v>0.808358128931768</v>
      </c>
      <c r="Y163" s="0" t="n">
        <f aca="false">(-W163+SQRT(W163^2-4*$C163))/2</f>
        <v>3.31494830403285</v>
      </c>
      <c r="Z163" s="0" t="n">
        <f aca="false">(-X163+SQRT(X163^2-4*$D163))/2</f>
        <v>2.83797666770829</v>
      </c>
      <c r="AA163" s="0" t="n">
        <f aca="false">IF(Y163&lt;&gt;0,($C$21-$B163)*$V163/Y163/$AC$51-$AC$60*$AC$51,0)</f>
        <v>-0.000145678757169925</v>
      </c>
      <c r="AB163" s="0" t="n">
        <f aca="false">IF(Z163&lt;&gt;0,($C$27-$B163)*$V163/Z163/$AD$51-$AC$60*$AD$51,0)</f>
        <v>-0.000191440277462653</v>
      </c>
      <c r="AC163" s="0" t="n">
        <f aca="false">V163*1.001</f>
        <v>-0.0154539415440017</v>
      </c>
      <c r="AD163" s="0" t="n">
        <f aca="false">-AC163*$AC$51</f>
        <v>1.6183329741214</v>
      </c>
      <c r="AE163" s="0" t="n">
        <f aca="false">-AC163*$AD$51</f>
        <v>0.8091664870607</v>
      </c>
      <c r="AF163" s="0" t="n">
        <f aca="false">(-AD163+SQRT(AD163^2-4*$C163))/2</f>
        <v>3.31429849754867</v>
      </c>
      <c r="AG163" s="0" t="n">
        <f aca="false">(-AE163+SQRT(AE163^2-4*$D163))/2</f>
        <v>2.83762289989466</v>
      </c>
      <c r="AH163" s="0" t="n">
        <f aca="false">IF(AF163&lt;&gt;0,($C$21-$B163)*$AC163/AF163/$AC$51-$AC$60*$AC$51,0)</f>
        <v>-0.000145823715628102</v>
      </c>
      <c r="AI163" s="0" t="n">
        <f aca="false">IF(AG163&lt;&gt;0,($C$27-$B163)*$AC163/AG163/$AD$51-$AC$60*$AD$51,0)</f>
        <v>-0.000191641828618348</v>
      </c>
      <c r="AJ163" s="0" t="n">
        <f aca="false">(AH163-AA163)/($AC163-$V163)</f>
        <v>0.0093894115117146</v>
      </c>
      <c r="AK163" s="0" t="n">
        <f aca="false">(AI163-AB163)/($AC163-$V163)</f>
        <v>0.0130550970622186</v>
      </c>
      <c r="AL163" s="0" t="n">
        <f aca="false">IF(AJ163&lt;&gt;AK163,(AB163-AA163)/(AJ163-AK163),0)</f>
        <v>0.0124837549926878</v>
      </c>
      <c r="AM163" s="0" t="n">
        <f aca="false">V163+AL163</f>
        <v>-0.002954748048273</v>
      </c>
      <c r="AN163" s="0" t="n">
        <f aca="false">-AM163*$AC$51</f>
        <v>0.309420492055441</v>
      </c>
      <c r="AO163" s="0" t="n">
        <f aca="false">-AM163*$AD$51</f>
        <v>0.154710246027721</v>
      </c>
      <c r="AP163" s="0" t="n">
        <f aca="false">(-AN163+SQRT(AN163^2-4*$C163))/2</f>
        <v>3.891540899878</v>
      </c>
      <c r="AQ163" s="0" t="n">
        <f aca="false">(-AO163+SQRT(AO163^2-4*$D163))/2</f>
        <v>3.14043866941192</v>
      </c>
      <c r="AR163" s="0" t="n">
        <f aca="false">IF(AP163&lt;&gt;0,($C$21-$B163)*$AM163/AP163/$AC$51-$AC$60*$AC$51,0)</f>
        <v>-4.42576900730591E-005</v>
      </c>
      <c r="AS163" s="0" t="n">
        <f aca="false">IF(AQ163&lt;&gt;0,($C$27-$B163)*$AM163/AQ163/$AD$51-$AC$60*$AD$51,0)</f>
        <v>-4.32427829006995E-005</v>
      </c>
      <c r="AT163" s="0" t="n">
        <f aca="false">AM163*1.001</f>
        <v>-0.00295770279632127</v>
      </c>
      <c r="AU163" s="0" t="n">
        <f aca="false">-AT163*$AC$51</f>
        <v>0.309729912547497</v>
      </c>
      <c r="AV163" s="0" t="n">
        <f aca="false">-AT163*$AD$51</f>
        <v>0.154864956273748</v>
      </c>
      <c r="AW163" s="0" t="n">
        <f aca="false">(-AU163+SQRT(AU163^2-4*$C163))/2</f>
        <v>3.89139210800171</v>
      </c>
      <c r="AX163" s="0" t="n">
        <f aca="false">(-AV163+SQRT(AV163^2-4*$D163))/2</f>
        <v>3.14036317481994</v>
      </c>
      <c r="AY163" s="0" t="n">
        <f aca="false">IF(AW163&lt;&gt;0,($C$21-$B163)*$AT163/AW163/$AC$51-$AC$60*$AC$51,0)</f>
        <v>-4.42782017618756E-005</v>
      </c>
      <c r="AZ163" s="0" t="n">
        <f aca="false">IF(AX163&lt;&gt;0,($C$27-$B163)*$AT163/AX163/$AD$51-$AC$60*$AD$51,0)</f>
        <v>-4.32745204054864E-005</v>
      </c>
      <c r="BA163" s="0" t="n">
        <f aca="false">(AY163-AR163)/($AT163-$AM163)</f>
        <v>0.00694194174304048</v>
      </c>
      <c r="BB163" s="0" t="n">
        <f aca="false">(AZ163-AS163)/($AT163-$AM163)</f>
        <v>0.0107411881718389</v>
      </c>
      <c r="BC163" s="0" t="n">
        <f aca="false">IF(BA163&lt;&gt;BB163,(AS163-AR163)/(BA163-BB163),0)</f>
        <v>-0.000267133809659355</v>
      </c>
      <c r="BD163" s="0" t="n">
        <f aca="false">AM163+BC163</f>
        <v>-0.00322188185793236</v>
      </c>
      <c r="BE163" s="0" t="n">
        <f aca="false">-BD163*$AC$51</f>
        <v>0.337394679187151</v>
      </c>
      <c r="BF163" s="0" t="n">
        <f aca="false">-BD163*$AD$51</f>
        <v>0.168697339593575</v>
      </c>
      <c r="BG163" s="0" t="n">
        <f aca="false">(-BE163+SQRT(BE163^2-4*$C163))/2</f>
        <v>3.87811274588157</v>
      </c>
      <c r="BH163" s="0" t="n">
        <f aca="false">(-BF163+SQRT(BF163^2-4*$D163))/2</f>
        <v>3.13362084118585</v>
      </c>
      <c r="BI163" s="0" t="n">
        <f aca="false">IF(BG163&lt;&gt;0,($C$21-$B163)*$BD163/BG163/$AC$51-$AC$60*$AC$51,0)</f>
        <v>-4.61183457181928E-005</v>
      </c>
      <c r="BJ163" s="0" t="n">
        <f aca="false">IF(BH163&lt;&gt;0,($C$27-$B163)*$BD163/BH163/$AD$51-$AC$60*$AD$51,0)</f>
        <v>-4.61182168245631E-005</v>
      </c>
      <c r="BK163" s="0" t="n">
        <f aca="false">BD163*1.001</f>
        <v>-0.00322510373979029</v>
      </c>
      <c r="BL163" s="0" t="n">
        <f aca="false">-BK163*$AC$51</f>
        <v>0.337732073866338</v>
      </c>
      <c r="BM163" s="0" t="n">
        <f aca="false">-BK163*$AD$51</f>
        <v>0.168866036933169</v>
      </c>
      <c r="BN163" s="0" t="n">
        <f aca="false">(-BL163+SQRT(BL163^2-4*$C163))/2</f>
        <v>3.87795108445333</v>
      </c>
      <c r="BO163" s="0" t="n">
        <f aca="false">(-BM163+SQRT(BM163^2-4*$D163))/2</f>
        <v>3.13353870454851</v>
      </c>
      <c r="BP163" s="0" t="n">
        <f aca="false">IF(BN163&lt;&gt;0,($C$21-$B163)*$BK163/BN163/$AC$51-$AC$60*$AC$51,0)</f>
        <v>-4.61408639540365E-005</v>
      </c>
      <c r="BQ163" s="0" t="n">
        <f aca="false">IF(BO163&lt;&gt;0,($C$27-$B163)*$BK163/BO163/$AD$51-$AC$60*$AD$51,0)</f>
        <v>-4.61529725917306E-005</v>
      </c>
      <c r="BR163" s="0" t="n">
        <f aca="false">(BP163-BI163)/($BK163-$BD163)</f>
        <v>0.00698915628709727</v>
      </c>
      <c r="BS163" s="0" t="n">
        <f aca="false">(BQ163-BJ163)/($BK163-$BD163)</f>
        <v>0.0107874120467568</v>
      </c>
      <c r="BT163" s="0" t="n">
        <f aca="false">IF(BR163&lt;&gt;BS163,(BJ163-BI163)/(BR163-BS163),0)</f>
        <v>-3.39349527574217E-008</v>
      </c>
      <c r="BU163" s="0" t="n">
        <f aca="false">BD163+BT163</f>
        <v>-0.00322191579288511</v>
      </c>
      <c r="BV163" s="0" t="n">
        <f aca="false">-BU163*$AC$51</f>
        <v>0.337398232847093</v>
      </c>
      <c r="BW163" s="0" t="n">
        <f aca="false">-BU163*$AD$51</f>
        <v>0.168699116423547</v>
      </c>
      <c r="BX163" s="0" t="n">
        <f aca="false">(-BV163+SQRT(BV163^2-4*$C163))/2</f>
        <v>3.8781110431218</v>
      </c>
      <c r="BY163" s="0" t="n">
        <f aca="false">(-BW163+SQRT(BW163^2-4*$D163))/2</f>
        <v>3.13361997605792</v>
      </c>
      <c r="BZ163" s="0" t="n">
        <f aca="false">IF(BX163&lt;&gt;0,($C$21-$B163)*$BU163/BX163/$AC$51-$AC$60*$AC$51,0)</f>
        <v>-4.61185828853025E-005</v>
      </c>
      <c r="CA163" s="0" t="n">
        <f aca="false">IF(BY163&lt;&gt;0,($C$27-$B163)*$BU163/BY163/$AD$51-$AC$60*$AD$51,0)</f>
        <v>-4.61185828855115E-005</v>
      </c>
      <c r="CB163" s="0" t="n">
        <f aca="false">BU163*1.001</f>
        <v>-0.003225137708678</v>
      </c>
      <c r="CC163" s="0" t="n">
        <f aca="false">-CB163*$AC$51</f>
        <v>0.337735631079941</v>
      </c>
      <c r="CD163" s="0" t="n">
        <f aca="false">-CB163*$AD$51</f>
        <v>0.16886781553997</v>
      </c>
      <c r="CE163" s="0" t="n">
        <f aca="false">(-CC163+SQRT(CC163^2-4*$C163))/2</f>
        <v>3.87794938006482</v>
      </c>
      <c r="CF163" s="0" t="n">
        <f aca="false">(-CD163+SQRT(CD163^2-4*$D163))/2</f>
        <v>3.13353783857874</v>
      </c>
      <c r="CG163" s="0" t="n">
        <f aca="false">IF(CE163&lt;&gt;0,($C$21-$B163)*$CB163/CE163/$AC$51-$AC$60*$AC$51,0)</f>
        <v>-4.61411013776944E-005</v>
      </c>
      <c r="CH163" s="0" t="n">
        <f aca="false">IF(CF163&lt;&gt;0,($C$27-$B163)*$CB163/CF163/$AD$51-$AC$60*$AD$51,0)</f>
        <v>-4.61533390376981E-005</v>
      </c>
      <c r="CI163" s="0" t="n">
        <f aca="false">(CG163-BZ163)/($CB163-$BU163)</f>
        <v>0.00698916229955934</v>
      </c>
      <c r="CJ163" s="0" t="n">
        <f aca="false">(CH163-CA163)/($CB163-$BU163)</f>
        <v>0.0107874179279563</v>
      </c>
      <c r="CK163" s="0" t="n">
        <f aca="false">IF(CI163&lt;&gt;CJ163,(CA163-BZ163)/(CI163-CJ163),0)</f>
        <v>5.50485300148352E-014</v>
      </c>
      <c r="CL163" s="6" t="str">
        <f aca="false">IF(AND(BU163&gt;0,CE163&gt;0,CE163&lt;$C$15,CF163&lt;$C$15,CG163&gt;0,ABS(CK163)&lt;0.1*BU163),B163,"")</f>
        <v/>
      </c>
      <c r="CM163" s="0" t="n">
        <f aca="false">CG163+BU163^2/$C$39</f>
        <v>-4.4410977814954E-005</v>
      </c>
      <c r="CN163" s="0" t="n">
        <f aca="false">-BU163*$C$15/$C$39</f>
        <v>0.00322191579288511</v>
      </c>
      <c r="CO163" s="0" t="n">
        <f aca="false">IF(CL163&lt;&gt;"",(-CM163+SQRT(CM163^2-4*$AC$60*CN163))/2/$AC$60,0)</f>
        <v>0</v>
      </c>
      <c r="CP163" s="0" t="n">
        <f aca="false">CO163*30/PI()</f>
        <v>0</v>
      </c>
      <c r="DB163" s="6"/>
    </row>
    <row r="164" customFormat="false" ht="12.75" hidden="false" customHeight="false" outlineLevel="0" collapsed="false">
      <c r="A164" s="0" t="n">
        <f aca="false">A163+0.01</f>
        <v>0.15</v>
      </c>
      <c r="B164" s="0" t="n">
        <f aca="false">A164*$AC$68</f>
        <v>0.29496195080047</v>
      </c>
      <c r="C164" s="0" t="n">
        <f aca="false">$C$39*($B164-$C$21)</f>
        <v>-16.2302282951972</v>
      </c>
      <c r="D164" s="0" t="n">
        <f aca="false">$C$39*($B164-$C$27)</f>
        <v>-10.2302282951972</v>
      </c>
      <c r="E164" s="0" t="n">
        <f aca="false">$AC$71</f>
        <v>0.0474257507541105</v>
      </c>
      <c r="F164" s="0" t="n">
        <f aca="false">-E164*$AC$51</f>
        <v>-4.96641300533647</v>
      </c>
      <c r="G164" s="0" t="n">
        <f aca="false">-E164*$AD$51</f>
        <v>-2.48320650266823</v>
      </c>
      <c r="H164" s="0" t="n">
        <f aca="false">(-F164+SQRT(F164^2-4*$C164))/2</f>
        <v>7.21570508482238</v>
      </c>
      <c r="I164" s="0" t="n">
        <f aca="false">(-G164+SQRT(G164^2-4*$D164))/2</f>
        <v>4.67260994455415</v>
      </c>
      <c r="J164" s="0" t="n">
        <f aca="false">IF(H164&lt;&gt;0,($C$21-$B164)*$E164/H164/$AC$51-$AC$60*$AC$51,0)</f>
        <v>0.000145275392569756</v>
      </c>
      <c r="K164" s="0" t="n">
        <f aca="false">IF(I164&lt;&gt;0,($C$27-$B164)*$E164/I164/$AD$51-$AC$60*$AD$51,0)</f>
        <v>0.000318263145094019</v>
      </c>
      <c r="L164" s="0" t="n">
        <f aca="false">E164*1.001</f>
        <v>0.0474731765048646</v>
      </c>
      <c r="M164" s="0" t="n">
        <f aca="false">-L164*$AC$51</f>
        <v>-4.97137941834181</v>
      </c>
      <c r="N164" s="0" t="n">
        <f aca="false">-L164*$AD$51</f>
        <v>-2.4856897091709</v>
      </c>
      <c r="O164" s="0" t="n">
        <f aca="false">(-M164+SQRT(M164^2-4*$C164))/2</f>
        <v>7.2194917356054</v>
      </c>
      <c r="P164" s="0" t="n">
        <f aca="false">(-N164+SQRT(N164^2-4*$D164))/2</f>
        <v>4.67430105097886</v>
      </c>
      <c r="Q164" s="0" t="n">
        <f aca="false">IF(O164&lt;&gt;0,($C$21-$B164)*$L164/O164/$AC$51-$AC$60*$AC$51,0)</f>
        <v>0.000145356032090706</v>
      </c>
      <c r="R164" s="0" t="n">
        <f aca="false">IF(P164&lt;&gt;0,($C$27-$B164)*$L164/P164/$AD$51-$AC$60*$AD$51,0)</f>
        <v>0.00031847396362598</v>
      </c>
      <c r="S164" s="0" t="n">
        <f aca="false">(Q164-J164)/($L164-$E164)</f>
        <v>0.00170033198562983</v>
      </c>
      <c r="T164" s="0" t="n">
        <f aca="false">(R164-K164)/($L164-$E164)</f>
        <v>0.00444523341451641</v>
      </c>
      <c r="U164" s="0" t="n">
        <f aca="false">IF(S164&lt;&gt;T164,(K164-J164)/(S164-T164),0)</f>
        <v>-0.063021480736535</v>
      </c>
      <c r="V164" s="0" t="n">
        <f aca="false">E164+U164</f>
        <v>-0.0155957299824246</v>
      </c>
      <c r="W164" s="0" t="n">
        <f aca="false">-V164*$AC$51</f>
        <v>1.63318102467184</v>
      </c>
      <c r="X164" s="0" t="n">
        <f aca="false">-V164*$AD$51</f>
        <v>0.816590512335918</v>
      </c>
      <c r="Y164" s="0" t="n">
        <f aca="false">(-W164+SQRT(W164^2-4*$C164))/2</f>
        <v>3.29401143385569</v>
      </c>
      <c r="Z164" s="0" t="n">
        <f aca="false">(-X164+SQRT(X164^2-4*$D164))/2</f>
        <v>2.81613233821316</v>
      </c>
      <c r="AA164" s="0" t="n">
        <f aca="false">IF(Y164&lt;&gt;0,($C$21-$B164)*$V164/Y164/$AC$51-$AC$60*$AC$51,0)</f>
        <v>-0.000146801825779714</v>
      </c>
      <c r="AB164" s="0" t="n">
        <f aca="false">IF(Z164&lt;&gt;0,($C$27-$B164)*$V164/Z164/$AD$51-$AC$60*$AD$51,0)</f>
        <v>-0.000192589420179949</v>
      </c>
      <c r="AC164" s="0" t="n">
        <f aca="false">V164*1.001</f>
        <v>-0.015611325712407</v>
      </c>
      <c r="AD164" s="0" t="n">
        <f aca="false">-AC164*$AC$51</f>
        <v>1.63481420569651</v>
      </c>
      <c r="AE164" s="0" t="n">
        <f aca="false">-AC164*$AD$51</f>
        <v>0.817407102848254</v>
      </c>
      <c r="AF164" s="0" t="n">
        <f aca="false">(-AD164+SQRT(AD164^2-4*$C164))/2</f>
        <v>3.29335714081544</v>
      </c>
      <c r="AG164" s="0" t="n">
        <f aca="false">(-AE164+SQRT(AE164^2-4*$D164))/2</f>
        <v>2.81577576904668</v>
      </c>
      <c r="AH164" s="0" t="n">
        <f aca="false">IF(AF164&lt;&gt;0,($C$21-$B164)*$AC164/AF164/$AC$51-$AC$60*$AC$51,0)</f>
        <v>-0.000146948447115568</v>
      </c>
      <c r="AI164" s="0" t="n">
        <f aca="false">IF(AG164&lt;&gt;0,($C$27-$B164)*$AC164/AG164/$AD$51-$AC$60*$AD$51,0)</f>
        <v>-0.000192792618095089</v>
      </c>
      <c r="AJ164" s="0" t="n">
        <f aca="false">(AH164-AA164)/($AC164-$V164)</f>
        <v>0.00940137691655517</v>
      </c>
      <c r="AK164" s="0" t="n">
        <f aca="false">(AI164-AB164)/($AC164-$V164)</f>
        <v>0.0130290736867794</v>
      </c>
      <c r="AL164" s="0" t="n">
        <f aca="false">IF(AJ164&lt;&gt;AK164,(AB164-AA164)/(AJ164-AK164),0)</f>
        <v>0.0126216708011693</v>
      </c>
      <c r="AM164" s="0" t="n">
        <f aca="false">V164+AL164</f>
        <v>-0.00297405918125524</v>
      </c>
      <c r="AN164" s="0" t="n">
        <f aca="false">-AM164*$AC$51</f>
        <v>0.311442749172425</v>
      </c>
      <c r="AO164" s="0" t="n">
        <f aca="false">-AM164*$AD$51</f>
        <v>0.155721374586212</v>
      </c>
      <c r="AP164" s="0" t="n">
        <f aca="false">(-AN164+SQRT(AN164^2-4*$C164))/2</f>
        <v>3.87596281960611</v>
      </c>
      <c r="AQ164" s="0" t="n">
        <f aca="false">(-AO164+SQRT(AO164^2-4*$D164))/2</f>
        <v>3.12155966361781</v>
      </c>
      <c r="AR164" s="0" t="n">
        <f aca="false">IF(AP164&lt;&gt;0,($C$21-$B164)*$AM164/AP164/$AC$51-$AC$60*$AC$51,0)</f>
        <v>-4.43226404155756E-005</v>
      </c>
      <c r="AS164" s="0" t="n">
        <f aca="false">IF(AQ164&lt;&gt;0,($C$27-$B164)*$AM164/AQ164/$AD$51-$AC$60*$AD$51,0)</f>
        <v>-4.32761829487555E-005</v>
      </c>
      <c r="AT164" s="0" t="n">
        <f aca="false">AM164*1.001</f>
        <v>-0.0029770332404365</v>
      </c>
      <c r="AU164" s="0" t="n">
        <f aca="false">-AT164*$AC$51</f>
        <v>0.311754191921597</v>
      </c>
      <c r="AV164" s="0" t="n">
        <f aca="false">-AT164*$AD$51</f>
        <v>0.155877095960799</v>
      </c>
      <c r="AW164" s="0" t="n">
        <f aca="false">(-AU164+SQRT(AU164^2-4*$C164))/2</f>
        <v>3.87581311587869</v>
      </c>
      <c r="AX164" s="0" t="n">
        <f aca="false">(-AV164+SQRT(AV164^2-4*$D164))/2</f>
        <v>3.12148369868516</v>
      </c>
      <c r="AY164" s="0" t="n">
        <f aca="false">IF(AW164&lt;&gt;0,($C$21-$B164)*$AT164/AW164/$AC$51-$AC$60*$AC$51,0)</f>
        <v>-4.4343227257741E-005</v>
      </c>
      <c r="AZ164" s="0" t="n">
        <f aca="false">IF(AX164&lt;&gt;0,($C$27-$B164)*$AT164/AX164/$AD$51-$AC$60*$AD$51,0)</f>
        <v>-4.33079638523955E-005</v>
      </c>
      <c r="BA164" s="0" t="n">
        <f aca="false">(AY164-AR164)/($AT164-$AM164)</f>
        <v>0.00692213601369188</v>
      </c>
      <c r="BB164" s="0" t="n">
        <f aca="false">(AZ164-AS164)/($AT164-$AM164)</f>
        <v>0.0106860360548046</v>
      </c>
      <c r="BC164" s="0" t="n">
        <f aca="false">IF(BA164&lt;&gt;BB164,(AS164-AR164)/(BA164-BB164),0)</f>
        <v>-0.000278024776266568</v>
      </c>
      <c r="BD164" s="0" t="n">
        <f aca="false">AM164+BC164</f>
        <v>-0.00325208395752181</v>
      </c>
      <c r="BE164" s="0" t="n">
        <f aca="false">-BD164*$AC$51</f>
        <v>0.340557435660258</v>
      </c>
      <c r="BF164" s="0" t="n">
        <f aca="false">-BD164*$AD$51</f>
        <v>0.170278717830129</v>
      </c>
      <c r="BG164" s="0" t="n">
        <f aca="false">(-BE164+SQRT(BE164^2-4*$C164))/2</f>
        <v>3.86199398338231</v>
      </c>
      <c r="BH164" s="0" t="n">
        <f aca="false">(-BF164+SQRT(BF164^2-4*$D164))/2</f>
        <v>3.11446639892974</v>
      </c>
      <c r="BI164" s="0" t="n">
        <f aca="false">IF(BG164&lt;&gt;0,($C$21-$B164)*$BD164/BG164/$AC$51-$AC$60*$AC$51,0)</f>
        <v>-4.62539189212042E-005</v>
      </c>
      <c r="BJ164" s="0" t="n">
        <f aca="false">IF(BH164&lt;&gt;0,($C$27-$B164)*$BD164/BH164/$AD$51-$AC$60*$AD$51,0)</f>
        <v>-4.6253778202773E-005</v>
      </c>
      <c r="BK164" s="0" t="n">
        <f aca="false">BD164*1.001</f>
        <v>-0.00325533604147933</v>
      </c>
      <c r="BL164" s="0" t="n">
        <f aca="false">-BK164*$AC$51</f>
        <v>0.340897993095918</v>
      </c>
      <c r="BM164" s="0" t="n">
        <f aca="false">-BK164*$AD$51</f>
        <v>0.170448996547959</v>
      </c>
      <c r="BN164" s="0" t="n">
        <f aca="false">(-BL164+SQRT(BL164^2-4*$C164))/2</f>
        <v>3.86183089894806</v>
      </c>
      <c r="BO164" s="0" t="n">
        <f aca="false">(-BM164+SQRT(BM164^2-4*$D164))/2</f>
        <v>3.1143835262039</v>
      </c>
      <c r="BP164" s="0" t="n">
        <f aca="false">IF(BN164&lt;&gt;0,($C$21-$B164)*$BK164/BN164/$AC$51-$AC$60*$AC$51,0)</f>
        <v>-4.62765901995638E-005</v>
      </c>
      <c r="BQ164" s="0" t="n">
        <f aca="false">IF(BO164&lt;&gt;0,($C$27-$B164)*$BK164/BO164/$AD$51-$AC$60*$AD$51,0)</f>
        <v>-4.62886866202031E-005</v>
      </c>
      <c r="BR164" s="0" t="n">
        <f aca="false">(BP164-BI164)/($BK164-$BD164)</f>
        <v>0.00697130783084259</v>
      </c>
      <c r="BS164" s="0" t="n">
        <f aca="false">(BQ164-BJ164)/($BK164-$BD164)</f>
        <v>0.0107341685781029</v>
      </c>
      <c r="BT164" s="0" t="n">
        <f aca="false">IF(BR164&lt;&gt;BS164,(BJ164-BI164)/(BR164-BS164),0)</f>
        <v>-3.7396661920072E-008</v>
      </c>
      <c r="BU164" s="0" t="n">
        <f aca="false">BD164+BT164</f>
        <v>-0.00325212135418373</v>
      </c>
      <c r="BV164" s="0" t="n">
        <f aca="false">-BU164*$AC$51</f>
        <v>0.340561351829536</v>
      </c>
      <c r="BW164" s="0" t="n">
        <f aca="false">-BU164*$AD$51</f>
        <v>0.170280675914768</v>
      </c>
      <c r="BX164" s="0" t="n">
        <f aca="false">(-BV164+SQRT(BV164^2-4*$C164))/2</f>
        <v>3.86199210798604</v>
      </c>
      <c r="BY164" s="0" t="n">
        <f aca="false">(-BW164+SQRT(BW164^2-4*$D164))/2</f>
        <v>3.11446544593923</v>
      </c>
      <c r="BZ164" s="0" t="n">
        <f aca="false">IF(BX164&lt;&gt;0,($C$21-$B164)*$BU164/BX164/$AC$51-$AC$60*$AC$51,0)</f>
        <v>-4.62541796141936E-005</v>
      </c>
      <c r="CA164" s="0" t="n">
        <f aca="false">IF(BY164&lt;&gt;0,($C$27-$B164)*$BU164/BY164/$AD$51-$AC$60*$AD$51,0)</f>
        <v>-4.62541796144281E-005</v>
      </c>
      <c r="CB164" s="0" t="n">
        <f aca="false">BU164*1.001</f>
        <v>-0.00325537347553791</v>
      </c>
      <c r="CC164" s="0" t="n">
        <f aca="false">-CB164*$AC$51</f>
        <v>0.340901913181366</v>
      </c>
      <c r="CD164" s="0" t="n">
        <f aca="false">-CB164*$AD$51</f>
        <v>0.170450956590683</v>
      </c>
      <c r="CE164" s="0" t="n">
        <f aca="false">(-CC164+SQRT(CC164^2-4*$C164))/2</f>
        <v>3.86182902175902</v>
      </c>
      <c r="CF164" s="0" t="n">
        <f aca="false">(-CD164+SQRT(CD164^2-4*$D164))/2</f>
        <v>3.11438257228646</v>
      </c>
      <c r="CG164" s="0" t="n">
        <f aca="false">IF(CE164&lt;&gt;0,($C$21-$B164)*$CB164/CE164/$AC$51-$AC$60*$AC$51,0)</f>
        <v>-4.62768511748213E-005</v>
      </c>
      <c r="CH164" s="0" t="n">
        <f aca="false">IF(CF164&lt;&gt;0,($C$27-$B164)*$CB164/CF164/$AD$51-$AC$60*$AD$51,0)</f>
        <v>-4.628908845437E-005</v>
      </c>
      <c r="CI164" s="0" t="n">
        <f aca="false">(CG164-BZ164)/($CB164-$BU164)</f>
        <v>0.00697131446169683</v>
      </c>
      <c r="CJ164" s="0" t="n">
        <f aca="false">(CH164-CA164)/($CB164-$BU164)</f>
        <v>0.0107341750629666</v>
      </c>
      <c r="CK164" s="0" t="n">
        <f aca="false">IF(CI164&lt;&gt;CJ164,(CA164-BZ164)/(CI164-CJ164),0)</f>
        <v>6.2317642338053E-014</v>
      </c>
      <c r="CL164" s="6" t="str">
        <f aca="false">IF(AND(BU164&gt;0,CE164&gt;0,CE164&lt;$C$15,CF164&lt;$C$15,CG164&gt;0,ABS(CK164)&lt;0.1*BU164),B164,"")</f>
        <v/>
      </c>
      <c r="CM164" s="0" t="n">
        <f aca="false">CG164+BU164^2/$C$39</f>
        <v>-4.45141356244316E-005</v>
      </c>
      <c r="CN164" s="0" t="n">
        <f aca="false">-BU164*$C$15/$C$39</f>
        <v>0.00325212135418373</v>
      </c>
      <c r="CO164" s="0" t="n">
        <f aca="false">IF(CL164&lt;&gt;"",(-CM164+SQRT(CM164^2-4*$AC$60*CN164))/2/$AC$60,0)</f>
        <v>0</v>
      </c>
      <c r="CP164" s="0" t="n">
        <f aca="false">CO164*30/PI()</f>
        <v>0</v>
      </c>
      <c r="DB164" s="6"/>
    </row>
    <row r="165" customFormat="false" ht="12.75" hidden="false" customHeight="false" outlineLevel="0" collapsed="false">
      <c r="A165" s="0" t="n">
        <f aca="false">A164+0.01</f>
        <v>0.16</v>
      </c>
      <c r="B165" s="0" t="n">
        <f aca="false">A165*$AC$68</f>
        <v>0.314626080853835</v>
      </c>
      <c r="C165" s="0" t="n">
        <f aca="false">$C$39*($B165-$C$21)</f>
        <v>-16.112243514877</v>
      </c>
      <c r="D165" s="0" t="n">
        <f aca="false">$C$39*($B165-$C$27)</f>
        <v>-10.112243514877</v>
      </c>
      <c r="E165" s="0" t="n">
        <f aca="false">$AC$71</f>
        <v>0.0474257507541105</v>
      </c>
      <c r="F165" s="0" t="n">
        <f aca="false">-E165*$AC$51</f>
        <v>-4.96641300533647</v>
      </c>
      <c r="G165" s="0" t="n">
        <f aca="false">-E165*$AD$51</f>
        <v>-2.48320650266823</v>
      </c>
      <c r="H165" s="0" t="n">
        <f aca="false">(-F165+SQRT(F165^2-4*$C165))/2</f>
        <v>7.20322324519901</v>
      </c>
      <c r="I165" s="0" t="n">
        <f aca="false">(-G165+SQRT(G165^2-4*$D165))/2</f>
        <v>4.65537274393324</v>
      </c>
      <c r="J165" s="0" t="n">
        <f aca="false">IF(H165&lt;&gt;0,($C$21-$B165)*$E165/H165/$AC$51-$AC$60*$AC$51,0)</f>
        <v>0.000144333257989937</v>
      </c>
      <c r="K165" s="0" t="n">
        <f aca="false">IF(I165&lt;&gt;0,($C$27-$B165)*$E165/I165/$AD$51-$AC$60*$AD$51,0)</f>
        <v>0.000315661002580693</v>
      </c>
      <c r="L165" s="0" t="n">
        <f aca="false">E165*1.001</f>
        <v>0.0474731765048646</v>
      </c>
      <c r="M165" s="0" t="n">
        <f aca="false">-L165*$AC$51</f>
        <v>-4.97137941834181</v>
      </c>
      <c r="N165" s="0" t="n">
        <f aca="false">-L165*$AD$51</f>
        <v>-2.4856897091709</v>
      </c>
      <c r="O165" s="0" t="n">
        <f aca="false">(-M165+SQRT(M165^2-4*$C165))/2</f>
        <v>7.20701334192</v>
      </c>
      <c r="P165" s="0" t="n">
        <f aca="false">(-N165+SQRT(N165^2-4*$D165))/2</f>
        <v>4.6570661197419</v>
      </c>
      <c r="Q165" s="0" t="n">
        <f aca="false">IF(O165&lt;&gt;0,($C$21-$B165)*$L165/O165/$AC$51-$AC$60*$AC$51,0)</f>
        <v>0.000144413215737276</v>
      </c>
      <c r="R165" s="0" t="n">
        <f aca="false">IF(P165&lt;&gt;0,($C$27-$B165)*$L165/P165/$AD$51-$AC$60*$AD$51,0)</f>
        <v>0.000315869561900867</v>
      </c>
      <c r="S165" s="0" t="n">
        <f aca="false">(Q165-J165)/($L165-$E165)</f>
        <v>0.00168595638588498</v>
      </c>
      <c r="T165" s="0" t="n">
        <f aca="false">(R165-K165)/($L165-$E165)</f>
        <v>0.00439759659799302</v>
      </c>
      <c r="U165" s="0" t="n">
        <f aca="false">IF(S165&lt;&gt;T165,(K165-J165)/(S165-T165),0)</f>
        <v>-0.0631823292137881</v>
      </c>
      <c r="V165" s="0" t="n">
        <f aca="false">E165+U165</f>
        <v>-0.0157565784596776</v>
      </c>
      <c r="W165" s="0" t="n">
        <f aca="false">-V165*$AC$51</f>
        <v>1.65002503782115</v>
      </c>
      <c r="X165" s="0" t="n">
        <f aca="false">-V165*$AD$51</f>
        <v>0.825012518910573</v>
      </c>
      <c r="Y165" s="0" t="n">
        <f aca="false">(-W165+SQRT(W165^2-4*$C165))/2</f>
        <v>3.27290026337703</v>
      </c>
      <c r="Z165" s="0" t="n">
        <f aca="false">(-X165+SQRT(X165^2-4*$D165))/2</f>
        <v>2.79411266535739</v>
      </c>
      <c r="AA165" s="0" t="n">
        <f aca="false">IF(Y165&lt;&gt;0,($C$21-$B165)*$V165/Y165/$AC$51-$AC$60*$AC$51,0)</f>
        <v>-0.000147956169586825</v>
      </c>
      <c r="AB165" s="0" t="n">
        <f aca="false">IF(Z165&lt;&gt;0,($C$27-$B165)*$V165/Z165/$AD$51-$AC$60*$AD$51,0)</f>
        <v>-0.000193767374434277</v>
      </c>
      <c r="AC165" s="0" t="n">
        <f aca="false">V165*1.001</f>
        <v>-0.0157723350381373</v>
      </c>
      <c r="AD165" s="0" t="n">
        <f aca="false">-AC165*$AC$51</f>
        <v>1.65167506285897</v>
      </c>
      <c r="AE165" s="0" t="n">
        <f aca="false">-AC165*$AD$51</f>
        <v>0.825837531429484</v>
      </c>
      <c r="AF165" s="0" t="n">
        <f aca="false">(-AD165+SQRT(AD165^2-4*$C165))/2</f>
        <v>3.27224142622794</v>
      </c>
      <c r="AG165" s="0" t="n">
        <f aca="false">(-AE165+SQRT(AE165^2-4*$D165))/2</f>
        <v>2.79375325087136</v>
      </c>
      <c r="AH165" s="0" t="n">
        <f aca="false">IF(AF165&lt;&gt;0,($C$21-$B165)*$AC165/AF165/$AC$51-$AC$60*$AC$51,0)</f>
        <v>-0.000148104504868485</v>
      </c>
      <c r="AI165" s="0" t="n">
        <f aca="false">IF(AG165&lt;&gt;0,($C$27-$B165)*$AC165/AG165/$AD$51-$AC$60*$AD$51,0)</f>
        <v>-0.000193972266045592</v>
      </c>
      <c r="AJ165" s="0" t="n">
        <f aca="false">(AH165-AA165)/($AC165-$V165)</f>
        <v>0.00941418100633246</v>
      </c>
      <c r="AK165" s="0" t="n">
        <f aca="false">(AI165-AB165)/($AC165-$V165)</f>
        <v>0.0130035598680058</v>
      </c>
      <c r="AL165" s="0" t="n">
        <f aca="false">IF(AJ165&lt;&gt;AK165,(AB165-AA165)/(AJ165-AK165),0)</f>
        <v>0.0127629895346561</v>
      </c>
      <c r="AM165" s="0" t="n">
        <f aca="false">V165+AL165</f>
        <v>-0.00299358892502156</v>
      </c>
      <c r="AN165" s="0" t="n">
        <f aca="false">-AM165*$AC$51</f>
        <v>0.313487899157183</v>
      </c>
      <c r="AO165" s="0" t="n">
        <f aca="false">-AM165*$AD$51</f>
        <v>0.156743949578592</v>
      </c>
      <c r="AP165" s="0" t="n">
        <f aca="false">(-AN165+SQRT(AN165^2-4*$C165))/2</f>
        <v>3.86032117070593</v>
      </c>
      <c r="AQ165" s="0" t="n">
        <f aca="false">(-AO165+SQRT(AO165^2-4*$D165))/2</f>
        <v>3.10256903084243</v>
      </c>
      <c r="AR165" s="0" t="n">
        <f aca="false">IF(AP165&lt;&gt;0,($C$21-$B165)*$AM165/AP165/$AC$51-$AC$60*$AC$51,0)</f>
        <v>-4.43880159014533E-005</v>
      </c>
      <c r="AS165" s="0" t="n">
        <f aca="false">IF(AQ165&lt;&gt;0,($C$27-$B165)*$AM165/AQ165/$AD$51-$AC$60*$AD$51,0)</f>
        <v>-4.33086998319718E-005</v>
      </c>
      <c r="AT165" s="0" t="n">
        <f aca="false">AM165*1.001</f>
        <v>-0.00299658251394658</v>
      </c>
      <c r="AU165" s="0" t="n">
        <f aca="false">-AT165*$AC$51</f>
        <v>0.31380138705634</v>
      </c>
      <c r="AV165" s="0" t="n">
        <f aca="false">-AT165*$AD$51</f>
        <v>0.15690069352817</v>
      </c>
      <c r="AW165" s="0" t="n">
        <f aca="false">(-AU165+SQRT(AU165^2-4*$C165))/2</f>
        <v>3.86017054588327</v>
      </c>
      <c r="AX165" s="0" t="n">
        <f aca="false">(-AV165+SQRT(AV165^2-4*$D165))/2</f>
        <v>3.10249259076001</v>
      </c>
      <c r="AY165" s="0" t="n">
        <f aca="false">IF(AW165&lt;&gt;0,($C$21-$B165)*$AT165/AW165/$AC$51-$AC$60*$AC$51,0)</f>
        <v>-4.44086785122457E-005</v>
      </c>
      <c r="AZ165" s="0" t="n">
        <f aca="false">IF(AX165&lt;&gt;0,($C$27-$B165)*$AT165/AX165/$AD$51-$AC$60*$AD$51,0)</f>
        <v>-4.33405234370915E-005</v>
      </c>
      <c r="BA165" s="0" t="n">
        <f aca="false">(AY165-AR165)/($AT165-$AM165)</f>
        <v>0.00690228729127082</v>
      </c>
      <c r="BB165" s="0" t="n">
        <f aca="false">(AZ165-AS165)/($AT165-$AM165)</f>
        <v>0.0106305862016461</v>
      </c>
      <c r="BC165" s="0" t="n">
        <f aca="false">IF(BA165&lt;&gt;BB165,(AS165-AR165)/(BA165-BB165),0)</f>
        <v>-0.000289492901569098</v>
      </c>
      <c r="BD165" s="0" t="n">
        <f aca="false">AM165+BC165</f>
        <v>-0.00328308182659066</v>
      </c>
      <c r="BE165" s="0" t="n">
        <f aca="false">-BD165*$AC$51</f>
        <v>0.343803524918379</v>
      </c>
      <c r="BF165" s="0" t="n">
        <f aca="false">-BD165*$AD$51</f>
        <v>0.171901762459189</v>
      </c>
      <c r="BG165" s="0" t="n">
        <f aca="false">(-BE165+SQRT(BE165^2-4*$C165))/2</f>
        <v>3.84578335845479</v>
      </c>
      <c r="BH165" s="0" t="n">
        <f aca="false">(-BF165+SQRT(BF165^2-4*$D165))/2</f>
        <v>3.09518587610435</v>
      </c>
      <c r="BI165" s="0" t="n">
        <f aca="false">IF(BG165&lt;&gt;0,($C$21-$B165)*$BD165/BG165/$AC$51-$AC$60*$AC$51,0)</f>
        <v>-4.63935081628202E-005</v>
      </c>
      <c r="BJ165" s="0" t="n">
        <f aca="false">IF(BH165&lt;&gt;0,($C$27-$B165)*$BD165/BH165/$AD$51-$AC$60*$AD$51,0)</f>
        <v>-4.6393354392684E-005</v>
      </c>
      <c r="BK165" s="0" t="n">
        <f aca="false">BD165*1.001</f>
        <v>-0.00328636490841725</v>
      </c>
      <c r="BL165" s="0" t="n">
        <f aca="false">-BK165*$AC$51</f>
        <v>0.344147328443297</v>
      </c>
      <c r="BM165" s="0" t="n">
        <f aca="false">-BK165*$AD$51</f>
        <v>0.172073664221649</v>
      </c>
      <c r="BN165" s="0" t="n">
        <f aca="false">(-BL165+SQRT(BL165^2-4*$C165))/2</f>
        <v>3.84561881539842</v>
      </c>
      <c r="BO165" s="0" t="n">
        <f aca="false">(-BM165+SQRT(BM165^2-4*$D165))/2</f>
        <v>3.09510224868345</v>
      </c>
      <c r="BP165" s="0" t="n">
        <f aca="false">IF(BN165&lt;&gt;0,($C$21-$B165)*$BK165/BN165/$AC$51-$AC$60*$AC$51,0)</f>
        <v>-4.64163371439337E-005</v>
      </c>
      <c r="BQ165" s="0" t="n">
        <f aca="false">IF(BO165&lt;&gt;0,($C$27-$B165)*$BK165/BO165/$AD$51-$AC$60*$AD$51,0)</f>
        <v>-4.64284201028673E-005</v>
      </c>
      <c r="BR165" s="0" t="n">
        <f aca="false">(BP165-BI165)/($BK165-$BD165)</f>
        <v>0.00695352181861812</v>
      </c>
      <c r="BS165" s="0" t="n">
        <f aca="false">(BQ165-BJ165)/($BK165-$BD165)</f>
        <v>0.0106807298859434</v>
      </c>
      <c r="BT165" s="0" t="n">
        <f aca="false">IF(BR165&lt;&gt;BS165,(BJ165-BI165)/(BR165-BS165),0)</f>
        <v>-4.12561180898332E-008</v>
      </c>
      <c r="BU165" s="0" t="n">
        <f aca="false">BD165+BT165</f>
        <v>-0.00328312308270875</v>
      </c>
      <c r="BV165" s="0" t="n">
        <f aca="false">-BU165*$AC$51</f>
        <v>0.343807845248963</v>
      </c>
      <c r="BW165" s="0" t="n">
        <f aca="false">-BU165*$AD$51</f>
        <v>0.171903922624481</v>
      </c>
      <c r="BX165" s="0" t="n">
        <f aca="false">(-BV165+SQRT(BV165^2-4*$C165))/2</f>
        <v>3.84578129071549</v>
      </c>
      <c r="BY165" s="0" t="n">
        <f aca="false">(-BW165+SQRT(BW165^2-4*$D165))/2</f>
        <v>3.09518482520456</v>
      </c>
      <c r="BZ165" s="0" t="n">
        <f aca="false">IF(BX165&lt;&gt;0,($C$21-$B165)*$BU165/BX165/$AC$51-$AC$60*$AC$51,0)</f>
        <v>-4.63937950262769E-005</v>
      </c>
      <c r="CA165" s="0" t="n">
        <f aca="false">IF(BY165&lt;&gt;0,($C$27-$B165)*$BU165/BY165/$AD$51-$AC$60*$AD$51,0)</f>
        <v>-4.63937950265403E-005</v>
      </c>
      <c r="CB165" s="0" t="n">
        <f aca="false">BU165*1.001</f>
        <v>-0.00328640620579146</v>
      </c>
      <c r="CC165" s="0" t="n">
        <f aca="false">-CB165*$AC$51</f>
        <v>0.344151653094211</v>
      </c>
      <c r="CD165" s="0" t="n">
        <f aca="false">-CB165*$AD$51</f>
        <v>0.172075826547106</v>
      </c>
      <c r="CE165" s="0" t="n">
        <f aca="false">(-CC165+SQRT(CC165^2-4*$C165))/2</f>
        <v>3.84561674568373</v>
      </c>
      <c r="CF165" s="0" t="n">
        <f aca="false">(-CD165+SQRT(CD165^2-4*$D165))/2</f>
        <v>3.09510119676195</v>
      </c>
      <c r="CG165" s="0" t="n">
        <f aca="false">IF(CE165&lt;&gt;0,($C$21-$B165)*$CB165/CE165/$AC$51-$AC$60*$AC$51,0)</f>
        <v>-4.64166243183013E-005</v>
      </c>
      <c r="CH165" s="0" t="n">
        <f aca="false">IF(CF165&lt;&gt;0,($C$27-$B165)*$CB165/CF165/$AD$51-$AC$60*$AD$51,0)</f>
        <v>-4.64288612008707E-005</v>
      </c>
      <c r="CI165" s="0" t="n">
        <f aca="false">(CG165-BZ165)/($CB165-$BU165)</f>
        <v>0.00695352913955204</v>
      </c>
      <c r="CJ165" s="0" t="n">
        <f aca="false">(CH165-CA165)/($CB165-$BU165)</f>
        <v>0.0106807370442868</v>
      </c>
      <c r="CK165" s="0" t="n">
        <f aca="false">IF(CI165&lt;&gt;CJ165,(CA165-BZ165)/(CI165-CJ165),0)</f>
        <v>7.06622874868059E-014</v>
      </c>
      <c r="CL165" s="6" t="str">
        <f aca="false">IF(AND(BU165&gt;0,CE165&gt;0,CE165&lt;$C$15,CF165&lt;$C$15,CG165&gt;0,ABS(CK165)&lt;0.1*BU165),B165,"")</f>
        <v/>
      </c>
      <c r="CM165" s="0" t="n">
        <f aca="false">CG165+BU165^2/$C$39</f>
        <v>-4.46201414555988E-005</v>
      </c>
      <c r="CN165" s="0" t="n">
        <f aca="false">-BU165*$C$15/$C$39</f>
        <v>0.00328312308270875</v>
      </c>
      <c r="CO165" s="0" t="n">
        <f aca="false">IF(CL165&lt;&gt;"",(-CM165+SQRT(CM165^2-4*$AC$60*CN165))/2/$AC$60,0)</f>
        <v>0</v>
      </c>
      <c r="CP165" s="0" t="n">
        <f aca="false">CO165*30/PI()</f>
        <v>0</v>
      </c>
      <c r="DB165" s="6"/>
    </row>
    <row r="166" customFormat="false" ht="12.75" hidden="false" customHeight="false" outlineLevel="0" collapsed="false">
      <c r="A166" s="0" t="n">
        <f aca="false">A165+0.01</f>
        <v>0.17</v>
      </c>
      <c r="B166" s="0" t="n">
        <f aca="false">A166*$AC$68</f>
        <v>0.3342902109072</v>
      </c>
      <c r="C166" s="0" t="n">
        <f aca="false">$C$39*($B166-$C$21)</f>
        <v>-15.9942587345568</v>
      </c>
      <c r="D166" s="0" t="n">
        <f aca="false">$C$39*($B166-$C$27)</f>
        <v>-9.9942587345568</v>
      </c>
      <c r="E166" s="0" t="n">
        <f aca="false">$AC$71</f>
        <v>0.0474257507541105</v>
      </c>
      <c r="F166" s="0" t="n">
        <f aca="false">-E166*$AC$51</f>
        <v>-4.96641300533647</v>
      </c>
      <c r="G166" s="0" t="n">
        <f aca="false">-E166*$AD$51</f>
        <v>-2.48320650266823</v>
      </c>
      <c r="H166" s="0" t="n">
        <f aca="false">(-F166+SQRT(F166^2-4*$C166))/2</f>
        <v>7.19070831036312</v>
      </c>
      <c r="I166" s="0" t="n">
        <f aca="false">(-G166+SQRT(G166^2-4*$D166))/2</f>
        <v>4.6380480644115</v>
      </c>
      <c r="J166" s="0" t="n">
        <f aca="false">IF(H166&lt;&gt;0,($C$21-$B166)*$E166/H166/$AC$51-$AC$60*$AC$51,0)</f>
        <v>0.000143388625369357</v>
      </c>
      <c r="K166" s="0" t="n">
        <f aca="false">IF(I166&lt;&gt;0,($C$27-$B166)*$E166/I166/$AD$51-$AC$60*$AD$51,0)</f>
        <v>0.000313045654177857</v>
      </c>
      <c r="L166" s="0" t="n">
        <f aca="false">E166*1.001</f>
        <v>0.0474731765048646</v>
      </c>
      <c r="M166" s="0" t="n">
        <f aca="false">-L166*$AC$51</f>
        <v>-4.97137941834181</v>
      </c>
      <c r="N166" s="0" t="n">
        <f aca="false">-L166*$AD$51</f>
        <v>-2.4856897091709</v>
      </c>
      <c r="O166" s="0" t="n">
        <f aca="false">(-M166+SQRT(M166^2-4*$C166))/2</f>
        <v>7.19450188049765</v>
      </c>
      <c r="P166" s="0" t="n">
        <f aca="false">(-N166+SQRT(N166^2-4*$D166))/2</f>
        <v>4.63974374432685</v>
      </c>
      <c r="Q166" s="0" t="n">
        <f aca="false">IF(O166&lt;&gt;0,($C$21-$B166)*$L166/O166/$AC$51-$AC$60*$AC$51,0)</f>
        <v>0.000143467900920986</v>
      </c>
      <c r="R166" s="0" t="n">
        <f aca="false">IF(P166&lt;&gt;0,($C$27-$B166)*$L166/P166/$AD$51-$AC$60*$AD$51,0)</f>
        <v>0.000313251946327369</v>
      </c>
      <c r="S166" s="0" t="n">
        <f aca="false">(Q166-J166)/($L166-$E166)</f>
        <v>0.00167157188592193</v>
      </c>
      <c r="T166" s="0" t="n">
        <f aca="false">(R166-K166)/($L166-$E166)</f>
        <v>0.00434979196387832</v>
      </c>
      <c r="U166" s="0" t="n">
        <f aca="false">IF(S166&lt;&gt;T166,(K166-J166)/(S166-T166),0)</f>
        <v>-0.0633469333625327</v>
      </c>
      <c r="V166" s="0" t="n">
        <f aca="false">E166+U166</f>
        <v>-0.0159211826084222</v>
      </c>
      <c r="W166" s="0" t="n">
        <f aca="false">-V166*$AC$51</f>
        <v>1.66726234396936</v>
      </c>
      <c r="X166" s="0" t="n">
        <f aca="false">-V166*$AD$51</f>
        <v>0.833631171984678</v>
      </c>
      <c r="Y166" s="0" t="n">
        <f aca="false">(-W166+SQRT(W166^2-4*$C166))/2</f>
        <v>3.25161051798439</v>
      </c>
      <c r="Z166" s="0" t="n">
        <f aca="false">(-X166+SQRT(X166^2-4*$D166))/2</f>
        <v>2.77191362284352</v>
      </c>
      <c r="AA166" s="0" t="n">
        <f aca="false">IF(Y166&lt;&gt;0,($C$21-$B166)*$V166/Y166/$AC$51-$AC$60*$AC$51,0)</f>
        <v>-0.00014914316991684</v>
      </c>
      <c r="AB166" s="0" t="n">
        <f aca="false">IF(Z166&lt;&gt;0,($C$27-$B166)*$V166/Z166/$AD$51-$AC$60*$AD$51,0)</f>
        <v>-0.000194975383243308</v>
      </c>
      <c r="AC166" s="0" t="n">
        <f aca="false">V166*1.001</f>
        <v>-0.0159371037910306</v>
      </c>
      <c r="AD166" s="0" t="n">
        <f aca="false">-AC166*$AC$51</f>
        <v>1.66892960631333</v>
      </c>
      <c r="AE166" s="0" t="n">
        <f aca="false">-AC166*$AD$51</f>
        <v>0.834464803156663</v>
      </c>
      <c r="AF166" s="0" t="n">
        <f aca="false">(-AD166+SQRT(AD166^2-4*$C166))/2</f>
        <v>3.25094707843668</v>
      </c>
      <c r="AG166" s="0" t="n">
        <f aca="false">(-AE166+SQRT(AE166^2-4*$D166))/2</f>
        <v>2.77155131819377</v>
      </c>
      <c r="AH166" s="0" t="n">
        <f aca="false">IF(AF166&lt;&gt;0,($C$21-$B166)*$AC166/AF166/$AC$51-$AC$60*$AC$51,0)</f>
        <v>-0.000149293272606071</v>
      </c>
      <c r="AI166" s="0" t="n">
        <f aca="false">IF(AG166&lt;&gt;0,($C$27-$B166)*$AC166/AG166/$AD$51-$AC$60*$AD$51,0)</f>
        <v>-0.000195182017660764</v>
      </c>
      <c r="AJ166" s="0" t="n">
        <f aca="false">(AH166-AA166)/($AC166-$V166)</f>
        <v>0.00942786053793792</v>
      </c>
      <c r="AK166" s="0" t="n">
        <f aca="false">(AI166-AB166)/($AC166-$V166)</f>
        <v>0.0129785847281436</v>
      </c>
      <c r="AL166" s="0" t="n">
        <f aca="false">IF(AJ166&lt;&gt;AK166,(AB166-AA166)/(AJ166-AK166),0)</f>
        <v>0.0129078494614963</v>
      </c>
      <c r="AM166" s="0" t="n">
        <f aca="false">V166+AL166</f>
        <v>-0.00301333314692589</v>
      </c>
      <c r="AN166" s="0" t="n">
        <f aca="false">-AM166*$AC$51</f>
        <v>0.315555509240033</v>
      </c>
      <c r="AO166" s="0" t="n">
        <f aca="false">-AM166*$AD$51</f>
        <v>0.157777754620017</v>
      </c>
      <c r="AP166" s="0" t="n">
        <f aca="false">(-AN166+SQRT(AN166^2-4*$C166))/2</f>
        <v>3.84461559866371</v>
      </c>
      <c r="AQ166" s="0" t="n">
        <f aca="false">(-AO166+SQRT(AO166^2-4*$D166))/2</f>
        <v>3.08346502279669</v>
      </c>
      <c r="AR166" s="0" t="n">
        <f aca="false">IF(AP166&lt;&gt;0,($C$21-$B166)*$AM166/AP166/$AC$51-$AC$60*$AC$51,0)</f>
        <v>-4.44537674074383E-005</v>
      </c>
      <c r="AS166" s="0" t="n">
        <f aca="false">IF(AQ166&lt;&gt;0,($C$27-$B166)*$AM166/AQ166/$AD$51-$AC$60*$AD$51,0)</f>
        <v>-4.33402158754194E-005</v>
      </c>
      <c r="AT166" s="0" t="n">
        <f aca="false">AM166*1.001</f>
        <v>-0.00301634648007282</v>
      </c>
      <c r="AU166" s="0" t="n">
        <f aca="false">-AT166*$AC$51</f>
        <v>0.315871064749273</v>
      </c>
      <c r="AV166" s="0" t="n">
        <f aca="false">-AT166*$AD$51</f>
        <v>0.157935532374637</v>
      </c>
      <c r="AW166" s="0" t="n">
        <f aca="false">(-AU166+SQRT(AU166^2-4*$C166))/2</f>
        <v>3.84446404374758</v>
      </c>
      <c r="AX166" s="0" t="n">
        <f aca="false">(-AV166+SQRT(AV166^2-4*$D166))/2</f>
        <v>3.08338810288457</v>
      </c>
      <c r="AY166" s="0" t="n">
        <f aca="false">IF(AW166&lt;&gt;0,($C$21-$B166)*$AT166/AW166/$AC$51-$AC$60*$AC$51,0)</f>
        <v>-4.4474506353484E-005</v>
      </c>
      <c r="AZ166" s="0" t="n">
        <f aca="false">IF(AX166&lt;&gt;0,($C$27-$B166)*$AT166/AX166/$AD$51-$AC$60*$AD$51,0)</f>
        <v>-4.33720813674513E-005</v>
      </c>
      <c r="BA166" s="0" t="n">
        <f aca="false">(AY166-AR166)/($AT166-$AM166)</f>
        <v>0.00688239402499089</v>
      </c>
      <c r="BB166" s="0" t="n">
        <f aca="false">(AZ166-AS166)/($AT166-$AM166)</f>
        <v>0.0105748320806824</v>
      </c>
      <c r="BC166" s="0" t="n">
        <f aca="false">IF(BA166&lt;&gt;BB166,(AS166-AR166)/(BA166-BB166),0)</f>
        <v>-0.000301576225578779</v>
      </c>
      <c r="BD166" s="0" t="n">
        <f aca="false">AM166+BC166</f>
        <v>-0.00331490937250467</v>
      </c>
      <c r="BE166" s="0" t="n">
        <f aca="false">-BD166*$AC$51</f>
        <v>0.347136497732554</v>
      </c>
      <c r="BF166" s="0" t="n">
        <f aca="false">-BD166*$AD$51</f>
        <v>0.173568248866277</v>
      </c>
      <c r="BG166" s="0" t="n">
        <f aca="false">(-BE166+SQRT(BE166^2-4*$C166))/2</f>
        <v>3.8294786746123</v>
      </c>
      <c r="BH166" s="0" t="n">
        <f aca="false">(-BF166+SQRT(BF166^2-4*$D166))/2</f>
        <v>3.07577658151551</v>
      </c>
      <c r="BI166" s="0" t="n">
        <f aca="false">IF(BG166&lt;&gt;0,($C$21-$B166)*$BD166/BG166/$AC$51-$AC$60*$AC$51,0)</f>
        <v>-4.65372954586093E-005</v>
      </c>
      <c r="BJ166" s="0" t="n">
        <f aca="false">IF(BH166&lt;&gt;0,($C$27-$B166)*$BD166/BH166/$AD$51-$AC$60*$AD$51,0)</f>
        <v>-4.65371272673552E-005</v>
      </c>
      <c r="BK166" s="0" t="n">
        <f aca="false">BD166*1.001</f>
        <v>-0.00331822428187718</v>
      </c>
      <c r="BL166" s="0" t="n">
        <f aca="false">-BK166*$AC$51</f>
        <v>0.347483634230287</v>
      </c>
      <c r="BM166" s="0" t="n">
        <f aca="false">-BK166*$AD$51</f>
        <v>0.173741817115143</v>
      </c>
      <c r="BN166" s="0" t="n">
        <f aca="false">(-BL166+SQRT(BL166^2-4*$C166))/2</f>
        <v>3.82931263587089</v>
      </c>
      <c r="BO166" s="0" t="n">
        <f aca="false">(-BM166+SQRT(BM166^2-4*$D166))/2</f>
        <v>3.07569218003219</v>
      </c>
      <c r="BP166" s="0" t="n">
        <f aca="false">IF(BN166&lt;&gt;0,($C$21-$B166)*$BK166/BN166/$AC$51-$AC$60*$AC$51,0)</f>
        <v>-4.65602870194917E-005</v>
      </c>
      <c r="BQ166" s="0" t="n">
        <f aca="false">IF(BO166&lt;&gt;0,($C$27-$B166)*$BK166/BO166/$AD$51-$AC$60*$AD$51,0)</f>
        <v>-4.65723551284423E-005</v>
      </c>
      <c r="BR166" s="0" t="n">
        <f aca="false">(BP166-BI166)/($BK166-$BD166)</f>
        <v>0.00693580375774934</v>
      </c>
      <c r="BS166" s="0" t="n">
        <f aca="false">(BQ166-BJ166)/($BK166-$BD166)</f>
        <v>0.0106270962878575</v>
      </c>
      <c r="BT166" s="0" t="n">
        <f aca="false">IF(BR166&lt;&gt;BS166,(BJ166-BI166)/(BR166-BS166),0)</f>
        <v>-4.55643254328825E-008</v>
      </c>
      <c r="BU166" s="0" t="n">
        <f aca="false">BD166+BT166</f>
        <v>-0.0033149549368301</v>
      </c>
      <c r="BV166" s="0" t="n">
        <f aca="false">-BU166*$AC$51</f>
        <v>0.347141269217556</v>
      </c>
      <c r="BW166" s="0" t="n">
        <f aca="false">-BU166*$AD$51</f>
        <v>0.173570634608778</v>
      </c>
      <c r="BX166" s="0" t="n">
        <f aca="false">(-BV166+SQRT(BV166^2-4*$C166))/2</f>
        <v>3.829476392314</v>
      </c>
      <c r="BY166" s="0" t="n">
        <f aca="false">(-BW166+SQRT(BW166^2-4*$D166))/2</f>
        <v>3.07577542137818</v>
      </c>
      <c r="BZ166" s="0" t="n">
        <f aca="false">IF(BX166&lt;&gt;0,($C$21-$B166)*$BU166/BX166/$AC$51-$AC$60*$AC$51,0)</f>
        <v>-4.65376114706079E-005</v>
      </c>
      <c r="CA166" s="0" t="n">
        <f aca="false">IF(BY166&lt;&gt;0,($C$27-$B166)*$BU166/BY166/$AD$51-$AC$60*$AD$51,0)</f>
        <v>-4.65376114709041E-005</v>
      </c>
      <c r="CB166" s="0" t="n">
        <f aca="false">BU166*1.001</f>
        <v>-0.00331826989176693</v>
      </c>
      <c r="CC166" s="0" t="n">
        <f aca="false">-CB166*$AC$51</f>
        <v>0.347488410486773</v>
      </c>
      <c r="CD166" s="0" t="n">
        <f aca="false">-CB166*$AD$51</f>
        <v>0.173744205243387</v>
      </c>
      <c r="CE166" s="0" t="n">
        <f aca="false">(-CC166+SQRT(CC166^2-4*$C166))/2</f>
        <v>3.82931035139364</v>
      </c>
      <c r="CF166" s="0" t="n">
        <f aca="false">(-CD166+SQRT(CD166^2-4*$D166))/2</f>
        <v>3.07569101876746</v>
      </c>
      <c r="CG166" s="0" t="n">
        <f aca="false">IF(CE166&lt;&gt;0,($C$21-$B166)*$CB166/CE166/$AC$51-$AC$60*$AC$51,0)</f>
        <v>-4.656060337434E-005</v>
      </c>
      <c r="CH166" s="0" t="n">
        <f aca="false">IF(CF166&lt;&gt;0,($C$27-$B166)*$CB166/CF166/$AD$51-$AC$60*$AD$51,0)</f>
        <v>-4.65728398424312E-005</v>
      </c>
      <c r="CI166" s="0" t="n">
        <f aca="false">(CG166-BZ166)/($CB166-$BU166)</f>
        <v>0.0069358118496979</v>
      </c>
      <c r="CJ166" s="0" t="n">
        <f aca="false">(CH166-CA166)/($CB166-$BU166)</f>
        <v>0.0106271041985286</v>
      </c>
      <c r="CK166" s="0" t="n">
        <f aca="false">IF(CI166&lt;&gt;CJ166,(CA166-BZ166)/(CI166-CJ166),0)</f>
        <v>8.02237987780857E-014</v>
      </c>
      <c r="CL166" s="6" t="str">
        <f aca="false">IF(AND(BU166&gt;0,CE166&gt;0,CE166&lt;$C$15,CF166&lt;$C$15,CG166&gt;0,ABS(CK166)&lt;0.1*BU166),B166,"")</f>
        <v/>
      </c>
      <c r="CM166" s="0" t="n">
        <f aca="false">CG166+BU166^2/$C$39</f>
        <v>-4.47291156688043E-005</v>
      </c>
      <c r="CN166" s="0" t="n">
        <f aca="false">-BU166*$C$15/$C$39</f>
        <v>0.0033149549368301</v>
      </c>
      <c r="CO166" s="0" t="n">
        <f aca="false">IF(CL166&lt;&gt;"",(-CM166+SQRT(CM166^2-4*$AC$60*CN166))/2/$AC$60,0)</f>
        <v>0</v>
      </c>
      <c r="CP166" s="0" t="n">
        <f aca="false">CO166*30/PI()</f>
        <v>0</v>
      </c>
      <c r="DB166" s="6"/>
    </row>
    <row r="167" customFormat="false" ht="12.75" hidden="false" customHeight="false" outlineLevel="0" collapsed="false">
      <c r="A167" s="0" t="n">
        <f aca="false">A166+0.01</f>
        <v>0.18</v>
      </c>
      <c r="B167" s="0" t="n">
        <f aca="false">A167*$AC$68</f>
        <v>0.353954340960565</v>
      </c>
      <c r="C167" s="0" t="n">
        <f aca="false">$C$39*($B167-$C$21)</f>
        <v>-15.8762739542366</v>
      </c>
      <c r="D167" s="0" t="n">
        <f aca="false">$C$39*($B167-$C$27)</f>
        <v>-9.87627395423661</v>
      </c>
      <c r="E167" s="0" t="n">
        <f aca="false">$AC$71</f>
        <v>0.0474257507541105</v>
      </c>
      <c r="F167" s="0" t="n">
        <f aca="false">-E167*$AC$51</f>
        <v>-4.96641300533647</v>
      </c>
      <c r="G167" s="0" t="n">
        <f aca="false">-E167*$AD$51</f>
        <v>-2.48320650266823</v>
      </c>
      <c r="H167" s="0" t="n">
        <f aca="false">(-F167+SQRT(F167^2-4*$C167))/2</f>
        <v>7.17816001565752</v>
      </c>
      <c r="I167" s="0" t="n">
        <f aca="false">(-G167+SQRT(G167^2-4*$D167))/2</f>
        <v>4.62063456044625</v>
      </c>
      <c r="J167" s="0" t="n">
        <f aca="false">IF(H167&lt;&gt;0,($C$21-$B167)*$E167/H167/$AC$51-$AC$60*$AC$51,0)</f>
        <v>0.00014244147473158</v>
      </c>
      <c r="K167" s="0" t="n">
        <f aca="false">IF(I167&lt;&gt;0,($C$27-$B167)*$E167/I167/$AD$51-$AC$60*$AD$51,0)</f>
        <v>0.00031041689676124</v>
      </c>
      <c r="L167" s="0" t="n">
        <f aca="false">E167*1.001</f>
        <v>0.0474731765048646</v>
      </c>
      <c r="M167" s="0" t="n">
        <f aca="false">-L167*$AC$51</f>
        <v>-4.97137941834181</v>
      </c>
      <c r="N167" s="0" t="n">
        <f aca="false">-L167*$AD$51</f>
        <v>-2.4856897091709</v>
      </c>
      <c r="O167" s="0" t="n">
        <f aca="false">(-M167+SQRT(M167^2-4*$C167))/2</f>
        <v>7.18195708704823</v>
      </c>
      <c r="P167" s="0" t="n">
        <f aca="false">(-N167+SQRT(N167^2-4*$D167))/2</f>
        <v>4.6223325800856</v>
      </c>
      <c r="Q167" s="0" t="n">
        <f aca="false">IF(O167&lt;&gt;0,($C$21-$B167)*$L167/O167/$AC$51-$AC$60*$AC$51,0)</f>
        <v>0.000142520067673157</v>
      </c>
      <c r="R167" s="0" t="n">
        <f aca="false">IF(P167&lt;&gt;0,($C$27-$B167)*$L167/P167/$AD$51-$AC$60*$AD$51,0)</f>
        <v>0.000310620913713272</v>
      </c>
      <c r="S167" s="0" t="n">
        <f aca="false">(Q167-J167)/($L167-$E167)</f>
        <v>0.00165717864931774</v>
      </c>
      <c r="T167" s="0" t="n">
        <f aca="false">(R167-K167)/($L167-$E167)</f>
        <v>0.00430181807958954</v>
      </c>
      <c r="U167" s="0" t="n">
        <f aca="false">IF(S167&lt;&gt;T167,(K167-J167)/(S167-T167),0)</f>
        <v>-0.063515434318544</v>
      </c>
      <c r="V167" s="0" t="n">
        <f aca="false">E167+U167</f>
        <v>-0.0160896835644335</v>
      </c>
      <c r="W167" s="0" t="n">
        <f aca="false">-V167*$AC$51</f>
        <v>1.68490772282029</v>
      </c>
      <c r="X167" s="0" t="n">
        <f aca="false">-V167*$AD$51</f>
        <v>0.842453861410144</v>
      </c>
      <c r="Y167" s="0" t="n">
        <f aca="false">(-W167+SQRT(W167^2-4*$C167))/2</f>
        <v>3.23013775362339</v>
      </c>
      <c r="Z167" s="0" t="n">
        <f aca="false">(-X167+SQRT(X167^2-4*$D167))/2</f>
        <v>2.74953103567896</v>
      </c>
      <c r="AA167" s="0" t="n">
        <f aca="false">IF(Y167&lt;&gt;0,($C$21-$B167)*$V167/Y167/$AC$51-$AC$60*$AC$51,0)</f>
        <v>-0.000150364291562137</v>
      </c>
      <c r="AB167" s="0" t="n">
        <f aca="false">IF(Z167&lt;&gt;0,($C$27-$B167)*$V167/Z167/$AD$51-$AC$60*$AD$51,0)</f>
        <v>-0.000196214765060162</v>
      </c>
      <c r="AC167" s="0" t="n">
        <f aca="false">V167*1.001</f>
        <v>-0.0161057732479979</v>
      </c>
      <c r="AD167" s="0" t="n">
        <f aca="false">-AC167*$AC$51</f>
        <v>1.68659263054311</v>
      </c>
      <c r="AE167" s="0" t="n">
        <f aca="false">-AC167*$AD$51</f>
        <v>0.843296315271554</v>
      </c>
      <c r="AF167" s="0" t="n">
        <f aca="false">(-AD167+SQRT(AD167^2-4*$C167))/2</f>
        <v>3.22946965266562</v>
      </c>
      <c r="AG167" s="0" t="n">
        <f aca="false">(-AE167+SQRT(AE167^2-4*$D167))/2</f>
        <v>2.74916579513317</v>
      </c>
      <c r="AH167" s="0" t="n">
        <f aca="false">IF(AF167&lt;&gt;0,($C$21-$B167)*$AC167/AF167/$AC$51-$AC$60*$AC$51,0)</f>
        <v>-0.00015051621766482</v>
      </c>
      <c r="AI167" s="0" t="n">
        <f aca="false">IF(AG167&lt;&gt;0,($C$27-$B167)*$AC167/AG167/$AD$51-$AC$60*$AD$51,0)</f>
        <v>-0.000196423193704595</v>
      </c>
      <c r="AJ167" s="0" t="n">
        <f aca="false">(AH167-AA167)/($AC167-$V167)</f>
        <v>0.00944245435745984</v>
      </c>
      <c r="AK167" s="0" t="n">
        <f aca="false">(AI167-AB167)/($AC167-$V167)</f>
        <v>0.0129541792166278</v>
      </c>
      <c r="AL167" s="0" t="n">
        <f aca="false">IF(AJ167&lt;&gt;AK167,(AB167-AA167)/(AJ167-AK167),0)</f>
        <v>0.0130563968809587</v>
      </c>
      <c r="AM167" s="0" t="n">
        <f aca="false">V167+AL167</f>
        <v>-0.00303328668347473</v>
      </c>
      <c r="AN167" s="0" t="n">
        <f aca="false">-AM167*$AC$51</f>
        <v>0.317645038701199</v>
      </c>
      <c r="AO167" s="0" t="n">
        <f aca="false">-AM167*$AD$51</f>
        <v>0.158822519350599</v>
      </c>
      <c r="AP167" s="0" t="n">
        <f aca="false">(-AN167+SQRT(AN167^2-4*$C167))/2</f>
        <v>3.82884579018688</v>
      </c>
      <c r="AQ167" s="0" t="n">
        <f aca="false">(-AO167+SQRT(AO167^2-4*$D167))/2</f>
        <v>3.06424586259485</v>
      </c>
      <c r="AR167" s="0" t="n">
        <f aca="false">IF(AP167&lt;&gt;0,($C$21-$B167)*$AM167/AP167/$AC$51-$AC$60*$AC$51,0)</f>
        <v>-4.45198388601442E-005</v>
      </c>
      <c r="AS167" s="0" t="n">
        <f aca="false">IF(AQ167&lt;&gt;0,($C$27-$B167)*$AM167/AQ167/$AD$51-$AC$60*$AD$51,0)</f>
        <v>-4.337060206966E-005</v>
      </c>
      <c r="AT167" s="0" t="n">
        <f aca="false">AM167*1.001</f>
        <v>-0.00303631997015821</v>
      </c>
      <c r="AU167" s="0" t="n">
        <f aca="false">-AT167*$AC$51</f>
        <v>0.3179626837399</v>
      </c>
      <c r="AV167" s="0" t="n">
        <f aca="false">-AT167*$AD$51</f>
        <v>0.15898134186995</v>
      </c>
      <c r="AW167" s="0" t="n">
        <f aca="false">(-AU167+SQRT(AU167^2-4*$C167))/2</f>
        <v>3.82869329647498</v>
      </c>
      <c r="AX167" s="0" t="n">
        <f aca="false">(-AV167+SQRT(AV167^2-4*$D167))/2</f>
        <v>3.06416845832861</v>
      </c>
      <c r="AY167" s="0" t="n">
        <f aca="false">IF(AW167&lt;&gt;0,($C$21-$B167)*$AT167/AW167/$AC$51-$AC$60*$AC$51,0)</f>
        <v>-4.4540654651891E-005</v>
      </c>
      <c r="AZ167" s="0" t="n">
        <f aca="false">IF(AX167&lt;&gt;0,($C$27-$B167)*$AT167/AX167/$AD$51-$AC$60*$AD$51,0)</f>
        <v>-4.34025085049494E-005</v>
      </c>
      <c r="BA167" s="0" t="n">
        <f aca="false">(AY167-AR167)/($AT167-$AM167)</f>
        <v>0.00686245446572158</v>
      </c>
      <c r="BB167" s="0" t="n">
        <f aca="false">(AZ167-AS167)/($AT167-$AM167)</f>
        <v>0.0105187668093716</v>
      </c>
      <c r="BC167" s="0" t="n">
        <f aca="false">IF(BA167&lt;&gt;BB167,(AS167-AR167)/(BA167-BB167),0)</f>
        <v>-0.000314315813986753</v>
      </c>
      <c r="BD167" s="0" t="n">
        <f aca="false">AM167+BC167</f>
        <v>-0.00334760249746148</v>
      </c>
      <c r="BE167" s="0" t="n">
        <f aca="false">-BD167*$AC$51</f>
        <v>0.350560113772128</v>
      </c>
      <c r="BF167" s="0" t="n">
        <f aca="false">-BD167*$AD$51</f>
        <v>0.175280056886064</v>
      </c>
      <c r="BG167" s="0" t="n">
        <f aca="false">(-BE167+SQRT(BE167^2-4*$C167))/2</f>
        <v>3.81307763175955</v>
      </c>
      <c r="BH167" s="0" t="n">
        <f aca="false">(-BF167+SQRT(BF167^2-4*$D167))/2</f>
        <v>3.05623572114093</v>
      </c>
      <c r="BI167" s="0" t="n">
        <f aca="false">IF(BG167&lt;&gt;0,($C$21-$B167)*$BD167/BG167/$AC$51-$AC$60*$AC$51,0)</f>
        <v>-4.66854740189475E-005</v>
      </c>
      <c r="BJ167" s="0" t="n">
        <f aca="false">IF(BH167&lt;&gt;0,($C$27-$B167)*$BD167/BH167/$AD$51-$AC$60*$AD$51,0)</f>
        <v>-4.66852898762917E-005</v>
      </c>
      <c r="BK167" s="0" t="n">
        <f aca="false">BD167*1.001</f>
        <v>-0.00335095009995894</v>
      </c>
      <c r="BL167" s="0" t="n">
        <f aca="false">-BK167*$AC$51</f>
        <v>0.3509106738859</v>
      </c>
      <c r="BM167" s="0" t="n">
        <f aca="false">-BK167*$AD$51</f>
        <v>0.17545533694295</v>
      </c>
      <c r="BN167" s="0" t="n">
        <f aca="false">(-BL167+SQRT(BL167^2-4*$C167))/2</f>
        <v>3.81291005874215</v>
      </c>
      <c r="BO167" s="0" t="n">
        <f aca="false">(-BM167+SQRT(BM167^2-4*$D167))/2</f>
        <v>3.05615052542409</v>
      </c>
      <c r="BP167" s="0" t="n">
        <f aca="false">IF(BN167&lt;&gt;0,($C$21-$B167)*$BK167/BN167/$AC$51-$AC$60*$AC$51,0)</f>
        <v>-4.67086332670564E-005</v>
      </c>
      <c r="BQ167" s="0" t="n">
        <f aca="false">IF(BO167&lt;&gt;0,($C$27-$B167)*$BK167/BO167/$AD$51-$AC$60*$AD$51,0)</f>
        <v>-4.67206849756681E-005</v>
      </c>
      <c r="BR167" s="0" t="n">
        <f aca="false">(BP167-BI167)/($BK167-$BD167)</f>
        <v>0.00691815952655951</v>
      </c>
      <c r="BS167" s="0" t="n">
        <f aca="false">(BQ167-BJ167)/($BK167-$BD167)</f>
        <v>0.0105732683026932</v>
      </c>
      <c r="BT167" s="0" t="n">
        <f aca="false">IF(BR167&lt;&gt;BS167,(BJ167-BI167)/(BR167-BS167),0)</f>
        <v>-5.03795282365278E-008</v>
      </c>
      <c r="BU167" s="0" t="n">
        <f aca="false">BD167+BT167</f>
        <v>-0.00334765287698972</v>
      </c>
      <c r="BV167" s="0" t="n">
        <f aca="false">-BU167*$AC$51</f>
        <v>0.350565389503988</v>
      </c>
      <c r="BW167" s="0" t="n">
        <f aca="false">-BU167*$AD$51</f>
        <v>0.175282694751994</v>
      </c>
      <c r="BX167" s="0" t="n">
        <f aca="false">(-BV167+SQRT(BV167^2-4*$C167))/2</f>
        <v>3.81307510982323</v>
      </c>
      <c r="BY167" s="0" t="n">
        <f aca="false">(-BW167+SQRT(BW167^2-4*$D167))/2</f>
        <v>3.05623443897538</v>
      </c>
      <c r="BZ167" s="0" t="n">
        <f aca="false">IF(BX167&lt;&gt;0,($C$21-$B167)*$BU167/BX167/$AC$51-$AC$60*$AC$51,0)</f>
        <v>-4.66858225378057E-005</v>
      </c>
      <c r="CA167" s="0" t="n">
        <f aca="false">IF(BY167&lt;&gt;0,($C$27-$B167)*$BU167/BY167/$AD$51-$AC$60*$AD$51,0)</f>
        <v>-4.66858225381391E-005</v>
      </c>
      <c r="CB167" s="0" t="n">
        <f aca="false">BU167*1.001</f>
        <v>-0.00335100052986671</v>
      </c>
      <c r="CC167" s="0" t="n">
        <f aca="false">-CB167*$AC$51</f>
        <v>0.350915954893492</v>
      </c>
      <c r="CD167" s="0" t="n">
        <f aca="false">-CB167*$AD$51</f>
        <v>0.175457977446746</v>
      </c>
      <c r="CE167" s="0" t="n">
        <f aca="false">(-CC167+SQRT(CC167^2-4*$C167))/2</f>
        <v>3.81290753439972</v>
      </c>
      <c r="CF167" s="0" t="n">
        <f aca="false">(-CD167+SQRT(CD167^2-4*$D167))/2</f>
        <v>3.05614924201315</v>
      </c>
      <c r="CG167" s="0" t="n">
        <f aca="false">IF(CE167&lt;&gt;0,($C$21-$B167)*$CB167/CE167/$AC$51-$AC$60*$AC$51,0)</f>
        <v>-4.67089821644248E-005</v>
      </c>
      <c r="CH167" s="0" t="n">
        <f aca="false">IF(CF167&lt;&gt;0,($C$27-$B167)*$CB167/CF167/$AD$51-$AC$60*$AD$51,0)</f>
        <v>-4.67212181994909E-005</v>
      </c>
      <c r="CI167" s="0" t="n">
        <f aca="false">(CG167-BZ167)/($CB167-$BU167)</f>
        <v>0.00691816848106555</v>
      </c>
      <c r="CJ167" s="0" t="n">
        <f aca="false">(CH167-CA167)/($CB167-$BU167)</f>
        <v>0.0105732770548425</v>
      </c>
      <c r="CK167" s="0" t="n">
        <f aca="false">IF(CI167&lt;&gt;CJ167,(CA167-BZ167)/(CI167-CJ167),0)</f>
        <v>9.12108040148355E-014</v>
      </c>
      <c r="CL167" s="6" t="str">
        <f aca="false">IF(AND(BU167&gt;0,CE167&gt;0,CE167&lt;$C$15,CF167&lt;$C$15,CG167&gt;0,ABS(CK167)&lt;0.1*BU167),B167,"")</f>
        <v/>
      </c>
      <c r="CM167" s="0" t="n">
        <f aca="false">CG167+BU167^2/$C$39</f>
        <v>-4.48411855336219E-005</v>
      </c>
      <c r="CN167" s="0" t="n">
        <f aca="false">-BU167*$C$15/$C$39</f>
        <v>0.00334765287698972</v>
      </c>
      <c r="CO167" s="0" t="n">
        <f aca="false">IF(CL167&lt;&gt;"",(-CM167+SQRT(CM167^2-4*$AC$60*CN167))/2/$AC$60,0)</f>
        <v>0</v>
      </c>
      <c r="CP167" s="0" t="n">
        <f aca="false">CO167*30/PI()</f>
        <v>0</v>
      </c>
      <c r="DB167" s="6"/>
    </row>
    <row r="168" customFormat="false" ht="12.75" hidden="false" customHeight="false" outlineLevel="0" collapsed="false">
      <c r="A168" s="0" t="n">
        <f aca="false">A167+0.01</f>
        <v>0.19</v>
      </c>
      <c r="B168" s="0" t="n">
        <f aca="false">A168*$AC$68</f>
        <v>0.373618471013929</v>
      </c>
      <c r="C168" s="0" t="n">
        <f aca="false">$C$39*($B168-$C$21)</f>
        <v>-15.7582891739164</v>
      </c>
      <c r="D168" s="0" t="n">
        <f aca="false">$C$39*($B168-$C$27)</f>
        <v>-9.75828917391642</v>
      </c>
      <c r="E168" s="0" t="n">
        <f aca="false">$AC$71</f>
        <v>0.0474257507541105</v>
      </c>
      <c r="F168" s="0" t="n">
        <f aca="false">-E168*$AC$51</f>
        <v>-4.96641300533647</v>
      </c>
      <c r="G168" s="0" t="n">
        <f aca="false">-E168*$AD$51</f>
        <v>-2.48320650266823</v>
      </c>
      <c r="H168" s="0" t="n">
        <f aca="false">(-F168+SQRT(F168^2-4*$C168))/2</f>
        <v>7.16557809287872</v>
      </c>
      <c r="I168" s="0" t="n">
        <f aca="false">(-G168+SQRT(G168^2-4*$D168))/2</f>
        <v>4.60313085164322</v>
      </c>
      <c r="J168" s="0" t="n">
        <f aca="false">IF(H168&lt;&gt;0,($C$21-$B168)*$E168/H168/$AC$51-$AC$60*$AC$51,0)</f>
        <v>0.00014149178583249</v>
      </c>
      <c r="K168" s="0" t="n">
        <f aca="false">IF(I168&lt;&gt;0,($C$27-$B168)*$E168/I168/$AD$51-$AC$60*$AD$51,0)</f>
        <v>0.000307774521945343</v>
      </c>
      <c r="L168" s="0" t="n">
        <f aca="false">E168*1.001</f>
        <v>0.0474731765048646</v>
      </c>
      <c r="M168" s="0" t="n">
        <f aca="false">-L168*$AC$51</f>
        <v>-4.97137941834181</v>
      </c>
      <c r="N168" s="0" t="n">
        <f aca="false">-L168*$AD$51</f>
        <v>-2.4856897091709</v>
      </c>
      <c r="O168" s="0" t="n">
        <f aca="false">(-M168+SQRT(M168^2-4*$C168))/2</f>
        <v>7.16937869374221</v>
      </c>
      <c r="P168" s="0" t="n">
        <f aca="false">(-N168+SQRT(N168^2-4*$D168))/2</f>
        <v>4.60483124755107</v>
      </c>
      <c r="Q168" s="0" t="n">
        <f aca="false">IF(O168&lt;&gt;0,($C$21-$B168)*$L168/O168/$AC$51-$AC$60*$AC$51,0)</f>
        <v>0.000141569695757686</v>
      </c>
      <c r="R168" s="0" t="n">
        <f aca="false">IF(P168&lt;&gt;0,($C$27-$B168)*$L168/P168/$AD$51-$AC$60*$AD$51,0)</f>
        <v>0.000307976255604804</v>
      </c>
      <c r="S168" s="0" t="n">
        <f aca="false">(Q168-J168)/($L168-$E168)</f>
        <v>0.00164277684500753</v>
      </c>
      <c r="T168" s="0" t="n">
        <f aca="false">(R168-K168)/($L168-$E168)</f>
        <v>0.00425367350548332</v>
      </c>
      <c r="U168" s="0" t="n">
        <f aca="false">IF(S168&lt;&gt;T168,(K168-J168)/(S168-T168),0)</f>
        <v>-0.0636879806964671</v>
      </c>
      <c r="V168" s="0" t="n">
        <f aca="false">E168+U168</f>
        <v>-0.0162622299423567</v>
      </c>
      <c r="W168" s="0" t="n">
        <f aca="false">-V168*$AC$51</f>
        <v>1.70297673726319</v>
      </c>
      <c r="X168" s="0" t="n">
        <f aca="false">-V168*$AD$51</f>
        <v>0.851488368631594</v>
      </c>
      <c r="Y168" s="0" t="n">
        <f aca="false">(-W168+SQRT(W168^2-4*$C168))/2</f>
        <v>3.20847734745904</v>
      </c>
      <c r="Z168" s="0" t="n">
        <f aca="false">(-X168+SQRT(X168^2-4*$D168))/2</f>
        <v>2.72696057261834</v>
      </c>
      <c r="AA168" s="0" t="n">
        <f aca="false">IF(Y168&lt;&gt;0,($C$21-$B168)*$V168/Y168/$AC$51-$AC$60*$AC$51,0)</f>
        <v>-0.000151621089217617</v>
      </c>
      <c r="AB168" s="0" t="n">
        <f aca="false">IF(Z168&lt;&gt;0,($C$27-$B168)*$V168/Z168/$AD$51-$AC$60*$AD$51,0)</f>
        <v>-0.000197486919668573</v>
      </c>
      <c r="AC168" s="0" t="n">
        <f aca="false">V168*1.001</f>
        <v>-0.016278492172299</v>
      </c>
      <c r="AD168" s="0" t="n">
        <f aca="false">-AC168*$AC$51</f>
        <v>1.70467971400045</v>
      </c>
      <c r="AE168" s="0" t="n">
        <f aca="false">-AC168*$AD$51</f>
        <v>0.852339857000225</v>
      </c>
      <c r="AF168" s="0" t="n">
        <f aca="false">(-AD168+SQRT(AD168^2-4*$C168))/2</f>
        <v>3.20780452537678</v>
      </c>
      <c r="AG168" s="0" t="n">
        <f aca="false">(-AE168+SQRT(AE168^2-4*$D168))/2</f>
        <v>2.72659234954659</v>
      </c>
      <c r="AH168" s="0" t="n">
        <f aca="false">IF(AF168&lt;&gt;0,($C$21-$B168)*$AC168/AF168/$AC$51-$AC$60*$AC$51,0)</f>
        <v>-0.000151774897446151</v>
      </c>
      <c r="AI168" s="0" t="n">
        <f aca="false">IF(AG168&lt;&gt;0,($C$27-$B168)*$AC168/AG168/$AD$51-$AC$60*$AD$51,0)</f>
        <v>-0.000197697196420387</v>
      </c>
      <c r="AJ168" s="0" t="n">
        <f aca="false">(AH168-AA168)/($AC168-$V168)</f>
        <v>0.0094580035505179</v>
      </c>
      <c r="AK168" s="0" t="n">
        <f aca="false">(AI168-AB168)/($AC168-$V168)</f>
        <v>0.012930376249706</v>
      </c>
      <c r="AL168" s="0" t="n">
        <f aca="false">IF(AJ168&lt;&gt;AK168,(AB168-AA168)/(AJ168-AK168),0)</f>
        <v>0.0132087867358479</v>
      </c>
      <c r="AM168" s="0" t="n">
        <f aca="false">V168+AL168</f>
        <v>-0.00305344320650879</v>
      </c>
      <c r="AN168" s="0" t="n">
        <f aca="false">-AM168*$AC$51</f>
        <v>0.31975582485739</v>
      </c>
      <c r="AO168" s="0" t="n">
        <f aca="false">-AM168*$AD$51</f>
        <v>0.159877912428695</v>
      </c>
      <c r="AP168" s="0" t="n">
        <f aca="false">(-AN168+SQRT(AN168^2-4*$C168))/2</f>
        <v>3.81301147953768</v>
      </c>
      <c r="AQ168" s="0" t="n">
        <f aca="false">(-AO168+SQRT(AO168^2-4*$D168))/2</f>
        <v>3.04490974582501</v>
      </c>
      <c r="AR168" s="0" t="n">
        <f aca="false">IF(AP168&lt;&gt;0,($C$21-$B168)*$AM168/AP168/$AC$51-$AC$60*$AC$51,0)</f>
        <v>-4.45861664205026E-005</v>
      </c>
      <c r="AS168" s="0" t="n">
        <f aca="false">IF(AQ168&lt;&gt;0,($C$27-$B168)*$AM168/AQ168/$AD$51-$AC$60*$AD$51,0)</f>
        <v>-4.33997169216571E-005</v>
      </c>
      <c r="AT168" s="0" t="n">
        <f aca="false">AM168*1.001</f>
        <v>-0.0030564966497153</v>
      </c>
      <c r="AU168" s="0" t="n">
        <f aca="false">-AT168*$AC$51</f>
        <v>0.320075580682247</v>
      </c>
      <c r="AV168" s="0" t="n">
        <f aca="false">-AT168*$AD$51</f>
        <v>0.160037790341123</v>
      </c>
      <c r="AW168" s="0" t="n">
        <f aca="false">(-AU168+SQRT(AU168^2-4*$C168))/2</f>
        <v>3.81285803868003</v>
      </c>
      <c r="AX168" s="0" t="n">
        <f aca="false">(-AV168+SQRT(AV168^2-4*$D168))/2</f>
        <v>3.04483185286537</v>
      </c>
      <c r="AY168" s="0" t="n">
        <f aca="false">IF(AW168&lt;&gt;0,($C$21-$B168)*$AT168/AW168/$AC$51-$AC$60*$AC$51,0)</f>
        <v>-4.46070595037843E-005</v>
      </c>
      <c r="AZ168" s="0" t="n">
        <f aca="false">IF(AX168&lt;&gt;0,($C$27-$B168)*$AT168/AX168/$AD$51-$AC$60*$AD$51,0)</f>
        <v>-4.34316632143295E-005</v>
      </c>
      <c r="BA168" s="0" t="n">
        <f aca="false">(AY168-AR168)/($AT168-$AM168)</f>
        <v>0.00684246664132923</v>
      </c>
      <c r="BB168" s="0" t="n">
        <f aca="false">(AZ168-AS168)/($AT168-$AM168)</f>
        <v>0.0104623831235442</v>
      </c>
      <c r="BC168" s="0" t="n">
        <f aca="false">IF(BA168&lt;&gt;BB168,(AS168-AR168)/(BA168-BB168),0)</f>
        <v>-0.000327756042072976</v>
      </c>
      <c r="BD168" s="0" t="n">
        <f aca="false">AM168+BC168</f>
        <v>-0.00338119924858177</v>
      </c>
      <c r="BE168" s="0" t="n">
        <f aca="false">-BD168*$AC$51</f>
        <v>0.354078357322261</v>
      </c>
      <c r="BF168" s="0" t="n">
        <f aca="false">-BD168*$AD$51</f>
        <v>0.17703917866113</v>
      </c>
      <c r="BG168" s="0" t="n">
        <f aca="false">(-BE168+SQRT(BE168^2-4*$C168))/2</f>
        <v>3.79657781907499</v>
      </c>
      <c r="BH168" s="0" t="n">
        <f aca="false">(-BF168+SQRT(BF168^2-4*$D168))/2</f>
        <v>3.03656039230377</v>
      </c>
      <c r="BI168" s="0" t="n">
        <f aca="false">IF(BG168&lt;&gt;0,($C$21-$B168)*$BD168/BG168/$AC$51-$AC$60*$AC$51,0)</f>
        <v>-4.68382491236054E-005</v>
      </c>
      <c r="BJ168" s="0" t="n">
        <f aca="false">IF(BH168&lt;&gt;0,($C$27-$B168)*$BD168/BH168/$AD$51-$AC$60*$AD$51,0)</f>
        <v>-4.68380473174101E-005</v>
      </c>
      <c r="BK168" s="0" t="n">
        <f aca="false">BD168*1.001</f>
        <v>-0.00338458044783035</v>
      </c>
      <c r="BL168" s="0" t="n">
        <f aca="false">-BK168*$AC$51</f>
        <v>0.354432435679583</v>
      </c>
      <c r="BM168" s="0" t="n">
        <f aca="false">-BK168*$AD$51</f>
        <v>0.177216217839791</v>
      </c>
      <c r="BN168" s="0" t="n">
        <f aca="false">(-BL168+SQRT(BL168^2-4*$C168))/2</f>
        <v>3.79640867157565</v>
      </c>
      <c r="BO168" s="0" t="n">
        <f aca="false">(-BM168+SQRT(BM168^2-4*$D168))/2</f>
        <v>3.03647438133261</v>
      </c>
      <c r="BP168" s="0" t="n">
        <f aca="false">IF(BN168&lt;&gt;0,($C$21-$B168)*$BK168/BN168/$AC$51-$AC$60*$AC$51,0)</f>
        <v>-4.68615814115997E-005</v>
      </c>
      <c r="BQ168" s="0" t="n">
        <f aca="false">IF(BO168&lt;&gt;0,($C$27-$B168)*$BK168/BO168/$AD$51-$AC$60*$AD$51,0)</f>
        <v>-4.68736149863538E-005</v>
      </c>
      <c r="BR168" s="0" t="n">
        <f aca="false">(BP168-BI168)/($BK168-$BD168)</f>
        <v>0.00690059540386428</v>
      </c>
      <c r="BS168" s="0" t="n">
        <f aca="false">(BQ168-BJ168)/($BK168-$BD168)</f>
        <v>0.0105192466721967</v>
      </c>
      <c r="BT168" s="0" t="n">
        <f aca="false">IF(BR168&lt;&gt;BS168,(BJ168-BI168)/(BR168-BS168),0)</f>
        <v>-5.57683457964558E-008</v>
      </c>
      <c r="BU168" s="0" t="n">
        <f aca="false">BD168+BT168</f>
        <v>-0.00338125501692757</v>
      </c>
      <c r="BV168" s="0" t="n">
        <f aca="false">-BU168*$AC$51</f>
        <v>0.354084197369776</v>
      </c>
      <c r="BW168" s="0" t="n">
        <f aca="false">-BU168*$AD$51</f>
        <v>0.177042098684888</v>
      </c>
      <c r="BX168" s="0" t="n">
        <f aca="false">(-BV168+SQRT(BV168^2-4*$C168))/2</f>
        <v>3.79657502915005</v>
      </c>
      <c r="BY168" s="0" t="n">
        <f aca="false">(-BW168+SQRT(BW168^2-4*$D168))/2</f>
        <v>3.03655897364787</v>
      </c>
      <c r="BZ168" s="0" t="n">
        <f aca="false">IF(BX168&lt;&gt;0,($C$21-$B168)*$BU168/BX168/$AC$51-$AC$60*$AC$51,0)</f>
        <v>-4.68386339419091E-005</v>
      </c>
      <c r="CA168" s="0" t="n">
        <f aca="false">IF(BY168&lt;&gt;0,($C$27-$B168)*$BU168/BY168/$AD$51-$AC$60*$AD$51,0)</f>
        <v>-4.68386339422849E-005</v>
      </c>
      <c r="CB168" s="0" t="n">
        <f aca="false">BU168*1.001</f>
        <v>-0.00338463627194449</v>
      </c>
      <c r="CC168" s="0" t="n">
        <f aca="false">-CB168*$AC$51</f>
        <v>0.354438281567145</v>
      </c>
      <c r="CD168" s="0" t="n">
        <f aca="false">-CB168*$AD$51</f>
        <v>0.177219140783573</v>
      </c>
      <c r="CE168" s="0" t="n">
        <f aca="false">(-CC168+SQRT(CC168^2-4*$C168))/2</f>
        <v>3.79640587899075</v>
      </c>
      <c r="CF168" s="0" t="n">
        <f aca="false">(-CD168+SQRT(CD168^2-4*$D168))/2</f>
        <v>3.03647296129941</v>
      </c>
      <c r="CG168" s="0" t="n">
        <f aca="false">IF(CE168&lt;&gt;0,($C$21-$B168)*$CB168/CE168/$AC$51-$AC$60*$AC$51,0)</f>
        <v>-4.68619666482828E-005</v>
      </c>
      <c r="CH168" s="0" t="n">
        <f aca="false">IF(CF168&lt;&gt;0,($C$27-$B168)*$CB168/CF168/$AD$51-$AC$60*$AD$51,0)</f>
        <v>-4.68742022306494E-005</v>
      </c>
      <c r="CI168" s="0" t="n">
        <f aca="false">(CG168-BZ168)/($CB168-$BU168)</f>
        <v>0.00690060532462004</v>
      </c>
      <c r="CJ168" s="0" t="n">
        <f aca="false">(CH168-CA168)/($CB168-$BU168)</f>
        <v>0.0105192563667777</v>
      </c>
      <c r="CK168" s="0" t="n">
        <f aca="false">IF(CI168&lt;&gt;CJ168,(CA168-BZ168)/(CI168-CJ168),0)</f>
        <v>1.03854053253421E-013</v>
      </c>
      <c r="CL168" s="6" t="str">
        <f aca="false">IF(AND(BU168&gt;0,CE168&gt;0,CE168&lt;$C$15,CF168&lt;$C$15,CG168&gt;0,ABS(CK168)&lt;0.1*BU168),B168,"")</f>
        <v/>
      </c>
      <c r="CM168" s="0" t="n">
        <f aca="false">CG168+BU168^2/$C$39</f>
        <v>-4.49564857333665E-005</v>
      </c>
      <c r="CN168" s="0" t="n">
        <f aca="false">-BU168*$C$15/$C$39</f>
        <v>0.00338125501692757</v>
      </c>
      <c r="CO168" s="0" t="n">
        <f aca="false">IF(CL168&lt;&gt;"",(-CM168+SQRT(CM168^2-4*$AC$60*CN168))/2/$AC$60,0)</f>
        <v>0</v>
      </c>
      <c r="CP168" s="0" t="n">
        <f aca="false">CO168*30/PI()</f>
        <v>0</v>
      </c>
      <c r="DB168" s="6"/>
    </row>
    <row r="169" customFormat="false" ht="12.75" hidden="false" customHeight="false" outlineLevel="0" collapsed="false">
      <c r="A169" s="0" t="n">
        <f aca="false">A168+0.01</f>
        <v>0.2</v>
      </c>
      <c r="B169" s="0" t="n">
        <f aca="false">A169*$AC$68</f>
        <v>0.393282601067294</v>
      </c>
      <c r="C169" s="0" t="n">
        <f aca="false">$C$39*($B169-$C$21)</f>
        <v>-15.6403043935962</v>
      </c>
      <c r="D169" s="0" t="n">
        <f aca="false">$C$39*($B169-$C$27)</f>
        <v>-9.64030439359624</v>
      </c>
      <c r="E169" s="0" t="n">
        <f aca="false">$AC$71</f>
        <v>0.0474257507541105</v>
      </c>
      <c r="F169" s="0" t="n">
        <f aca="false">-E169*$AC$51</f>
        <v>-4.96641300533647</v>
      </c>
      <c r="G169" s="0" t="n">
        <f aca="false">-E169*$AD$51</f>
        <v>-2.48320650266823</v>
      </c>
      <c r="H169" s="0" t="n">
        <f aca="false">(-F169+SQRT(F169^2-4*$C169))/2</f>
        <v>7.15296227021005</v>
      </c>
      <c r="I169" s="0" t="n">
        <f aca="false">(-G169+SQRT(G169^2-4*$D169))/2</f>
        <v>4.58553552147951</v>
      </c>
      <c r="J169" s="0" t="n">
        <f aca="false">IF(H169&lt;&gt;0,($C$21-$B169)*$E169/H169/$AC$51-$AC$60*$AC$51,0)</f>
        <v>0.000140539538155252</v>
      </c>
      <c r="K169" s="0" t="n">
        <f aca="false">IF(I169&lt;&gt;0,($C$27-$B169)*$E169/I169/$AD$51-$AC$60*$AD$51,0)</f>
        <v>0.000305118315890663</v>
      </c>
      <c r="L169" s="0" t="n">
        <f aca="false">E169*1.001</f>
        <v>0.0474731765048646</v>
      </c>
      <c r="M169" s="0" t="n">
        <f aca="false">-L169*$AC$51</f>
        <v>-4.97137941834181</v>
      </c>
      <c r="N169" s="0" t="n">
        <f aca="false">-L169*$AD$51</f>
        <v>-2.4856897091709</v>
      </c>
      <c r="O169" s="0" t="n">
        <f aca="false">(-M169+SQRT(M169^2-4*$C169))/2</f>
        <v>7.15676642914397</v>
      </c>
      <c r="P169" s="0" t="n">
        <f aca="false">(-N169+SQRT(N169^2-4*$D169))/2</f>
        <v>4.5872383311617</v>
      </c>
      <c r="Q169" s="0" t="n">
        <f aca="false">IF(O169&lt;&gt;0,($C$21-$B169)*$L169/O169/$AC$51-$AC$60*$AC$51,0)</f>
        <v>0.000140616764666009</v>
      </c>
      <c r="R169" s="0" t="n">
        <f aca="false">IF(P169&lt;&gt;0,($C$27-$B169)*$L169/P169/$AD$51-$AC$60*$AD$51,0)</f>
        <v>0.000305317758093889</v>
      </c>
      <c r="S169" s="0" t="n">
        <f aca="false">(Q169-J169)/($L169-$E169)</f>
        <v>0.0016283666474382</v>
      </c>
      <c r="T169" s="0" t="n">
        <f aca="false">(R169-K169)/($L169-$E169)</f>
        <v>0.00420535679572551</v>
      </c>
      <c r="U169" s="0" t="n">
        <f aca="false">IF(S169&lt;&gt;T169,(K169-J169)/(S169-T169),0)</f>
        <v>-0.0638647291084103</v>
      </c>
      <c r="V169" s="0" t="n">
        <f aca="false">E169+U169</f>
        <v>-0.0164389783542998</v>
      </c>
      <c r="W169" s="0" t="n">
        <f aca="false">-V169*$AC$51</f>
        <v>1.72148578767966</v>
      </c>
      <c r="X169" s="0" t="n">
        <f aca="false">-V169*$AD$51</f>
        <v>0.860742893839831</v>
      </c>
      <c r="Y169" s="0" t="n">
        <f aca="false">(-W169+SQRT(W169^2-4*$C169))/2</f>
        <v>3.18662448791488</v>
      </c>
      <c r="Z169" s="0" t="n">
        <f aca="false">(-X169+SQRT(X169^2-4*$D169))/2</f>
        <v>2.70419773813888</v>
      </c>
      <c r="AA169" s="0" t="n">
        <f aca="false">IF(Y169&lt;&gt;0,($C$21-$B169)*$V169/Y169/$AC$51-$AC$60*$AC$51,0)</f>
        <v>-0.000152915214512642</v>
      </c>
      <c r="AB169" s="0" t="n">
        <f aca="false">IF(Z169&lt;&gt;0,($C$27-$B169)*$V169/Z169/$AD$51-$AC$60*$AD$51,0)</f>
        <v>-0.000198793334627889</v>
      </c>
      <c r="AC169" s="0" t="n">
        <f aca="false">V169*1.001</f>
        <v>-0.0164554173326541</v>
      </c>
      <c r="AD169" s="0" t="n">
        <f aca="false">-AC169*$AC$51</f>
        <v>1.72320727346734</v>
      </c>
      <c r="AE169" s="0" t="n">
        <f aca="false">-AC169*$AD$51</f>
        <v>0.86160363673367</v>
      </c>
      <c r="AF169" s="0" t="n">
        <f aca="false">(-AD169+SQRT(AD169^2-4*$C169))/2</f>
        <v>3.18594688431346</v>
      </c>
      <c r="AG169" s="0" t="n">
        <f aca="false">(-AE169+SQRT(AE169^2-4*$D169))/2</f>
        <v>2.70382648500574</v>
      </c>
      <c r="AH169" s="0" t="n">
        <f aca="false">IF(AF169&lt;&gt;0,($C$21-$B169)*$AC169/AF169/$AC$51-$AC$60*$AC$51,0)</f>
        <v>-0.000153070966461403</v>
      </c>
      <c r="AI169" s="0" t="n">
        <f aca="false">IF(AG169&lt;&gt;0,($C$27-$B169)*$AC169/AG169/$AD$51-$AC$60*$AD$51,0)</f>
        <v>-0.000199005515987874</v>
      </c>
      <c r="AJ169" s="0" t="n">
        <f aca="false">(AH169-AA169)/($AC169-$V169)</f>
        <v>0.00947455160559791</v>
      </c>
      <c r="AK169" s="0" t="n">
        <f aca="false">(AI169-AB169)/($AC169-$V169)</f>
        <v>0.0129072108626208</v>
      </c>
      <c r="AL169" s="0" t="n">
        <f aca="false">IF(AJ169&lt;&gt;AK169,(AB169-AA169)/(AJ169-AK169),0)</f>
        <v>0.0133651832821402</v>
      </c>
      <c r="AM169" s="0" t="n">
        <f aca="false">V169+AL169</f>
        <v>-0.00307379507215955</v>
      </c>
      <c r="AN169" s="0" t="n">
        <f aca="false">-AM169*$AC$51</f>
        <v>0.321887067244565</v>
      </c>
      <c r="AO169" s="0" t="n">
        <f aca="false">-AM169*$AD$51</f>
        <v>0.160943533622282</v>
      </c>
      <c r="AP169" s="0" t="n">
        <f aca="false">(-AN169+SQRT(AN169^2-4*$C169))/2</f>
        <v>3.79711245570014</v>
      </c>
      <c r="AQ169" s="0" t="n">
        <f aca="false">(-AO169+SQRT(AO169^2-4*$D169))/2</f>
        <v>3.02545484192416</v>
      </c>
      <c r="AR169" s="0" t="n">
        <f aca="false">IF(AP169&lt;&gt;0,($C$21-$B169)*$AM169/AP169/$AC$51-$AC$60*$AC$51,0)</f>
        <v>-4.46526775675165E-005</v>
      </c>
      <c r="AS169" s="0" t="n">
        <f aca="false">IF(AQ169&lt;&gt;0,($C$27-$B169)*$AM169/AQ169/$AD$51-$AC$60*$AD$51,0)</f>
        <v>-4.34274051748871E-005</v>
      </c>
      <c r="AT169" s="0" t="n">
        <f aca="false">AM169*1.001</f>
        <v>-0.00307686886723171</v>
      </c>
      <c r="AU169" s="0" t="n">
        <f aca="false">-AT169*$AC$51</f>
        <v>0.322208954311809</v>
      </c>
      <c r="AV169" s="0" t="n">
        <f aca="false">-AT169*$AD$51</f>
        <v>0.161104477155905</v>
      </c>
      <c r="AW169" s="0" t="n">
        <f aca="false">(-AU169+SQRT(AU169^2-4*$C169))/2</f>
        <v>3.79695805976237</v>
      </c>
      <c r="AX169" s="0" t="n">
        <f aca="false">(-AV169+SQRT(AV169^2-4*$D169))/2</f>
        <v>3.02537645615027</v>
      </c>
      <c r="AY169" s="0" t="n">
        <f aca="false">IF(AW169&lt;&gt;0,($C$21-$B169)*$AT169/AW169/$AC$51-$AC$60*$AC$51,0)</f>
        <v>-4.46736483140941E-005</v>
      </c>
      <c r="AZ169" s="0" t="n">
        <f aca="false">IF(AX169&lt;&gt;0,($C$27-$B169)*$AT169/AX169/$AD$51-$AC$60*$AD$51,0)</f>
        <v>-4.34593900823317E-005</v>
      </c>
      <c r="BA169" s="0" t="n">
        <f aca="false">(AY169-AR169)/($AT169-$AM169)</f>
        <v>0.00682242832891336</v>
      </c>
      <c r="BB169" s="0" t="n">
        <f aca="false">(AZ169-AS169)/($AT169-$AM169)</f>
        <v>0.0104056733431269</v>
      </c>
      <c r="BC169" s="0" t="n">
        <f aca="false">IF(BA169&lt;&gt;BB169,(AS169-AR169)/(BA169-BB169),0)</f>
        <v>-0.000341944909647292</v>
      </c>
      <c r="BD169" s="0" t="n">
        <f aca="false">AM169+BC169</f>
        <v>-0.00341573998180684</v>
      </c>
      <c r="BE169" s="0" t="n">
        <f aca="false">-BD169*$AC$51</f>
        <v>0.357695454447244</v>
      </c>
      <c r="BF169" s="0" t="n">
        <f aca="false">-BD169*$AD$51</f>
        <v>0.178847727223622</v>
      </c>
      <c r="BG169" s="0" t="n">
        <f aca="false">(-BE169+SQRT(BE169^2-4*$C169))/2</f>
        <v>3.77997670726817</v>
      </c>
      <c r="BH169" s="0" t="n">
        <f aca="false">(-BF169+SQRT(BF169^2-4*$D169))/2</f>
        <v>3.01674757740356</v>
      </c>
      <c r="BI169" s="0" t="n">
        <f aca="false">IF(BG169&lt;&gt;0,($C$21-$B169)*$BD169/BG169/$AC$51-$AC$60*$AC$51,0)</f>
        <v>-4.69958390796292E-005</v>
      </c>
      <c r="BJ169" s="0" t="n">
        <f aca="false">IF(BH169&lt;&gt;0,($C$27-$B169)*$BD169/BH169/$AD$51-$AC$60*$AD$51,0)</f>
        <v>-4.69956176919253E-005</v>
      </c>
      <c r="BK169" s="0" t="n">
        <f aca="false">BD169*1.001</f>
        <v>-0.00341915572178865</v>
      </c>
      <c r="BL169" s="0" t="n">
        <f aca="false">-BK169*$AC$51</f>
        <v>0.358053149901691</v>
      </c>
      <c r="BM169" s="0" t="n">
        <f aca="false">-BK169*$AD$51</f>
        <v>0.179026574950845</v>
      </c>
      <c r="BN169" s="0" t="n">
        <f aca="false">(-BL169+SQRT(BL169^2-4*$C169))/2</f>
        <v>3.77980594337256</v>
      </c>
      <c r="BO169" s="0" t="n">
        <f aca="false">(-BM169+SQRT(BM169^2-4*$D169))/2</f>
        <v>3.01666072925817</v>
      </c>
      <c r="BP169" s="0" t="n">
        <f aca="false">IF(BN169&lt;&gt;0,($C$21-$B169)*$BK169/BN169/$AC$51-$AC$60*$AC$51,0)</f>
        <v>-4.7019350021327E-005</v>
      </c>
      <c r="BQ169" s="0" t="n">
        <f aca="false">IF(BO169&lt;&gt;0,($C$27-$B169)*$BK169/BO169/$AD$51-$AC$60*$AD$51,0)</f>
        <v>-4.70313635214538E-005</v>
      </c>
      <c r="BR169" s="0" t="n">
        <f aca="false">(BP169-BI169)/($BK169-$BD169)</f>
        <v>0.00688311810121091</v>
      </c>
      <c r="BS169" s="0" t="n">
        <f aca="false">(BQ169-BJ169)/($BK169-$BD169)</f>
        <v>0.0104650323850409</v>
      </c>
      <c r="BT169" s="0" t="n">
        <f aca="false">IF(BR169&lt;&gt;BS169,(BJ169-BI169)/(BR169-BS169),0)</f>
        <v>-6.18070914996486E-008</v>
      </c>
      <c r="BU169" s="0" t="n">
        <f aca="false">BD169+BT169</f>
        <v>-0.00341580178889834</v>
      </c>
      <c r="BV169" s="0" t="n">
        <f aca="false">-BU169*$AC$51</f>
        <v>0.35770192687073</v>
      </c>
      <c r="BW169" s="0" t="n">
        <f aca="false">-BU169*$AD$51</f>
        <v>0.178850963435365</v>
      </c>
      <c r="BX169" s="0" t="n">
        <f aca="false">(-BV169+SQRT(BV169^2-4*$C169))/2</f>
        <v>3.77997361726002</v>
      </c>
      <c r="BY169" s="0" t="n">
        <f aca="false">(-BW169+SQRT(BW169^2-4*$D169))/2</f>
        <v>3.01674600588191</v>
      </c>
      <c r="BZ169" s="0" t="n">
        <f aca="false">IF(BX169&lt;&gt;0,($C$21-$B169)*$BU169/BX169/$AC$51-$AC$60*$AC$51,0)</f>
        <v>-4.69962644866945E-005</v>
      </c>
      <c r="CA169" s="0" t="n">
        <f aca="false">IF(BY169&lt;&gt;0,($C$27-$B169)*$BU169/BY169/$AD$51-$AC$60*$AD$51,0)</f>
        <v>-4.69962644871187E-005</v>
      </c>
      <c r="CB169" s="0" t="n">
        <f aca="false">BU169*1.001</f>
        <v>-0.00341921759068724</v>
      </c>
      <c r="CC169" s="0" t="n">
        <f aca="false">-CB169*$AC$51</f>
        <v>0.358059628797601</v>
      </c>
      <c r="CD169" s="0" t="n">
        <f aca="false">-CB169*$AD$51</f>
        <v>0.1790298143988</v>
      </c>
      <c r="CE169" s="0" t="n">
        <f aca="false">(-CC169+SQRT(CC169^2-4*$C169))/2</f>
        <v>3.77980285042045</v>
      </c>
      <c r="CF169" s="0" t="n">
        <f aca="false">(-CD169+SQRT(CD169^2-4*$D169))/2</f>
        <v>3.01665915621159</v>
      </c>
      <c r="CG169" s="0" t="n">
        <f aca="false">IF(CE169&lt;&gt;0,($C$21-$B169)*$CB169/CE169/$AC$51-$AC$60*$AC$51,0)</f>
        <v>-4.70197758914075E-005</v>
      </c>
      <c r="CH169" s="0" t="n">
        <f aca="false">IF(CF169&lt;&gt;0,($C$27-$B169)*$CB169/CF169/$AD$51-$AC$60*$AD$51,0)</f>
        <v>-4.70320110001854E-005</v>
      </c>
      <c r="CI169" s="0" t="n">
        <f aca="false">(CG169-BZ169)/($CB169-$BU169)</f>
        <v>0.00688312910583468</v>
      </c>
      <c r="CJ169" s="0" t="n">
        <f aca="false">(CH169-CA169)/($CB169-$BU169)</f>
        <v>0.0104650431365427</v>
      </c>
      <c r="CK169" s="0" t="n">
        <f aca="false">IF(CI169&lt;&gt;CJ169,(CA169-BZ169)/(CI169-CJ169),0)</f>
        <v>1.18426655790257E-013</v>
      </c>
      <c r="CL169" s="6" t="str">
        <f aca="false">IF(AND(BU169&gt;0,CE169&gt;0,CE169&lt;$C$15,CF169&lt;$C$15,CG169&gt;0,ABS(CK169)&lt;0.1*BU169),B169,"")</f>
        <v/>
      </c>
      <c r="CM169" s="0" t="n">
        <f aca="false">CG169+BU169^2/$C$39</f>
        <v>-4.50751589145673E-005</v>
      </c>
      <c r="CN169" s="0" t="n">
        <f aca="false">-BU169*$C$15/$C$39</f>
        <v>0.00341580178889834</v>
      </c>
      <c r="CO169" s="0" t="n">
        <f aca="false">IF(CL169&lt;&gt;"",(-CM169+SQRT(CM169^2-4*$AC$60*CN169))/2/$AC$60,0)</f>
        <v>0</v>
      </c>
      <c r="CP169" s="0" t="n">
        <f aca="false">CO169*30/PI()</f>
        <v>0</v>
      </c>
      <c r="DB169" s="6"/>
    </row>
    <row r="170" customFormat="false" ht="12.75" hidden="false" customHeight="false" outlineLevel="0" collapsed="false">
      <c r="A170" s="0" t="n">
        <f aca="false">A169+0.01</f>
        <v>0.21</v>
      </c>
      <c r="B170" s="0" t="n">
        <f aca="false">A170*$AC$68</f>
        <v>0.412946731120659</v>
      </c>
      <c r="C170" s="0" t="n">
        <f aca="false">$C$39*($B170-$C$21)</f>
        <v>-15.5223196132761</v>
      </c>
      <c r="D170" s="0" t="n">
        <f aca="false">$C$39*($B170-$C$27)</f>
        <v>-9.52231961327605</v>
      </c>
      <c r="E170" s="0" t="n">
        <f aca="false">$AC$71</f>
        <v>0.0474257507541105</v>
      </c>
      <c r="F170" s="0" t="n">
        <f aca="false">-E170*$AC$51</f>
        <v>-4.96641300533647</v>
      </c>
      <c r="G170" s="0" t="n">
        <f aca="false">-E170*$AD$51</f>
        <v>-2.48320650266823</v>
      </c>
      <c r="H170" s="0" t="n">
        <f aca="false">(-F170+SQRT(F170^2-4*$C170))/2</f>
        <v>7.14031227215317</v>
      </c>
      <c r="I170" s="0" t="n">
        <f aca="false">(-G170+SQRT(G170^2-4*$D170))/2</f>
        <v>4.56784711596574</v>
      </c>
      <c r="J170" s="0" t="n">
        <f aca="false">IF(H170&lt;&gt;0,($C$21-$B170)*$E170/H170/$AC$51-$AC$60*$AC$51,0)</f>
        <v>0.00013958471090513</v>
      </c>
      <c r="K170" s="0" t="n">
        <f aca="false">IF(I170&lt;&gt;0,($C$27-$B170)*$E170/I170/$AD$51-$AC$60*$AD$51,0)</f>
        <v>0.000302448059101721</v>
      </c>
      <c r="L170" s="0" t="n">
        <f aca="false">E170*1.001</f>
        <v>0.0474731765048646</v>
      </c>
      <c r="M170" s="0" t="n">
        <f aca="false">-L170*$AC$51</f>
        <v>-4.97137941834181</v>
      </c>
      <c r="N170" s="0" t="n">
        <f aca="false">-L170*$AD$51</f>
        <v>-2.4856897091709</v>
      </c>
      <c r="O170" s="0" t="n">
        <f aca="false">(-M170+SQRT(M170^2-4*$C170))/2</f>
        <v>7.14412001814346</v>
      </c>
      <c r="P170" s="0" t="n">
        <f aca="false">(-N170+SQRT(N170^2-4*$D170))/2</f>
        <v>4.56955237792525</v>
      </c>
      <c r="Q170" s="0" t="n">
        <f aca="false">IF(O170&lt;&gt;0,($C$21-$B170)*$L170/O170/$AC$51-$AC$60*$AC$51,0)</f>
        <v>0.000139661253611936</v>
      </c>
      <c r="R170" s="0" t="n">
        <f aca="false">IF(P170&lt;&gt;0,($C$27-$B170)*$L170/P170/$AD$51-$AC$60*$AD$51,0)</f>
        <v>0.000302645201616232</v>
      </c>
      <c r="S170" s="0" t="n">
        <f aca="false">(Q170-J170)/($L170-$E170)</f>
        <v>0.00161394823673306</v>
      </c>
      <c r="T170" s="0" t="n">
        <f aca="false">(R170-K170)/($L170-$E170)</f>
        <v>0.00415686649922619</v>
      </c>
      <c r="U170" s="0" t="n">
        <f aca="false">IF(S170&lt;&gt;T170,(K170-J170)/(S170-T170),0)</f>
        <v>-0.0640458447283779</v>
      </c>
      <c r="V170" s="0" t="n">
        <f aca="false">E170+U170</f>
        <v>-0.0166200939742674</v>
      </c>
      <c r="W170" s="0" t="n">
        <f aca="false">-V170*$AC$51</f>
        <v>1.74045217105101</v>
      </c>
      <c r="X170" s="0" t="n">
        <f aca="false">-V170*$AD$51</f>
        <v>0.870226085525506</v>
      </c>
      <c r="Y170" s="0" t="n">
        <f aca="false">(-W170+SQRT(W170^2-4*$C170))/2</f>
        <v>3.16457416395465</v>
      </c>
      <c r="Z170" s="0" t="n">
        <f aca="false">(-X170+SQRT(X170^2-4*$D170))/2</f>
        <v>2.681237863868</v>
      </c>
      <c r="AA170" s="0" t="n">
        <f aca="false">IF(Y170&lt;&gt;0,($C$21-$B170)*$V170/Y170/$AC$51-$AC$60*$AC$51,0)</f>
        <v>-0.000154248423724343</v>
      </c>
      <c r="AB170" s="0" t="n">
        <f aca="false">IF(Z170&lt;&gt;0,($C$27-$B170)*$V170/Z170/$AD$51-$AC$60*$AD$51,0)</f>
        <v>-0.000200135592355666</v>
      </c>
      <c r="AC170" s="0" t="n">
        <f aca="false">V170*1.001</f>
        <v>-0.0166367140682416</v>
      </c>
      <c r="AD170" s="0" t="n">
        <f aca="false">-AC170*$AC$51</f>
        <v>1.74219262322206</v>
      </c>
      <c r="AE170" s="0" t="n">
        <f aca="false">-AC170*$AD$51</f>
        <v>0.871096311611032</v>
      </c>
      <c r="AF170" s="0" t="n">
        <f aca="false">(-AD170+SQRT(AD170^2-4*$C170))/2</f>
        <v>3.16389171778613</v>
      </c>
      <c r="AG170" s="0" t="n">
        <f aca="false">(-AE170+SQRT(AE170^2-4*$D170))/2</f>
        <v>2.68086353222635</v>
      </c>
      <c r="AH170" s="0" t="n">
        <f aca="false">IF(AF170&lt;&gt;0,($C$21-$B170)*$AC170/AF170/$AC$51-$AC$60*$AC$51,0)</f>
        <v>-0.000154406184059483</v>
      </c>
      <c r="AI170" s="0" t="n">
        <f aca="false">IF(AG170&lt;&gt;0,($C$27-$B170)*$AC170/AG170/$AD$51-$AC$60*$AD$51,0)</f>
        <v>-0.000200349737619149</v>
      </c>
      <c r="AJ170" s="0" t="n">
        <f aca="false">(AH170-AA170)/($AC170-$V170)</f>
        <v>0.00949214459221756</v>
      </c>
      <c r="AK170" s="0" t="n">
        <f aca="false">(AI170-AB170)/($AC170-$V170)</f>
        <v>0.0128847203761158</v>
      </c>
      <c r="AL170" s="0" t="n">
        <f aca="false">IF(AJ170&lt;&gt;AK170,(AB170-AA170)/(AJ170-AK170),0)</f>
        <v>0.0135257608243012</v>
      </c>
      <c r="AM170" s="0" t="n">
        <f aca="false">V170+AL170</f>
        <v>-0.00309433314996621</v>
      </c>
      <c r="AN170" s="0" t="n">
        <f aca="false">-AM170*$AC$51</f>
        <v>0.324037809723107</v>
      </c>
      <c r="AO170" s="0" t="n">
        <f aca="false">-AM170*$AD$51</f>
        <v>0.162018904861553</v>
      </c>
      <c r="AP170" s="0" t="n">
        <f aca="false">(-AN170+SQRT(AN170^2-4*$C170))/2</f>
        <v>3.78114857050753</v>
      </c>
      <c r="AQ170" s="0" t="n">
        <f aca="false">(-AO170+SQRT(AO170^2-4*$D170))/2</f>
        <v>3.00587929591426</v>
      </c>
      <c r="AR170" s="0" t="n">
        <f aca="false">IF(AP170&lt;&gt;0,($C$21-$B170)*$AM170/AP170/$AC$51-$AC$60*$AC$51,0)</f>
        <v>-4.47192900661717E-005</v>
      </c>
      <c r="AS170" s="0" t="n">
        <f aca="false">IF(AQ170&lt;&gt;0,($C$27-$B170)*$AM170/AQ170/$AD$51-$AC$60*$AD$51,0)</f>
        <v>-4.34534963795432E-005</v>
      </c>
      <c r="AT170" s="0" t="n">
        <f aca="false">AM170*1.001</f>
        <v>-0.00309742748311617</v>
      </c>
      <c r="AU170" s="0" t="n">
        <f aca="false">-AT170*$AC$51</f>
        <v>0.32436184753283</v>
      </c>
      <c r="AV170" s="0" t="n">
        <f aca="false">-AT170*$AD$51</f>
        <v>0.162180923766415</v>
      </c>
      <c r="AW170" s="0" t="n">
        <f aca="false">(-AU170+SQRT(AU170^2-4*$C170))/2</f>
        <v>3.78099321204217</v>
      </c>
      <c r="AX170" s="0" t="n">
        <f aca="false">(-AV170+SQRT(AV170^2-4*$D170))/2</f>
        <v>3.00580041346119</v>
      </c>
      <c r="AY170" s="0" t="n">
        <f aca="false">IF(AW170&lt;&gt;0,($C$21-$B170)*$AT170/AW170/$AC$51-$AC$60*$AC$51,0)</f>
        <v>-4.47403387631202E-005</v>
      </c>
      <c r="AZ170" s="0" t="n">
        <f aca="false">IF(AX170&lt;&gt;0,($C$27-$B170)*$AT170/AX170/$AD$51-$AC$60*$AD$51,0)</f>
        <v>-4.34855184863478E-005</v>
      </c>
      <c r="BA170" s="0" t="n">
        <f aca="false">(AY170-AR170)/($AT170-$AM170)</f>
        <v>0.00680233702331497</v>
      </c>
      <c r="BB170" s="0" t="n">
        <f aca="false">(AZ170-AS170)/($AT170-$AM170)</f>
        <v>0.0103486293339197</v>
      </c>
      <c r="BC170" s="0" t="n">
        <f aca="false">IF(BA170&lt;&gt;BB170,(AS170-AR170)/(BA170-BB170),0)</f>
        <v>-0.000356934391122623</v>
      </c>
      <c r="BD170" s="0" t="n">
        <f aca="false">AM170+BC170</f>
        <v>-0.00345126754108883</v>
      </c>
      <c r="BE170" s="0" t="n">
        <f aca="false">-BD170*$AC$51</f>
        <v>0.361415891755253</v>
      </c>
      <c r="BF170" s="0" t="n">
        <f aca="false">-BD170*$AD$51</f>
        <v>0.180707945877626</v>
      </c>
      <c r="BG170" s="0" t="n">
        <f aca="false">(-BE170+SQRT(BE170^2-4*$C170))/2</f>
        <v>3.76327164014705</v>
      </c>
      <c r="BH170" s="0" t="n">
        <f aca="false">(-BF170+SQRT(BF170^2-4*$D170))/2</f>
        <v>2.99679413716246</v>
      </c>
      <c r="BI170" s="0" t="n">
        <f aca="false">IF(BG170&lt;&gt;0,($C$21-$B170)*$BD170/BG170/$AC$51-$AC$60*$AC$51,0)</f>
        <v>-4.71584762717728E-005</v>
      </c>
      <c r="BJ170" s="0" t="n">
        <f aca="false">IF(BH170&lt;&gt;0,($C$27-$B170)*$BD170/BH170/$AD$51-$AC$60*$AD$51,0)</f>
        <v>-4.71582331512872E-005</v>
      </c>
      <c r="BK170" s="0" t="n">
        <f aca="false">BD170*1.001</f>
        <v>-0.00345471880862992</v>
      </c>
      <c r="BL170" s="0" t="n">
        <f aca="false">-BK170*$AC$51</f>
        <v>0.361777307647008</v>
      </c>
      <c r="BM170" s="0" t="n">
        <f aca="false">-BK170*$AD$51</f>
        <v>0.180888653823504</v>
      </c>
      <c r="BN170" s="0" t="n">
        <f aca="false">(-BL170+SQRT(BL170^2-4*$C170))/2</f>
        <v>3.76309921613225</v>
      </c>
      <c r="BO170" s="0" t="n">
        <f aca="false">(-BM170+SQRT(BM170^2-4*$D170))/2</f>
        <v>2.99670642897086</v>
      </c>
      <c r="BP170" s="0" t="n">
        <f aca="false">IF(BN170&lt;&gt;0,($C$21-$B170)*$BK170/BN170/$AC$51-$AC$60*$AC$51,0)</f>
        <v>-4.71821717594277E-005</v>
      </c>
      <c r="BQ170" s="0" t="n">
        <f aca="false">IF(BO170&lt;&gt;0,($C$27-$B170)*$BK170/BO170/$AD$51-$AC$60*$AD$51,0)</f>
        <v>-4.7194163009311E-005</v>
      </c>
      <c r="BR170" s="0" t="n">
        <f aca="false">(BP170-BI170)/($BK170-$BD170)</f>
        <v>0.00686573479825255</v>
      </c>
      <c r="BS170" s="0" t="n">
        <f aca="false">(BQ170-BJ170)/($BK170-$BD170)</f>
        <v>0.010410626703404</v>
      </c>
      <c r="BT170" s="0" t="n">
        <f aca="false">IF(BR170&lt;&gt;BS170,(BJ170-BI170)/(BR170-BS170),0)</f>
        <v>-6.8583328370638E-008</v>
      </c>
      <c r="BU170" s="0" t="n">
        <f aca="false">BD170+BT170</f>
        <v>-0.0034513361244172</v>
      </c>
      <c r="BV170" s="0" t="n">
        <f aca="false">-BU170*$AC$51</f>
        <v>0.361423073784605</v>
      </c>
      <c r="BW170" s="0" t="n">
        <f aca="false">-BU170*$AD$51</f>
        <v>0.180711536892303</v>
      </c>
      <c r="BX170" s="0" t="n">
        <f aca="false">(-BV170+SQRT(BV170^2-4*$C170))/2</f>
        <v>3.76326821366956</v>
      </c>
      <c r="BY170" s="0" t="n">
        <f aca="false">(-BW170+SQRT(BW170^2-4*$D170))/2</f>
        <v>2.99679239420616</v>
      </c>
      <c r="BZ170" s="0" t="n">
        <f aca="false">IF(BX170&lt;&gt;0,($C$21-$B170)*$BU170/BX170/$AC$51-$AC$60*$AC$51,0)</f>
        <v>-4.71589471260557E-005</v>
      </c>
      <c r="CA170" s="0" t="n">
        <f aca="false">IF(BY170&lt;&gt;0,($C$27-$B170)*$BU170/BY170/$AD$51-$AC$60*$AD$51,0)</f>
        <v>-4.71589471265351E-005</v>
      </c>
      <c r="CB170" s="0" t="n">
        <f aca="false">BU170*1.001</f>
        <v>-0.00345478746054162</v>
      </c>
      <c r="CC170" s="0" t="n">
        <f aca="false">-CB170*$AC$51</f>
        <v>0.36178449685839</v>
      </c>
      <c r="CD170" s="0" t="n">
        <f aca="false">-CB170*$AD$51</f>
        <v>0.180892248429195</v>
      </c>
      <c r="CE170" s="0" t="n">
        <f aca="false">(-CC170+SQRT(CC170^2-4*$C170))/2</f>
        <v>3.76309578639264</v>
      </c>
      <c r="CF170" s="0" t="n">
        <f aca="false">(-CD170+SQRT(CD170^2-4*$D170))/2</f>
        <v>2.99670468432416</v>
      </c>
      <c r="CG170" s="0" t="n">
        <f aca="false">IF(CE170&lt;&gt;0,($C$21-$B170)*$CB170/CE170/$AC$51-$AC$60*$AC$51,0)</f>
        <v>-4.71826431267682E-005</v>
      </c>
      <c r="CH170" s="0" t="n">
        <f aca="false">IF(CF170&lt;&gt;0,($C$27-$B170)*$CB170/CF170/$AD$51-$AC$60*$AD$51,0)</f>
        <v>-4.7194877739758E-005</v>
      </c>
      <c r="CI170" s="0" t="n">
        <f aca="false">(CG170-BZ170)/($CB170-$BU170)</f>
        <v>0.00686574702036251</v>
      </c>
      <c r="CJ170" s="0" t="n">
        <f aca="false">(CH170-CA170)/($CB170-$BU170)</f>
        <v>0.0104106386418556</v>
      </c>
      <c r="CK170" s="0" t="n">
        <f aca="false">IF(CI170&lt;&gt;CJ170,(CA170-BZ170)/(CI170-CJ170),0)</f>
        <v>1.35248416067156E-013</v>
      </c>
      <c r="CL170" s="6" t="str">
        <f aca="false">IF(AND(BU170&gt;0,CE170&gt;0,CE170&lt;$C$15,CF170&lt;$C$15,CG170&gt;0,ABS(CK170)&lt;0.1*BU170),B170,"")</f>
        <v/>
      </c>
      <c r="CM170" s="0" t="n">
        <f aca="false">CG170+BU170^2/$C$39</f>
        <v>-4.51973562861503E-005</v>
      </c>
      <c r="CN170" s="0" t="n">
        <f aca="false">-BU170*$C$15/$C$39</f>
        <v>0.0034513361244172</v>
      </c>
      <c r="CO170" s="0" t="n">
        <f aca="false">IF(CL170&lt;&gt;"",(-CM170+SQRT(CM170^2-4*$AC$60*CN170))/2/$AC$60,0)</f>
        <v>0</v>
      </c>
      <c r="CP170" s="0" t="n">
        <f aca="false">CO170*30/PI()</f>
        <v>0</v>
      </c>
      <c r="DB170" s="6"/>
    </row>
    <row r="171" customFormat="false" ht="12.75" hidden="false" customHeight="false" outlineLevel="0" collapsed="false">
      <c r="A171" s="0" t="n">
        <f aca="false">A170+0.01</f>
        <v>0.22</v>
      </c>
      <c r="B171" s="0" t="n">
        <f aca="false">A171*$AC$68</f>
        <v>0.432610861174023</v>
      </c>
      <c r="C171" s="0" t="n">
        <f aca="false">$C$39*($B171-$C$21)</f>
        <v>-15.4043348329559</v>
      </c>
      <c r="D171" s="0" t="n">
        <f aca="false">$C$39*($B171-$C$27)</f>
        <v>-9.40433483295586</v>
      </c>
      <c r="E171" s="0" t="n">
        <f aca="false">$AC$71</f>
        <v>0.0474257507541105</v>
      </c>
      <c r="F171" s="0" t="n">
        <f aca="false">-E171*$AC$51</f>
        <v>-4.96641300533647</v>
      </c>
      <c r="G171" s="0" t="n">
        <f aca="false">-E171*$AD$51</f>
        <v>-2.48320650266823</v>
      </c>
      <c r="H171" s="0" t="n">
        <f aca="false">(-F171+SQRT(F171^2-4*$C171))/2</f>
        <v>7.12762781945784</v>
      </c>
      <c r="I171" s="0" t="n">
        <f aca="false">(-G171+SQRT(G171^2-4*$D171))/2</f>
        <v>4.55006414224386</v>
      </c>
      <c r="J171" s="0" t="n">
        <f aca="false">IF(H171&lt;&gt;0,($C$21-$B171)*$E171/H171/$AC$51-$AC$60*$AC$51,0)</f>
        <v>0.0001386272830042</v>
      </c>
      <c r="K171" s="0" t="n">
        <f aca="false">IF(I171&lt;&gt;0,($C$27-$B171)*$E171/I171/$AD$51-$AC$60*$AD$51,0)</f>
        <v>0.000299763526215394</v>
      </c>
      <c r="L171" s="0" t="n">
        <f aca="false">E171*1.001</f>
        <v>0.0474731765048646</v>
      </c>
      <c r="M171" s="0" t="n">
        <f aca="false">-L171*$AC$51</f>
        <v>-4.97137941834181</v>
      </c>
      <c r="N171" s="0" t="n">
        <f aca="false">-L171*$AD$51</f>
        <v>-2.4856897091709</v>
      </c>
      <c r="O171" s="0" t="n">
        <f aca="false">(-M171+SQRT(M171^2-4*$C171))/2</f>
        <v>7.13143918188615</v>
      </c>
      <c r="P171" s="0" t="n">
        <f aca="false">(-N171+SQRT(N171^2-4*$D171))/2</f>
        <v>4.55177189601828</v>
      </c>
      <c r="Q171" s="0" t="n">
        <f aca="false">IF(O171&lt;&gt;0,($C$21-$B171)*$L171/O171/$AC$51-$AC$60*$AC$51,0)</f>
        <v>0.000138703141526359</v>
      </c>
      <c r="R171" s="0" t="n">
        <f aca="false">IF(P171&lt;&gt;0,($C$27-$B171)*$L171/P171/$AD$51-$AC$60*$AD$51,0)</f>
        <v>0.00029995836073969</v>
      </c>
      <c r="S171" s="0" t="n">
        <f aca="false">(Q171-J171)/($L171-$E171)</f>
        <v>0.00159952179887414</v>
      </c>
      <c r="T171" s="0" t="n">
        <f aca="false">(R171-K171)/($L171-$E171)</f>
        <v>0.0041082011607016</v>
      </c>
      <c r="U171" s="0" t="n">
        <f aca="false">IF(S171&lt;&gt;T171,(K171-J171)/(S171-T171),0)</f>
        <v>-0.064231501906172</v>
      </c>
      <c r="V171" s="0" t="n">
        <f aca="false">E171+U171</f>
        <v>-0.0168057511520615</v>
      </c>
      <c r="W171" s="0" t="n">
        <f aca="false">-V171*$AC$51</f>
        <v>1.75989414524582</v>
      </c>
      <c r="X171" s="0" t="n">
        <f aca="false">-V171*$AD$51</f>
        <v>0.879947072622911</v>
      </c>
      <c r="Y171" s="0" t="n">
        <f aca="false">(-W171+SQRT(W171^2-4*$C171))/2</f>
        <v>3.14232115358646</v>
      </c>
      <c r="Z171" s="0" t="n">
        <f aca="false">(-X171+SQRT(X171^2-4*$D171))/2</f>
        <v>2.65807609944493</v>
      </c>
      <c r="AA171" s="0" t="n">
        <f aca="false">IF(Y171&lt;&gt;0,($C$21-$B171)*$V171/Y171/$AC$51-$AC$60*$AC$51,0)</f>
        <v>-0.000155622586238645</v>
      </c>
      <c r="AB171" s="0" t="n">
        <f aca="false">IF(Z171&lt;&gt;0,($C$27-$B171)*$V171/Z171/$AD$51-$AC$60*$AD$51,0)</f>
        <v>-0.000201515377906035</v>
      </c>
      <c r="AC171" s="0" t="n">
        <f aca="false">V171*1.001</f>
        <v>-0.0168225569032136</v>
      </c>
      <c r="AD171" s="0" t="n">
        <f aca="false">-AC171*$AC$51</f>
        <v>1.76165403939107</v>
      </c>
      <c r="AE171" s="0" t="n">
        <f aca="false">-AC171*$AD$51</f>
        <v>0.880827019695534</v>
      </c>
      <c r="AF171" s="0" t="n">
        <f aca="false">(-AD171+SQRT(AD171^2-4*$C171))/2</f>
        <v>3.14163380318162</v>
      </c>
      <c r="AG171" s="0" t="n">
        <f aca="false">(-AE171+SQRT(AE171^2-4*$D171))/2</f>
        <v>2.65769863993188</v>
      </c>
      <c r="AH171" s="0" t="n">
        <f aca="false">IF(AF171&lt;&gt;0,($C$21-$B171)*$AC171/AF171/$AC$51-$AC$60*$AC$51,0)</f>
        <v>-0.000155782422903649</v>
      </c>
      <c r="AI171" s="0" t="n">
        <f aca="false">IF(AG171&lt;&gt;0,($C$27-$B171)*$AC171/AG171/$AD$51-$AC$60*$AD$51,0)</f>
        <v>-0.000201731549351707</v>
      </c>
      <c r="AJ171" s="0" t="n">
        <f aca="false">(AH171-AA171)/($AC171-$V171)</f>
        <v>0.00951083135515881</v>
      </c>
      <c r="AK171" s="0" t="n">
        <f aca="false">(AI171-AB171)/($AC171-$V171)</f>
        <v>0.0128629445787249</v>
      </c>
      <c r="AL171" s="0" t="n">
        <f aca="false">IF(AJ171&lt;&gt;AK171,(AB171-AA171)/(AJ171-AK171),0)</f>
        <v>0.0136907045217786</v>
      </c>
      <c r="AM171" s="0" t="n">
        <f aca="false">V171+AL171</f>
        <v>-0.00311504663028297</v>
      </c>
      <c r="AN171" s="0" t="n">
        <f aca="false">-AM171*$AC$51</f>
        <v>0.326206920309554</v>
      </c>
      <c r="AO171" s="0" t="n">
        <f aca="false">-AM171*$AD$51</f>
        <v>0.163103460154777</v>
      </c>
      <c r="AP171" s="0" t="n">
        <f aca="false">(-AN171+SQRT(AN171^2-4*$C171))/2</f>
        <v>3.76511974781983</v>
      </c>
      <c r="AQ171" s="0" t="n">
        <f aca="false">(-AO171+SQRT(AO171^2-4*$D171))/2</f>
        <v>2.98618123053611</v>
      </c>
      <c r="AR171" s="0" t="n">
        <f aca="false">IF(AP171&lt;&gt;0,($C$21-$B171)*$AM171/AP171/$AC$51-$AC$60*$AC$51,0)</f>
        <v>-4.47859108098859E-005</v>
      </c>
      <c r="AS171" s="0" t="n">
        <f aca="false">IF(AQ171&lt;&gt;0,($C$27-$B171)*$AM171/AQ171/$AD$51-$AC$60*$AD$51,0)</f>
        <v>-4.3477803302819E-005</v>
      </c>
      <c r="AT171" s="0" t="n">
        <f aca="false">AM171*1.001</f>
        <v>-0.00311816167691325</v>
      </c>
      <c r="AU171" s="0" t="n">
        <f aca="false">-AT171*$AC$51</f>
        <v>0.326533127229863</v>
      </c>
      <c r="AV171" s="0" t="n">
        <f aca="false">-AT171*$AD$51</f>
        <v>0.163266563614932</v>
      </c>
      <c r="AW171" s="0" t="n">
        <f aca="false">(-AU171+SQRT(AU171^2-4*$C171))/2</f>
        <v>3.76496341994643</v>
      </c>
      <c r="AX171" s="0" t="n">
        <f aca="false">(-AV171+SQRT(AV171^2-4*$D171))/2</f>
        <v>2.98610184783696</v>
      </c>
      <c r="AY171" s="0" t="n">
        <f aca="false">IF(AW171&lt;&gt;0,($C$21-$B171)*$AT171/AW171/$AC$51-$AC$60*$AC$51,0)</f>
        <v>-4.48070376476851E-005</v>
      </c>
      <c r="AZ171" s="0" t="n">
        <f aca="false">IF(AX171&lt;&gt;0,($C$27-$B171)*$AT171/AX171/$AD$51-$AC$60*$AD$51,0)</f>
        <v>-4.35098610029813E-005</v>
      </c>
      <c r="BA171" s="0" t="n">
        <f aca="false">(AY171-AR171)/($AT171-$AM171)</f>
        <v>0.00678218990169558</v>
      </c>
      <c r="BB171" s="0" t="n">
        <f aca="false">(AZ171-AS171)/($AT171-$AM171)</f>
        <v>0.0102912424650673</v>
      </c>
      <c r="BC171" s="0" t="n">
        <f aca="false">IF(BA171&lt;&gt;BB171,(AS171-AR171)/(BA171-BB171),0)</f>
        <v>-0.000372780824294614</v>
      </c>
      <c r="BD171" s="0" t="n">
        <f aca="false">AM171+BC171</f>
        <v>-0.00348782745457758</v>
      </c>
      <c r="BE171" s="0" t="n">
        <f aca="false">-BD171*$AC$51</f>
        <v>0.365244436942991</v>
      </c>
      <c r="BF171" s="0" t="n">
        <f aca="false">-BD171*$AD$51</f>
        <v>0.182622218471495</v>
      </c>
      <c r="BG171" s="0" t="n">
        <f aca="false">(-BE171+SQRT(BE171^2-4*$C171))/2</f>
        <v>3.7464598254206</v>
      </c>
      <c r="BH171" s="0" t="n">
        <f aca="false">(-BF171+SQRT(BF171^2-4*$D171))/2</f>
        <v>2.97669680333973</v>
      </c>
      <c r="BI171" s="0" t="n">
        <f aca="false">IF(BG171&lt;&gt;0,($C$21-$B171)*$BD171/BG171/$AC$51-$AC$60*$AC$51,0)</f>
        <v>-4.73264083161557E-005</v>
      </c>
      <c r="BJ171" s="0" t="n">
        <f aca="false">IF(BH171&lt;&gt;0,($C$27-$B171)*$BD171/BH171/$AD$51-$AC$60*$AD$51,0)</f>
        <v>-4.73261410468054E-005</v>
      </c>
      <c r="BK171" s="0" t="n">
        <f aca="false">BD171*1.001</f>
        <v>-0.00349131528203216</v>
      </c>
      <c r="BL171" s="0" t="n">
        <f aca="false">-BK171*$AC$51</f>
        <v>0.365609681379933</v>
      </c>
      <c r="BM171" s="0" t="n">
        <f aca="false">-BK171*$AD$51</f>
        <v>0.182804840689967</v>
      </c>
      <c r="BN171" s="0" t="n">
        <f aca="false">(-BL171+SQRT(BL171^2-4*$C171))/2</f>
        <v>3.74628569564736</v>
      </c>
      <c r="BO171" s="0" t="n">
        <f aca="false">(-BM171+SQRT(BM171^2-4*$D171))/2</f>
        <v>2.97660821122082</v>
      </c>
      <c r="BP171" s="0" t="n">
        <f aca="false">IF(BN171&lt;&gt;0,($C$21-$B171)*$BK171/BN171/$AC$51-$AC$60*$AC$51,0)</f>
        <v>-4.73502945391838E-005</v>
      </c>
      <c r="BQ171" s="0" t="n">
        <f aca="false">IF(BO171&lt;&gt;0,($C$27-$B171)*$BK171/BO171/$AD$51-$AC$60*$AD$51,0)</f>
        <v>-4.7362261096719E-005</v>
      </c>
      <c r="BR171" s="0" t="n">
        <f aca="false">(BP171-BI171)/($BK171-$BD171)</f>
        <v>0.00684845318155811</v>
      </c>
      <c r="BS171" s="0" t="n">
        <f aca="false">(BQ171-BJ171)/($BK171-$BD171)</f>
        <v>0.0103560311925062</v>
      </c>
      <c r="BT171" s="0" t="n">
        <f aca="false">IF(BR171&lt;&gt;BS171,(BJ171-BI171)/(BR171-BS171),0)</f>
        <v>-7.6197692411949E-008</v>
      </c>
      <c r="BU171" s="0" t="n">
        <f aca="false">BD171+BT171</f>
        <v>-0.00348790365226999</v>
      </c>
      <c r="BV171" s="0" t="n">
        <f aca="false">-BU171*$AC$51</f>
        <v>0.365252416346681</v>
      </c>
      <c r="BW171" s="0" t="n">
        <f aca="false">-BU171*$AD$51</f>
        <v>0.18262620817334</v>
      </c>
      <c r="BX171" s="0" t="n">
        <f aca="false">(-BV171+SQRT(BV171^2-4*$C171))/2</f>
        <v>3.74645602116058</v>
      </c>
      <c r="BY171" s="0" t="n">
        <f aca="false">(-BW171+SQRT(BW171^2-4*$D171))/2</f>
        <v>2.97669486786089</v>
      </c>
      <c r="BZ171" s="0" t="n">
        <f aca="false">IF(BX171&lt;&gt;0,($C$21-$B171)*$BU171/BX171/$AC$51-$AC$60*$AC$51,0)</f>
        <v>-4.73269301293118E-005</v>
      </c>
      <c r="CA171" s="0" t="n">
        <f aca="false">IF(BY171&lt;&gt;0,($C$27-$B171)*$BU171/BY171/$AD$51-$AC$60*$AD$51,0)</f>
        <v>-4.73269301298544E-005</v>
      </c>
      <c r="CB171" s="0" t="n">
        <f aca="false">BU171*1.001</f>
        <v>-0.00349139155592226</v>
      </c>
      <c r="CC171" s="0" t="n">
        <f aca="false">-CB171*$AC$51</f>
        <v>0.365617668763027</v>
      </c>
      <c r="CD171" s="0" t="n">
        <f aca="false">-CB171*$AD$51</f>
        <v>0.182808834381514</v>
      </c>
      <c r="CE171" s="0" t="n">
        <f aca="false">(-CC171+SQRT(CC171^2-4*$C171))/2</f>
        <v>3.74628188776831</v>
      </c>
      <c r="CF171" s="0" t="n">
        <f aca="false">(-CD171+SQRT(CD171^2-4*$D171))/2</f>
        <v>2.97660627386588</v>
      </c>
      <c r="CG171" s="0" t="n">
        <f aca="false">IF(CE171&lt;&gt;0,($C$21-$B171)*$CB171/CE171/$AC$51-$AC$60*$AC$51,0)</f>
        <v>-4.73508169215825E-005</v>
      </c>
      <c r="CH171" s="0" t="n">
        <f aca="false">IF(CF171&lt;&gt;0,($C$27-$B171)*$CB171/CF171/$AD$51-$AC$60*$AD$51,0)</f>
        <v>-4.73630510151699E-005</v>
      </c>
      <c r="CI171" s="0" t="n">
        <f aca="false">(CG171-BZ171)/($CB171-$BU171)</f>
        <v>0.00684846677318923</v>
      </c>
      <c r="CJ171" s="0" t="n">
        <f aca="false">(CH171-CA171)/($CB171-$BU171)</f>
        <v>0.0103560444658295</v>
      </c>
      <c r="CK171" s="0" t="n">
        <f aca="false">IF(CI171&lt;&gt;CJ171,(CA171-BZ171)/(CI171-CJ171),0)</f>
        <v>1.54696304275635E-013</v>
      </c>
      <c r="CL171" s="6" t="str">
        <f aca="false">IF(AND(BU171&gt;0,CE171&gt;0,CE171&lt;$C$15,CF171&lt;$C$15,CG171&gt;0,ABS(CK171)&lt;0.1*BU171),B171,"")</f>
        <v/>
      </c>
      <c r="CM171" s="0" t="n">
        <f aca="false">CG171+BU171^2/$C$39</f>
        <v>-4.53232382736627E-005</v>
      </c>
      <c r="CN171" s="0" t="n">
        <f aca="false">-BU171*$C$15/$C$39</f>
        <v>0.00348790365226999</v>
      </c>
      <c r="CO171" s="0" t="n">
        <f aca="false">IF(CL171&lt;&gt;"",(-CM171+SQRT(CM171^2-4*$AC$60*CN171))/2/$AC$60,0)</f>
        <v>0</v>
      </c>
      <c r="CP171" s="0" t="n">
        <f aca="false">CO171*30/PI()</f>
        <v>0</v>
      </c>
      <c r="DB171" s="6"/>
    </row>
    <row r="172" customFormat="false" ht="12.75" hidden="false" customHeight="false" outlineLevel="0" collapsed="false">
      <c r="A172" s="0" t="n">
        <f aca="false">A171+0.01</f>
        <v>0.23</v>
      </c>
      <c r="B172" s="0" t="n">
        <f aca="false">A172*$AC$68</f>
        <v>0.452274991227388</v>
      </c>
      <c r="C172" s="0" t="n">
        <f aca="false">$C$39*($B172-$C$21)</f>
        <v>-15.2863500526357</v>
      </c>
      <c r="D172" s="0" t="n">
        <f aca="false">$C$39*($B172-$C$27)</f>
        <v>-9.28635005263567</v>
      </c>
      <c r="E172" s="0" t="n">
        <f aca="false">$AC$71</f>
        <v>0.0474257507541105</v>
      </c>
      <c r="F172" s="0" t="n">
        <f aca="false">-E172*$AC$51</f>
        <v>-4.96641300533647</v>
      </c>
      <c r="G172" s="0" t="n">
        <f aca="false">-E172*$AD$51</f>
        <v>-2.48320650266823</v>
      </c>
      <c r="H172" s="0" t="n">
        <f aca="false">(-F172+SQRT(F172^2-4*$C172))/2</f>
        <v>7.11490862905001</v>
      </c>
      <c r="I172" s="0" t="n">
        <f aca="false">(-G172+SQRT(G172^2-4*$D172))/2</f>
        <v>4.53218506711672</v>
      </c>
      <c r="J172" s="0" t="n">
        <f aca="false">IF(H172&lt;&gt;0,($C$21-$B172)*$E172/H172/$AC$51-$AC$60*$AC$51,0)</f>
        <v>0.00013766723308591</v>
      </c>
      <c r="K172" s="0" t="n">
        <f aca="false">IF(I172&lt;&gt;0,($C$27-$B172)*$E172/I172/$AD$51-$AC$60*$AD$51,0)</f>
        <v>0.00029706448577893</v>
      </c>
      <c r="L172" s="0" t="n">
        <f aca="false">E172*1.001</f>
        <v>0.0474731765048646</v>
      </c>
      <c r="M172" s="0" t="n">
        <f aca="false">-L172*$AC$51</f>
        <v>-4.97137941834181</v>
      </c>
      <c r="N172" s="0" t="n">
        <f aca="false">-L172*$AD$51</f>
        <v>-2.4856897091709</v>
      </c>
      <c r="O172" s="0" t="n">
        <f aca="false">(-M172+SQRT(M172^2-4*$C172))/2</f>
        <v>7.1187236377013</v>
      </c>
      <c r="P172" s="0" t="n">
        <f aca="false">(-N172+SQRT(N172^2-4*$D172))/2</f>
        <v>4.53389535331761</v>
      </c>
      <c r="Q172" s="0" t="n">
        <f aca="false">IF(O172&lt;&gt;0,($C$21-$B172)*$L172/O172/$AC$51-$AC$60*$AC$51,0)</f>
        <v>0.000137742407051835</v>
      </c>
      <c r="R172" s="0" t="n">
        <f aca="false">IF(P172&lt;&gt;0,($C$27-$B172)*$L172/P172/$AD$51-$AC$60*$AD$51,0)</f>
        <v>0.000297257003942348</v>
      </c>
      <c r="S172" s="0" t="n">
        <f aca="false">(Q172-J172)/($L172-$E172)</f>
        <v>0.00158508752586449</v>
      </c>
      <c r="T172" s="0" t="n">
        <f aca="false">(R172-K172)/($L172-$E172)</f>
        <v>0.00405935932182174</v>
      </c>
      <c r="U172" s="0" t="n">
        <f aca="false">IF(S172&lt;&gt;T172,(K172-J172)/(S172-T172),0)</f>
        <v>-0.064421884836363</v>
      </c>
      <c r="V172" s="0" t="n">
        <f aca="false">E172+U172</f>
        <v>-0.0169961340822525</v>
      </c>
      <c r="W172" s="0" t="n">
        <f aca="false">-V172*$AC$51</f>
        <v>1.77983099907438</v>
      </c>
      <c r="X172" s="0" t="n">
        <f aca="false">-V172*$AD$51</f>
        <v>0.889915499537191</v>
      </c>
      <c r="Y172" s="0" t="n">
        <f aca="false">(-W172+SQRT(W172^2-4*$C172))/2</f>
        <v>3.11986001150482</v>
      </c>
      <c r="Z172" s="0" t="n">
        <f aca="false">(-X172+SQRT(X172^2-4*$D172))/2</f>
        <v>2.63470740276257</v>
      </c>
      <c r="AA172" s="0" t="n">
        <f aca="false">IF(Y172&lt;&gt;0,($C$21-$B172)*$V172/Y172/$AC$51-$AC$60*$AC$51,0)</f>
        <v>-0.00015703969384868</v>
      </c>
      <c r="AB172" s="0" t="n">
        <f aca="false">IF(Z172&lt;&gt;0,($C$27-$B172)*$V172/Z172/$AD$51-$AC$60*$AD$51,0)</f>
        <v>-0.000202934487529797</v>
      </c>
      <c r="AC172" s="0" t="n">
        <f aca="false">V172*1.001</f>
        <v>-0.0170131302163347</v>
      </c>
      <c r="AD172" s="0" t="n">
        <f aca="false">-AC172*$AC$51</f>
        <v>1.78161083007346</v>
      </c>
      <c r="AE172" s="0" t="n">
        <f aca="false">-AC172*$AD$51</f>
        <v>0.890805415036728</v>
      </c>
      <c r="AF172" s="0" t="n">
        <f aca="false">(-AD172+SQRT(AD172^2-4*$C172))/2</f>
        <v>3.11916769461057</v>
      </c>
      <c r="AG172" s="0" t="n">
        <f aca="false">(-AE172+SQRT(AE172^2-4*$D172))/2</f>
        <v>2.63432676509775</v>
      </c>
      <c r="AH172" s="0" t="n">
        <f aca="false">IF(AF172&lt;&gt;0,($C$21-$B172)*$AC172/AF172/$AC$51-$AC$60*$AC$51,0)</f>
        <v>-0.000157201678287272</v>
      </c>
      <c r="AI172" s="0" t="n">
        <f aca="false">IF(AG172&lt;&gt;0,($C$27-$B172)*$AC172/AG172/$AD$51-$AC$60*$AD$51,0)</f>
        <v>-0.000203152750624718</v>
      </c>
      <c r="AJ172" s="0" t="n">
        <f aca="false">(AH172-AA172)/($AC172-$V172)</f>
        <v>0.00953066372667736</v>
      </c>
      <c r="AK172" s="0" t="n">
        <f aca="false">(AI172-AB172)/($AC172-$V172)</f>
        <v>0.0128419259264833</v>
      </c>
      <c r="AL172" s="0" t="n">
        <f aca="false">IF(AJ172&lt;&gt;AK172,(AB172-AA172)/(AJ172-AK172),0)</f>
        <v>0.0138602112764754</v>
      </c>
      <c r="AM172" s="0" t="n">
        <f aca="false">V172+AL172</f>
        <v>-0.00313592280577711</v>
      </c>
      <c r="AN172" s="0" t="n">
        <f aca="false">-AM172*$AC$51</f>
        <v>0.328393068295136</v>
      </c>
      <c r="AO172" s="0" t="n">
        <f aca="false">-AM172*$AD$51</f>
        <v>0.164196534147568</v>
      </c>
      <c r="AP172" s="0" t="n">
        <f aca="false">(-AN172+SQRT(AN172^2-4*$C172))/2</f>
        <v>3.74902599395657</v>
      </c>
      <c r="AQ172" s="0" t="n">
        <f aca="false">(-AO172+SQRT(AO172^2-4*$D172))/2</f>
        <v>2.96635874887579</v>
      </c>
      <c r="AR172" s="0" t="n">
        <f aca="false">IF(AP172&lt;&gt;0,($C$21-$B172)*$AM172/AP172/$AC$51-$AC$60*$AC$51,0)</f>
        <v>-4.48524345124964E-005</v>
      </c>
      <c r="AS172" s="0" t="n">
        <f aca="false">IF(AQ172&lt;&gt;0,($C$27-$B172)*$AM172/AQ172/$AD$51-$AC$60*$AD$51,0)</f>
        <v>-4.35001201465784E-005</v>
      </c>
      <c r="AT172" s="0" t="n">
        <f aca="false">AM172*1.001</f>
        <v>-0.00313905872858289</v>
      </c>
      <c r="AU172" s="0" t="n">
        <f aca="false">-AT172*$AC$51</f>
        <v>0.328721461363431</v>
      </c>
      <c r="AV172" s="0" t="n">
        <f aca="false">-AT172*$AD$51</f>
        <v>0.164360730681715</v>
      </c>
      <c r="AW172" s="0" t="n">
        <f aca="false">(-AU172+SQRT(AU172^2-4*$C172))/2</f>
        <v>3.74886869045192</v>
      </c>
      <c r="AX172" s="0" t="n">
        <f aca="false">(-AV172+SQRT(AV172^2-4*$D172))/2</f>
        <v>2.96627886270915</v>
      </c>
      <c r="AY172" s="0" t="n">
        <f aca="false">IF(AW172&lt;&gt;0,($C$21-$B172)*$AT172/AW172/$AC$51-$AC$60*$AC$51,0)</f>
        <v>-4.48736395716548E-005</v>
      </c>
      <c r="AZ172" s="0" t="n">
        <f aca="false">IF(AX172&lt;&gt;0,($C$27-$B172)*$AT172/AX172/$AD$51-$AC$60*$AD$51,0)</f>
        <v>-4.35322116237796E-005</v>
      </c>
      <c r="BA172" s="0" t="n">
        <f aca="false">(AY172-AR172)/($AT172-$AM172)</f>
        <v>0.00676198378330098</v>
      </c>
      <c r="BB172" s="0" t="n">
        <f aca="false">(AZ172-AS172)/($AT172-$AM172)</f>
        <v>0.0102335035613864</v>
      </c>
      <c r="BC172" s="0" t="n">
        <f aca="false">IF(BA172&lt;&gt;BB172,(AS172-AR172)/(BA172-BB172),0)</f>
        <v>-0.000389545343931126</v>
      </c>
      <c r="BD172" s="0" t="n">
        <f aca="false">AM172+BC172</f>
        <v>-0.00352546814970824</v>
      </c>
      <c r="BE172" s="0" t="n">
        <f aca="false">-BD172*$AC$51</f>
        <v>0.369186161319607</v>
      </c>
      <c r="BF172" s="0" t="n">
        <f aca="false">-BD172*$AD$51</f>
        <v>0.184593080659803</v>
      </c>
      <c r="BG172" s="0" t="n">
        <f aca="false">(-BE172+SQRT(BE172^2-4*$C172))/2</f>
        <v>3.72953832465392</v>
      </c>
      <c r="BH172" s="0" t="n">
        <f aca="false">(-BF172+SQRT(BF172^2-4*$D172))/2</f>
        <v>2.95645217086171</v>
      </c>
      <c r="BI172" s="0" t="n">
        <f aca="false">IF(BG172&lt;&gt;0,($C$21-$B172)*$BD172/BG172/$AC$51-$AC$60*$AC$51,0)</f>
        <v>-4.74998993291121E-005</v>
      </c>
      <c r="BJ172" s="0" t="n">
        <f aca="false">IF(BH172&lt;&gt;0,($C$27-$B172)*$BD172/BH172/$AD$51-$AC$60*$AD$51,0)</f>
        <v>-4.74996051938098E-005</v>
      </c>
      <c r="BK172" s="0" t="n">
        <f aca="false">BD172*1.001</f>
        <v>-0.00352899361785795</v>
      </c>
      <c r="BL172" s="0" t="n">
        <f aca="false">-BK172*$AC$51</f>
        <v>0.369555347480926</v>
      </c>
      <c r="BM172" s="0" t="n">
        <f aca="false">-BK172*$AD$51</f>
        <v>0.184777673740463</v>
      </c>
      <c r="BN172" s="0" t="n">
        <f aca="false">(-BL172+SQRT(BL172^2-4*$C172))/2</f>
        <v>3.72936244145069</v>
      </c>
      <c r="BO172" s="0" t="n">
        <f aca="false">(-BM172+SQRT(BM172^2-4*$D172))/2</f>
        <v>2.95636266986394</v>
      </c>
      <c r="BP172" s="0" t="n">
        <f aca="false">IF(BN172&lt;&gt;0,($C$21-$B172)*$BK172/BN172/$AC$51-$AC$60*$AC$51,0)</f>
        <v>-4.75239827944173E-005</v>
      </c>
      <c r="BQ172" s="0" t="n">
        <f aca="false">IF(BO172&lt;&gt;0,($C$27-$B172)*$BK172/BO172/$AD$51-$AC$60*$AD$51,0)</f>
        <v>-4.75359219146668E-005</v>
      </c>
      <c r="BR172" s="0" t="n">
        <f aca="false">(BP172-BI172)/($BK172-$BD172)</f>
        <v>0.00683128148730697</v>
      </c>
      <c r="BS172" s="0" t="n">
        <f aca="false">(BQ172-BJ172)/($BK172-$BD172)</f>
        <v>0.010301247753414</v>
      </c>
      <c r="BT172" s="0" t="n">
        <f aca="false">IF(BR172&lt;&gt;BS172,(BJ172-BI172)/(BR172-BS172),0)</f>
        <v>-8.47660408581863E-008</v>
      </c>
      <c r="BU172" s="0" t="n">
        <f aca="false">BD172+BT172</f>
        <v>-0.0035255529157491</v>
      </c>
      <c r="BV172" s="0" t="n">
        <f aca="false">-BU172*$AC$51</f>
        <v>0.369195037998648</v>
      </c>
      <c r="BW172" s="0" t="n">
        <f aca="false">-BU172*$AD$51</f>
        <v>0.184597518999324</v>
      </c>
      <c r="BX172" s="0" t="n">
        <f aca="false">(-BV172+SQRT(BV172^2-4*$C172))/2</f>
        <v>3.72953409563199</v>
      </c>
      <c r="BY172" s="0" t="n">
        <f aca="false">(-BW172+SQRT(BW172^2-4*$D172))/2</f>
        <v>2.95645001887498</v>
      </c>
      <c r="BZ172" s="0" t="n">
        <f aca="false">IF(BX172&lt;&gt;0,($C$21-$B172)*$BU172/BX172/$AC$51-$AC$60*$AC$51,0)</f>
        <v>-4.75004783637746E-005</v>
      </c>
      <c r="CA172" s="0" t="n">
        <f aca="false">IF(BY172&lt;&gt;0,($C$27-$B172)*$BU172/BY172/$AD$51-$AC$60*$AD$51,0)</f>
        <v>-4.75004783643895E-005</v>
      </c>
      <c r="CB172" s="0" t="n">
        <f aca="false">BU172*1.001</f>
        <v>-0.00352907846866485</v>
      </c>
      <c r="CC172" s="0" t="n">
        <f aca="false">-CB172*$AC$51</f>
        <v>0.369564233036647</v>
      </c>
      <c r="CD172" s="0" t="n">
        <f aca="false">-CB172*$AD$51</f>
        <v>0.184782116518323</v>
      </c>
      <c r="CE172" s="0" t="n">
        <f aca="false">(-CC172+SQRT(CC172^2-4*$C172))/2</f>
        <v>3.72935820840881</v>
      </c>
      <c r="CF172" s="0" t="n">
        <f aca="false">(-CD172+SQRT(CD172^2-4*$D172))/2</f>
        <v>2.95636051579241</v>
      </c>
      <c r="CG172" s="0" t="n">
        <f aca="false">IF(CE172&lt;&gt;0,($C$21-$B172)*$CB172/CE172/$AC$51-$AC$60*$AC$51,0)</f>
        <v>-4.75245624614977E-005</v>
      </c>
      <c r="CH172" s="0" t="n">
        <f aca="false">IF(CF172&lt;&gt;0,($C$27-$B172)*$CB172/CF172/$AD$51-$AC$60*$AD$51,0)</f>
        <v>-4.75367960105386E-005</v>
      </c>
      <c r="CI172" s="0" t="n">
        <f aca="false">(CG172-BZ172)/($CB172-$BU172)</f>
        <v>0.0068312966217174</v>
      </c>
      <c r="CJ172" s="0" t="n">
        <f aca="false">(CH172-CA172)/($CB172-$BU172)</f>
        <v>0.0103012625301473</v>
      </c>
      <c r="CK172" s="0" t="n">
        <f aca="false">IF(CI172&lt;&gt;CJ172,(CA172-BZ172)/(CI172-CJ172),0)</f>
        <v>1.7720982125354E-013</v>
      </c>
      <c r="CL172" s="6" t="str">
        <f aca="false">IF(AND(BU172&gt;0,CE172&gt;0,CE172&lt;$C$15,CF172&lt;$C$15,CG172&gt;0,ABS(CK172)&lt;0.1*BU172),B172,"")</f>
        <v/>
      </c>
      <c r="CM172" s="0" t="n">
        <f aca="false">CG172+BU172^2/$C$39</f>
        <v>-4.54529752345398E-005</v>
      </c>
      <c r="CN172" s="0" t="n">
        <f aca="false">-BU172*$C$15/$C$39</f>
        <v>0.0035255529157491</v>
      </c>
      <c r="CO172" s="0" t="n">
        <f aca="false">IF(CL172&lt;&gt;"",(-CM172+SQRT(CM172^2-4*$AC$60*CN172))/2/$AC$60,0)</f>
        <v>0</v>
      </c>
      <c r="CP172" s="0" t="n">
        <f aca="false">CO172*30/PI()</f>
        <v>0</v>
      </c>
      <c r="DB172" s="6"/>
    </row>
    <row r="173" customFormat="false" ht="12.75" hidden="false" customHeight="false" outlineLevel="0" collapsed="false">
      <c r="A173" s="0" t="n">
        <f aca="false">A172+0.01</f>
        <v>0.24</v>
      </c>
      <c r="B173" s="0" t="n">
        <f aca="false">A173*$AC$68</f>
        <v>0.471939121280753</v>
      </c>
      <c r="C173" s="0" t="n">
        <f aca="false">$C$39*($B173-$C$21)</f>
        <v>-15.1683652723155</v>
      </c>
      <c r="D173" s="0" t="n">
        <f aca="false">$C$39*($B173-$C$27)</f>
        <v>-9.16836527231548</v>
      </c>
      <c r="E173" s="0" t="n">
        <f aca="false">$AC$71</f>
        <v>0.0474257507541105</v>
      </c>
      <c r="F173" s="0" t="n">
        <f aca="false">-E173*$AC$51</f>
        <v>-4.96641300533647</v>
      </c>
      <c r="G173" s="0" t="n">
        <f aca="false">-E173*$AD$51</f>
        <v>-2.48320650266823</v>
      </c>
      <c r="H173" s="0" t="n">
        <f aca="false">(-F173+SQRT(F173^2-4*$C173))/2</f>
        <v>7.10215441395813</v>
      </c>
      <c r="I173" s="0" t="n">
        <f aca="false">(-G173+SQRT(G173^2-4*$D173))/2</f>
        <v>4.51420831550531</v>
      </c>
      <c r="J173" s="0" t="n">
        <f aca="false">IF(H173&lt;&gt;0,($C$21-$B173)*$E173/H173/$AC$51-$AC$60*$AC$51,0)</f>
        <v>0.000136704539489526</v>
      </c>
      <c r="K173" s="0" t="n">
        <f aca="false">IF(I173&lt;&gt;0,($C$27-$B173)*$E173/I173/$AD$51-$AC$60*$AD$51,0)</f>
        <v>0.000294350700017058</v>
      </c>
      <c r="L173" s="0" t="n">
        <f aca="false">E173*1.001</f>
        <v>0.0474731765048646</v>
      </c>
      <c r="M173" s="0" t="n">
        <f aca="false">-L173*$AC$51</f>
        <v>-4.97137941834181</v>
      </c>
      <c r="N173" s="0" t="n">
        <f aca="false">-L173*$AD$51</f>
        <v>-2.4856897091709</v>
      </c>
      <c r="O173" s="0" t="n">
        <f aca="false">(-M173+SQRT(M173^2-4*$C173))/2</f>
        <v>7.10597309902846</v>
      </c>
      <c r="P173" s="0" t="n">
        <f aca="false">(-N173+SQRT(N173^2-4*$D173))/2</f>
        <v>4.51592117585952</v>
      </c>
      <c r="Q173" s="0" t="n">
        <f aca="false">IF(O173&lt;&gt;0,($C$21-$B173)*$L173/O173/$AC$51-$AC$60*$AC$51,0)</f>
        <v>0.00013677902853703</v>
      </c>
      <c r="R173" s="0" t="n">
        <f aca="false">IF(P173&lt;&gt;0,($C$27-$B173)*$L173/P173/$AD$51-$AC$60*$AD$51,0)</f>
        <v>0.000294540893379692</v>
      </c>
      <c r="S173" s="0" t="n">
        <f aca="false">(Q173-J173)/($L173-$E173)</f>
        <v>0.00157064561592592</v>
      </c>
      <c r="T173" s="0" t="n">
        <f aca="false">(R173-K173)/($L173-$E173)</f>
        <v>0.00401033952251919</v>
      </c>
      <c r="U173" s="0" t="n">
        <f aca="false">IF(S173&lt;&gt;T173,(K173-J173)/(S173-T173),0)</f>
        <v>-0.0646171882880446</v>
      </c>
      <c r="V173" s="0" t="n">
        <f aca="false">E173+U173</f>
        <v>-0.0171914375339342</v>
      </c>
      <c r="W173" s="0" t="n">
        <f aca="false">-V173*$AC$51</f>
        <v>1.80028312870851</v>
      </c>
      <c r="X173" s="0" t="n">
        <f aca="false">-V173*$AD$51</f>
        <v>0.900141564354257</v>
      </c>
      <c r="Y173" s="0" t="n">
        <f aca="false">(-W173+SQRT(W173^2-4*$C173))/2</f>
        <v>3.09718505579997</v>
      </c>
      <c r="Z173" s="0" t="n">
        <f aca="false">(-X173+SQRT(X173^2-4*$D173))/2</f>
        <v>2.6111265295434</v>
      </c>
      <c r="AA173" s="0" t="n">
        <f aca="false">IF(Y173&lt;&gt;0,($C$21-$B173)*$V173/Y173/$AC$51-$AC$60*$AC$51,0)</f>
        <v>-0.000158501870986679</v>
      </c>
      <c r="AB173" s="0" t="n">
        <f aca="false">IF(Z173&lt;&gt;0,($C$27-$B173)*$V173/Z173/$AD$51-$AC$60*$AD$51,0)</f>
        <v>-0.000204394838106276</v>
      </c>
      <c r="AC173" s="0" t="n">
        <f aca="false">V173*1.001</f>
        <v>-0.0172086289714681</v>
      </c>
      <c r="AD173" s="0" t="n">
        <f aca="false">-AC173*$AC$51</f>
        <v>1.80208341183722</v>
      </c>
      <c r="AE173" s="0" t="n">
        <f aca="false">-AC173*$AD$51</f>
        <v>0.901041705918611</v>
      </c>
      <c r="AF173" s="0" t="n">
        <f aca="false">(-AD173+SQRT(AD173^2-4*$C173))/2</f>
        <v>3.09648770962297</v>
      </c>
      <c r="AG173" s="0" t="n">
        <f aca="false">(-AE173+SQRT(AE173^2-4*$D173))/2</f>
        <v>2.61074266253012</v>
      </c>
      <c r="AH173" s="0" t="n">
        <f aca="false">IF(AF173&lt;&gt;0,($C$21-$B173)*$AC173/AF173/$AC$51-$AC$60*$AC$51,0)</f>
        <v>-0.000158666078384845</v>
      </c>
      <c r="AI173" s="0" t="n">
        <f aca="false">IF(AG173&lt;&gt;0,($C$27-$B173)*$AC173/AG173/$AD$51-$AC$60*$AD$51,0)</f>
        <v>-0.00020461526172873</v>
      </c>
      <c r="AJ173" s="0" t="n">
        <f aca="false">(AH173-AA173)/($AC173-$V173)</f>
        <v>0.00955169675850628</v>
      </c>
      <c r="AK173" s="0" t="n">
        <f aca="false">(AI173-AB173)/($AC173-$V173)</f>
        <v>0.0128217097621284</v>
      </c>
      <c r="AL173" s="0" t="n">
        <f aca="false">IF(AJ173&lt;&gt;AK173,(AB173-AA173)/(AJ173-AK173),0)</f>
        <v>0.0140344907095974</v>
      </c>
      <c r="AM173" s="0" t="n">
        <f aca="false">V173+AL173</f>
        <v>-0.00315694682433672</v>
      </c>
      <c r="AN173" s="0" t="n">
        <f aca="false">-AM173*$AC$51</f>
        <v>0.330594698370329</v>
      </c>
      <c r="AO173" s="0" t="n">
        <f aca="false">-AM173*$AD$51</f>
        <v>0.165297349185164</v>
      </c>
      <c r="AP173" s="0" t="n">
        <f aca="false">(-AN173+SQRT(AN173^2-4*$C173))/2</f>
        <v>3.73286740951387</v>
      </c>
      <c r="AQ173" s="0" t="n">
        <f aca="false">(-AO173+SQRT(AO173^2-4*$D173))/2</f>
        <v>2.94640993753882</v>
      </c>
      <c r="AR173" s="0" t="n">
        <f aca="false">IF(AP173&lt;&gt;0,($C$21-$B173)*$AM173/AP173/$AC$51-$AC$60*$AC$51,0)</f>
        <v>-4.49187422357854E-005</v>
      </c>
      <c r="AS173" s="0" t="n">
        <f aca="false">IF(AQ173&lt;&gt;0,($C$27-$B173)*$AM173/AQ173/$AD$51-$AC$60*$AD$51,0)</f>
        <v>-4.35202205574401E-005</v>
      </c>
      <c r="AT173" s="0" t="n">
        <f aca="false">AM173*1.001</f>
        <v>-0.00316010377116106</v>
      </c>
      <c r="AU173" s="0" t="n">
        <f aca="false">-AT173*$AC$51</f>
        <v>0.330925293068699</v>
      </c>
      <c r="AV173" s="0" t="n">
        <f aca="false">-AT173*$AD$51</f>
        <v>0.16546264653435</v>
      </c>
      <c r="AW173" s="0" t="n">
        <f aca="false">(-AU173+SQRT(AU173^2-4*$C173))/2</f>
        <v>3.7327091249136</v>
      </c>
      <c r="AX173" s="0" t="n">
        <f aca="false">(-AV173+SQRT(AV173^2-4*$D173))/2</f>
        <v>2.94632954508213</v>
      </c>
      <c r="AY173" s="0" t="n">
        <f aca="false">IF(AW173&lt;&gt;0,($C$21-$B173)*$AT173/AW173/$AC$51-$AC$60*$AC$51,0)</f>
        <v>-4.49400254718103E-005</v>
      </c>
      <c r="AZ173" s="0" t="n">
        <f aca="false">IF(AX173&lt;&gt;0,($C$27-$B173)*$AT173/AX173/$AD$51-$AC$60*$AD$51,0)</f>
        <v>-4.3552343763154E-005</v>
      </c>
      <c r="BA173" s="0" t="n">
        <f aca="false">(AY173-AR173)/($AT173-$AM173)</f>
        <v>0.00674171508396952</v>
      </c>
      <c r="BB173" s="0" t="n">
        <f aca="false">(AZ173-AS173)/($AT173-$AM173)</f>
        <v>0.0101754028500763</v>
      </c>
      <c r="BC173" s="0" t="n">
        <f aca="false">IF(BA173&lt;&gt;BB173,(AS173-AR173)/(BA173-BB173),0)</f>
        <v>-0.000407294365011804</v>
      </c>
      <c r="BD173" s="0" t="n">
        <f aca="false">AM173+BC173</f>
        <v>-0.00356424118934852</v>
      </c>
      <c r="BE173" s="0" t="n">
        <f aca="false">-BD173*$AC$51</f>
        <v>0.373246464535982</v>
      </c>
      <c r="BF173" s="0" t="n">
        <f aca="false">-BD173*$AD$51</f>
        <v>0.186623232267991</v>
      </c>
      <c r="BG173" s="0" t="n">
        <f aca="false">(-BE173+SQRT(BE173^2-4*$C173))/2</f>
        <v>3.71250404228174</v>
      </c>
      <c r="BH173" s="0" t="n">
        <f aca="false">(-BF173+SQRT(BF173^2-4*$D173))/2</f>
        <v>2.93605668930874</v>
      </c>
      <c r="BI173" s="0" t="n">
        <f aca="false">IF(BG173&lt;&gt;0,($C$21-$B173)*$BD173/BG173/$AC$51-$AC$60*$AC$51,0)</f>
        <v>-4.76792313248495E-005</v>
      </c>
      <c r="BJ173" s="0" t="n">
        <f aca="false">IF(BH173&lt;&gt;0,($C$27-$B173)*$BD173/BH173/$AD$51-$AC$60*$AD$51,0)</f>
        <v>-4.7678907263859E-005</v>
      </c>
      <c r="BK173" s="0" t="n">
        <f aca="false">BD173*1.001</f>
        <v>-0.00356780543053787</v>
      </c>
      <c r="BL173" s="0" t="n">
        <f aca="false">-BK173*$AC$51</f>
        <v>0.373619711000518</v>
      </c>
      <c r="BM173" s="0" t="n">
        <f aca="false">-BK173*$AD$51</f>
        <v>0.186809855500259</v>
      </c>
      <c r="BN173" s="0" t="n">
        <f aca="false">(-BL173+SQRT(BL173^2-4*$C173))/2</f>
        <v>3.71232635581982</v>
      </c>
      <c r="BO173" s="0" t="n">
        <f aca="false">(-BM173+SQRT(BM173^2-4*$D173))/2</f>
        <v>2.93596625334398</v>
      </c>
      <c r="BP173" s="0" t="n">
        <f aca="false">IF(BN173&lt;&gt;0,($C$21-$B173)*$BK173/BN173/$AC$51-$AC$60*$AC$51,0)</f>
        <v>-4.77035188789149E-005</v>
      </c>
      <c r="BQ173" s="0" t="n">
        <f aca="false">IF(BO173&lt;&gt;0,($C$27-$B173)*$BK173/BO173/$AD$51-$AC$60*$AD$51,0)</f>
        <v>-4.77154274722949E-005</v>
      </c>
      <c r="BR173" s="0" t="n">
        <f aca="false">(BP173-BI173)/($BK173-$BD173)</f>
        <v>0.00681422854828516</v>
      </c>
      <c r="BS173" s="0" t="n">
        <f aca="false">(BQ173-BJ173)/($BK173-$BD173)</f>
        <v>0.0102462786595316</v>
      </c>
      <c r="BT173" s="0" t="n">
        <f aca="false">IF(BR173&lt;&gt;BS173,(BJ173-BI173)/(BR173-BS173),0)</f>
        <v>-9.4421986841758E-008</v>
      </c>
      <c r="BU173" s="0" t="n">
        <f aca="false">BD173+BT173</f>
        <v>-0.00356433561133537</v>
      </c>
      <c r="BV173" s="0" t="n">
        <f aca="false">-BU173*$AC$51</f>
        <v>0.373256352383322</v>
      </c>
      <c r="BW173" s="0" t="n">
        <f aca="false">-BU173*$AD$51</f>
        <v>0.186628176191661</v>
      </c>
      <c r="BX173" s="0" t="n">
        <f aca="false">(-BV173+SQRT(BV173^2-4*$C173))/2</f>
        <v>3.71249933499134</v>
      </c>
      <c r="BY173" s="0" t="n">
        <f aca="false">(-BW173+SQRT(BW173^2-4*$D173))/2</f>
        <v>2.93605429349011</v>
      </c>
      <c r="BZ173" s="0" t="n">
        <f aca="false">IF(BX173&lt;&gt;0,($C$21-$B173)*$BU173/BX173/$AC$51-$AC$60*$AC$51,0)</f>
        <v>-4.76798747085862E-005</v>
      </c>
      <c r="CA173" s="0" t="n">
        <f aca="false">IF(BY173&lt;&gt;0,($C$27-$B173)*$BU173/BY173/$AD$51-$AC$60*$AD$51,0)</f>
        <v>-4.7679874709284E-005</v>
      </c>
      <c r="CB173" s="0" t="n">
        <f aca="false">BU173*1.001</f>
        <v>-0.0035678999469467</v>
      </c>
      <c r="CC173" s="0" t="n">
        <f aca="false">-CB173*$AC$51</f>
        <v>0.373629608735706</v>
      </c>
      <c r="CD173" s="0" t="n">
        <f aca="false">-CB173*$AD$51</f>
        <v>0.186814804367853</v>
      </c>
      <c r="CE173" s="0" t="n">
        <f aca="false">(-CC173+SQRT(CC173^2-4*$C173))/2</f>
        <v>3.71232164405845</v>
      </c>
      <c r="CF173" s="0" t="n">
        <f aca="false">(-CD173+SQRT(CD173^2-4*$D173))/2</f>
        <v>2.93596385520567</v>
      </c>
      <c r="CG173" s="0" t="n">
        <f aca="false">IF(CE173&lt;&gt;0,($C$21-$B173)*$CB173/CE173/$AC$51-$AC$60*$AC$51,0)</f>
        <v>-4.77041629662127E-005</v>
      </c>
      <c r="CH173" s="0" t="n">
        <f aca="false">IF(CF173&lt;&gt;0,($C$27-$B173)*$CB173/CF173/$AD$51-$AC$60*$AD$51,0)</f>
        <v>-4.77163959439073E-005</v>
      </c>
      <c r="CI173" s="0" t="n">
        <f aca="false">(CG173-BZ173)/($CB173-$BU173)</f>
        <v>0.00681424542325776</v>
      </c>
      <c r="CJ173" s="0" t="n">
        <f aca="false">(CH173-CA173)/($CB173-$BU173)</f>
        <v>0.0102462951320081</v>
      </c>
      <c r="CK173" s="0" t="n">
        <f aca="false">IF(CI173&lt;&gt;CJ173,(CA173-BZ173)/(CI173-CJ173),0)</f>
        <v>2.03328399939531E-013</v>
      </c>
      <c r="CL173" s="0" t="str">
        <f aca="false">IF(AND(BU173&gt;0,CE173&gt;0,CE173&lt;$C$15,CF173&lt;$C$15,CG173&gt;0,ABS(CK173)&lt;0.1*BU173),B173,"")</f>
        <v/>
      </c>
      <c r="CM173" s="0" t="n">
        <f aca="false">CG173+BU173^2/$C$39</f>
        <v>-4.55867482411738E-005</v>
      </c>
      <c r="CN173" s="0" t="n">
        <f aca="false">-BU173*$C$15/$C$39</f>
        <v>0.00356433561133537</v>
      </c>
      <c r="CO173" s="0" t="n">
        <f aca="false">IF(CL173&lt;&gt;"",(-CM173+SQRT(CM173^2-4*$AC$60*CN173))/2/$AC$60,0)</f>
        <v>0</v>
      </c>
      <c r="CP173" s="0" t="n">
        <f aca="false">CO173*30/PI()</f>
        <v>0</v>
      </c>
      <c r="DB173" s="6"/>
    </row>
    <row r="174" customFormat="false" ht="12.75" hidden="false" customHeight="false" outlineLevel="0" collapsed="false">
      <c r="A174" s="0" t="n">
        <f aca="false">A173+0.01</f>
        <v>0.25</v>
      </c>
      <c r="B174" s="0" t="n">
        <f aca="false">A174*$AC$68</f>
        <v>0.491603251334117</v>
      </c>
      <c r="C174" s="0" t="n">
        <f aca="false">$C$39*($B174-$C$21)</f>
        <v>-15.0503804919953</v>
      </c>
      <c r="D174" s="0" t="n">
        <f aca="false">$C$39*($B174-$C$27)</f>
        <v>-9.0503804919953</v>
      </c>
      <c r="E174" s="0" t="n">
        <f aca="false">$AC$71</f>
        <v>0.0474257507541105</v>
      </c>
      <c r="F174" s="0" t="n">
        <f aca="false">-E174*$AC$51</f>
        <v>-4.96641300533647</v>
      </c>
      <c r="G174" s="0" t="n">
        <f aca="false">-E174*$AD$51</f>
        <v>-2.48320650266823</v>
      </c>
      <c r="H174" s="0" t="n">
        <f aca="false">(-F174+SQRT(F174^2-4*$C174))/2</f>
        <v>7.08936488323757</v>
      </c>
      <c r="I174" s="0" t="n">
        <f aca="false">(-G174+SQRT(G174^2-4*$D174))/2</f>
        <v>4.49613226882939</v>
      </c>
      <c r="J174" s="0" t="n">
        <f aca="false">IF(H174&lt;&gt;0,($C$21-$B174)*$E174/H174/$AC$51-$AC$60*$AC$51,0)</f>
        <v>0.000135739180254422</v>
      </c>
      <c r="K174" s="0" t="n">
        <f aca="false">IF(I174&lt;&gt;0,($C$27-$B174)*$E174/I174/$AD$51-$AC$60*$AD$51,0)</f>
        <v>0.000291621924587525</v>
      </c>
      <c r="L174" s="0" t="n">
        <f aca="false">E174*1.001</f>
        <v>0.0474731765048646</v>
      </c>
      <c r="M174" s="0" t="n">
        <f aca="false">-L174*$AC$51</f>
        <v>-4.97137941834181</v>
      </c>
      <c r="N174" s="0" t="n">
        <f aca="false">-L174*$AD$51</f>
        <v>-2.4856897091709</v>
      </c>
      <c r="O174" s="0" t="n">
        <f aca="false">(-M174+SQRT(M174^2-4*$C174))/2</f>
        <v>7.09318727534209</v>
      </c>
      <c r="P174" s="0" t="n">
        <f aca="false">(-N174+SQRT(N174^2-4*$D174))/2</f>
        <v>4.49784774622239</v>
      </c>
      <c r="Q174" s="0" t="n">
        <f aca="false">IF(O174&lt;&gt;0,($C$21-$B174)*$L174/O174/$AC$51-$AC$60*$AC$51,0)</f>
        <v>0.000135812984031022</v>
      </c>
      <c r="R174" s="0" t="n">
        <f aca="false">IF(P174&lt;&gt;0,($C$27-$B174)*$L174/P174/$AD$51-$AC$60*$AD$51,0)</f>
        <v>0.000291809784640208</v>
      </c>
      <c r="S174" s="0" t="n">
        <f aca="false">(Q174-J174)/($L174-$E174)</f>
        <v>0.00155619627367965</v>
      </c>
      <c r="T174" s="0" t="n">
        <f aca="false">(R174-K174)/($L174-$E174)</f>
        <v>0.00396114030238815</v>
      </c>
      <c r="U174" s="0" t="n">
        <f aca="false">IF(S174&lt;&gt;T174,(K174-J174)/(S174-T174),0)</f>
        <v>-0.064817618402876</v>
      </c>
      <c r="V174" s="0" t="n">
        <f aca="false">E174+U174</f>
        <v>-0.0173918676487656</v>
      </c>
      <c r="W174" s="0" t="n">
        <f aca="false">-V174*$AC$51</f>
        <v>1.82127212125226</v>
      </c>
      <c r="X174" s="0" t="n">
        <f aca="false">-V174*$AD$51</f>
        <v>0.910636060626131</v>
      </c>
      <c r="Y174" s="0" t="n">
        <f aca="false">(-W174+SQRT(W174^2-4*$C174))/2</f>
        <v>3.07429035361391</v>
      </c>
      <c r="Z174" s="0" t="n">
        <f aca="false">(-X174+SQRT(X174^2-4*$D174))/2</f>
        <v>2.58732802217537</v>
      </c>
      <c r="AA174" s="0" t="n">
        <f aca="false">IF(Y174&lt;&gt;0,($C$21-$B174)*$V174/Y174/$AC$51-$AC$60*$AC$51,0)</f>
        <v>-0.000160011386008692</v>
      </c>
      <c r="AB174" s="0" t="n">
        <f aca="false">IF(Z174&lt;&gt;0,($C$27-$B174)*$V174/Z174/$AD$51-$AC$60*$AD$51,0)</f>
        <v>-0.000205898477562976</v>
      </c>
      <c r="AC174" s="0" t="n">
        <f aca="false">V174*1.001</f>
        <v>-0.0174092595164143</v>
      </c>
      <c r="AD174" s="0" t="n">
        <f aca="false">-AC174*$AC$51</f>
        <v>1.82309339337351</v>
      </c>
      <c r="AE174" s="0" t="n">
        <f aca="false">-AC174*$AD$51</f>
        <v>0.911546696686757</v>
      </c>
      <c r="AF174" s="0" t="n">
        <f aca="false">(-AD174+SQRT(AD174^2-4*$C174))/2</f>
        <v>3.07358791487103</v>
      </c>
      <c r="AG174" s="0" t="n">
        <f aca="false">(-AE174+SQRT(AE174^2-4*$D174))/2</f>
        <v>2.58694087370499</v>
      </c>
      <c r="AH174" s="0" t="n">
        <f aca="false">IF(AF174&lt;&gt;0,($C$21-$B174)*$AC174/AF174/$AC$51-$AC$60*$AC$51,0)</f>
        <v>-0.000160177895557836</v>
      </c>
      <c r="AI174" s="0" t="n">
        <f aca="false">IF(AG174&lt;&gt;0,($C$27-$B174)*$AC174/AG174/$AD$51-$AC$60*$AD$51,0)</f>
        <v>-0.000206121134245091</v>
      </c>
      <c r="AJ174" s="0" t="n">
        <f aca="false">(AH174-AA174)/($AC174-$V174)</f>
        <v>0.00957398897617103</v>
      </c>
      <c r="AK174" s="0" t="n">
        <f aca="false">(AI174-AB174)/($AC174-$V174)</f>
        <v>0.0128023445561741</v>
      </c>
      <c r="AL174" s="0" t="n">
        <f aca="false">IF(AJ174&lt;&gt;AK174,(AB174-AA174)/(AJ174-AK174),0)</f>
        <v>0.0142137662401612</v>
      </c>
      <c r="AM174" s="0" t="n">
        <f aca="false">V174+AL174</f>
        <v>-0.00317810140860436</v>
      </c>
      <c r="AN174" s="0" t="n">
        <f aca="false">-AM174*$AC$51</f>
        <v>0.332810001254494</v>
      </c>
      <c r="AO174" s="0" t="n">
        <f aca="false">-AM174*$AD$51</f>
        <v>0.166405000627247</v>
      </c>
      <c r="AP174" s="0" t="n">
        <f aca="false">(-AN174+SQRT(AN174^2-4*$C174))/2</f>
        <v>3.71664420279898</v>
      </c>
      <c r="AQ174" s="0" t="n">
        <f aca="false">(-AO174+SQRT(AO174^2-4*$D174))/2</f>
        <v>2.92633287047931</v>
      </c>
      <c r="AR174" s="0" t="n">
        <f aca="false">IF(AP174&lt;&gt;0,($C$21-$B174)*$AM174/AP174/$AC$51-$AC$60*$AC$51,0)</f>
        <v>-4.49846997249529E-005</v>
      </c>
      <c r="AS174" s="0" t="n">
        <f aca="false">IF(AQ174&lt;&gt;0,($C$27-$B174)*$AM174/AQ174/$AD$51-$AC$60*$AD$51,0)</f>
        <v>-4.35378553947025E-005</v>
      </c>
      <c r="AT174" s="0" t="n">
        <f aca="false">AM174*1.001</f>
        <v>-0.00318127951001296</v>
      </c>
      <c r="AU174" s="0" t="n">
        <f aca="false">-AT174*$AC$51</f>
        <v>0.333142811255749</v>
      </c>
      <c r="AV174" s="0" t="n">
        <f aca="false">-AT174*$AD$51</f>
        <v>0.166571405627874</v>
      </c>
      <c r="AW174" s="0" t="n">
        <f aca="false">(-AU174+SQRT(AU174^2-4*$C174))/2</f>
        <v>3.71648493251199</v>
      </c>
      <c r="AX174" s="0" t="n">
        <f aca="false">(-AV174+SQRT(AV174^2-4*$D174))/2</f>
        <v>2.92625196936904</v>
      </c>
      <c r="AY174" s="0" t="n">
        <f aca="false">IF(AW174&lt;&gt;0,($C$21-$B174)*$AT174/AW174/$AC$51-$AC$60*$AC$51,0)</f>
        <v>-4.50060609514502E-005</v>
      </c>
      <c r="AZ174" s="0" t="n">
        <f aca="false">IF(AX174&lt;&gt;0,($C$27-$B174)*$AT174/AX174/$AD$51-$AC$60*$AD$51,0)</f>
        <v>-4.35700080238713E-005</v>
      </c>
      <c r="BA174" s="0" t="n">
        <f aca="false">(AY174-AR174)/($AT174-$AM174)</f>
        <v>0.00672137976450226</v>
      </c>
      <c r="BB174" s="0" t="n">
        <f aca="false">(AZ174-AS174)/($AT174-$AM174)</f>
        <v>0.0101169299008982</v>
      </c>
      <c r="BC174" s="0" t="n">
        <f aca="false">IF(BA174&lt;&gt;BB174,(AS174-AR174)/(BA174-BB174),0)</f>
        <v>-0.000426100122846673</v>
      </c>
      <c r="BD174" s="0" t="n">
        <f aca="false">AM174+BC174</f>
        <v>-0.00360420153145103</v>
      </c>
      <c r="BE174" s="0" t="n">
        <f aca="false">-BD174*$AC$51</f>
        <v>0.377431101775455</v>
      </c>
      <c r="BF174" s="0" t="n">
        <f aca="false">-BD174*$AD$51</f>
        <v>0.188715550887727</v>
      </c>
      <c r="BG174" s="0" t="n">
        <f aca="false">(-BE174+SQRT(BE174^2-4*$C174))/2</f>
        <v>3.69535371357476</v>
      </c>
      <c r="BH174" s="0" t="n">
        <f aca="false">(-BF174+SQRT(BF174^2-4*$D174))/2</f>
        <v>2.91550665369277</v>
      </c>
      <c r="BI174" s="0" t="n">
        <f aca="false">IF(BG174&lt;&gt;0,($C$21-$B174)*$BD174/BG174/$AC$51-$AC$60*$AC$51,0)</f>
        <v>-4.78647057574135E-005</v>
      </c>
      <c r="BJ174" s="0" t="n">
        <f aca="false">IF(BH174&lt;&gt;0,($C$27-$B174)*$BD174/BH174/$AD$51-$AC$60*$AD$51,0)</f>
        <v>-4.78643483203606E-005</v>
      </c>
      <c r="BK174" s="0" t="n">
        <f aca="false">BD174*1.001</f>
        <v>-0.00360780573298248</v>
      </c>
      <c r="BL174" s="0" t="n">
        <f aca="false">-BK174*$AC$51</f>
        <v>0.37780853287723</v>
      </c>
      <c r="BM174" s="0" t="n">
        <f aca="false">-BK174*$AD$51</f>
        <v>0.188904266438615</v>
      </c>
      <c r="BN174" s="0" t="n">
        <f aca="false">(-BL174+SQRT(BL174^2-4*$C174))/2</f>
        <v>3.69517417173356</v>
      </c>
      <c r="BO174" s="0" t="n">
        <f aca="false">(-BM174+SQRT(BM174^2-4*$D174))/2</f>
        <v>2.91541525546495</v>
      </c>
      <c r="BP174" s="0" t="n">
        <f aca="false">IF(BN174&lt;&gt;0,($C$21-$B174)*$BK174/BN174/$AC$51-$AC$60*$AC$51,0)</f>
        <v>-4.7889204610344E-005</v>
      </c>
      <c r="BQ174" s="0" t="n">
        <f aca="false">IF(BO174&lt;&gt;0,($C$27-$B174)*$BK174/BO174/$AD$51-$AC$60*$AD$51,0)</f>
        <v>-4.79010791944495E-005</v>
      </c>
      <c r="BR174" s="0" t="n">
        <f aca="false">(BP174-BI174)/($BK174-$BD174)</f>
        <v>0.00679730384572353</v>
      </c>
      <c r="BS174" s="0" t="n">
        <f aca="false">(BQ174-BJ174)/($BK174-$BD174)</f>
        <v>0.0101911265972275</v>
      </c>
      <c r="BT174" s="0" t="n">
        <f aca="false">IF(BR174&lt;&gt;BS174,(BJ174-BI174)/(BR174-BS174),0)</f>
        <v>-1.05319894157645E-007</v>
      </c>
      <c r="BU174" s="0" t="n">
        <f aca="false">BD174+BT174</f>
        <v>-0.00360430685134519</v>
      </c>
      <c r="BV174" s="0" t="n">
        <f aca="false">-BU174*$AC$51</f>
        <v>0.37744213084898</v>
      </c>
      <c r="BW174" s="0" t="n">
        <f aca="false">-BU174*$AD$51</f>
        <v>0.18872106542449</v>
      </c>
      <c r="BX174" s="0" t="n">
        <f aca="false">(-BV174+SQRT(BV174^2-4*$C174))/2</f>
        <v>3.69534846697709</v>
      </c>
      <c r="BY174" s="0" t="n">
        <f aca="false">(-BW174+SQRT(BW174^2-4*$D174))/2</f>
        <v>2.91550398286467</v>
      </c>
      <c r="BZ174" s="0" t="n">
        <f aca="false">IF(BX174&lt;&gt;0,($C$21-$B174)*$BU174/BX174/$AC$51-$AC$60*$AC$51,0)</f>
        <v>-4.78654216157896E-005</v>
      </c>
      <c r="CA174" s="0" t="n">
        <f aca="false">IF(BY174&lt;&gt;0,($C$27-$B174)*$BU174/BY174/$AD$51-$AC$60*$AD$51,0)</f>
        <v>-4.78654216165826E-005</v>
      </c>
      <c r="CB174" s="0" t="n">
        <f aca="false">BU174*1.001</f>
        <v>-0.00360791115819653</v>
      </c>
      <c r="CC174" s="0" t="n">
        <f aca="false">-CB174*$AC$51</f>
        <v>0.377819572979829</v>
      </c>
      <c r="CD174" s="0" t="n">
        <f aca="false">-CB174*$AD$51</f>
        <v>0.188909786489915</v>
      </c>
      <c r="CE174" s="0" t="n">
        <f aca="false">(-CC174+SQRT(CC174^2-4*$C174))/2</f>
        <v>3.69516892015687</v>
      </c>
      <c r="CF174" s="0" t="n">
        <f aca="false">(-CD174+SQRT(CD174^2-4*$D174))/2</f>
        <v>2.91541258205245</v>
      </c>
      <c r="CG174" s="0" t="n">
        <f aca="false">IF(CE174&lt;&gt;0,($C$21-$B174)*$CB174/CE174/$AC$51-$AC$60*$AC$51,0)</f>
        <v>-4.78899212525226E-005</v>
      </c>
      <c r="CH174" s="0" t="n">
        <f aca="false">IF(CF174&lt;&gt;0,($C$27-$B174)*$CB174/CF174/$AD$51-$AC$60*$AD$51,0)</f>
        <v>-4.79021536302762E-005</v>
      </c>
      <c r="CI174" s="0" t="n">
        <f aca="false">(CG174-BZ174)/($CB174-$BU174)</f>
        <v>0.00679732268740104</v>
      </c>
      <c r="CJ174" s="0" t="n">
        <f aca="false">(CH174-CA174)/($CB174-$BU174)</f>
        <v>0.0101911449853203</v>
      </c>
      <c r="CK174" s="0" t="n">
        <f aca="false">IF(CI174&lt;&gt;CJ174,(CA174-BZ174)/(CI174-CJ174),0)</f>
        <v>2.33657562361372E-013</v>
      </c>
      <c r="CL174" s="0" t="str">
        <f aca="false">IF(AND(BU174&gt;0,CE174&gt;0,CE174&lt;$C$15,CF174&lt;$C$15,CG174&gt;0,ABS(CK174)&lt;0.1*BU174),B174,"")</f>
        <v/>
      </c>
      <c r="CM174" s="0" t="n">
        <f aca="false">CG174+BU174^2/$C$39</f>
        <v>-4.57247499394136E-005</v>
      </c>
      <c r="CN174" s="0" t="n">
        <f aca="false">-BU174*$C$15/$C$39</f>
        <v>0.00360430685134519</v>
      </c>
      <c r="CO174" s="0" t="n">
        <f aca="false">IF(CL174&lt;&gt;"",(-CM174+SQRT(CM174^2-4*$AC$60*CN174))/2/$AC$60,0)</f>
        <v>0</v>
      </c>
      <c r="CP174" s="0" t="n">
        <f aca="false">CO174*30/PI()</f>
        <v>0</v>
      </c>
      <c r="DB174" s="6"/>
    </row>
    <row r="175" customFormat="false" ht="12.75" hidden="false" customHeight="false" outlineLevel="0" collapsed="false">
      <c r="A175" s="0" t="n">
        <f aca="false">A174+0.01</f>
        <v>0.26</v>
      </c>
      <c r="B175" s="0" t="n">
        <f aca="false">A175*$AC$68</f>
        <v>0.511267381387482</v>
      </c>
      <c r="C175" s="0" t="n">
        <f aca="false">$C$39*($B175-$C$21)</f>
        <v>-14.9323957116751</v>
      </c>
      <c r="D175" s="0" t="n">
        <f aca="false">$C$39*($B175-$C$27)</f>
        <v>-8.93239571167511</v>
      </c>
      <c r="E175" s="0" t="n">
        <f aca="false">$AC$71</f>
        <v>0.0474257507541105</v>
      </c>
      <c r="F175" s="0" t="n">
        <f aca="false">-E175*$AC$51</f>
        <v>-4.96641300533647</v>
      </c>
      <c r="G175" s="0" t="n">
        <f aca="false">-E175*$AD$51</f>
        <v>-2.48320650266823</v>
      </c>
      <c r="H175" s="0" t="n">
        <f aca="false">(-F175+SQRT(F175^2-4*$C175))/2</f>
        <v>7.0765397418932</v>
      </c>
      <c r="I175" s="0" t="n">
        <f aca="false">(-G175+SQRT(G175^2-4*$D175))/2</f>
        <v>4.47795526330663</v>
      </c>
      <c r="J175" s="0" t="n">
        <f aca="false">IF(H175&lt;&gt;0,($C$21-$B175)*$E175/H175/$AC$51-$AC$60*$AC$51,0)</f>
        <v>0.000134771133114241</v>
      </c>
      <c r="K175" s="0" t="n">
        <f aca="false">IF(I175&lt;&gt;0,($C$27-$B175)*$E175/I175/$AD$51-$AC$60*$AD$51,0)</f>
        <v>0.00028887790832433</v>
      </c>
      <c r="L175" s="0" t="n">
        <f aca="false">E175*1.001</f>
        <v>0.0474731765048646</v>
      </c>
      <c r="M175" s="0" t="n">
        <f aca="false">-L175*$AC$51</f>
        <v>-4.97137941834181</v>
      </c>
      <c r="N175" s="0" t="n">
        <f aca="false">-L175*$AD$51</f>
        <v>-2.4856897091709</v>
      </c>
      <c r="O175" s="0" t="n">
        <f aca="false">(-M175+SQRT(M175^2-4*$C175))/2</f>
        <v>7.08036587207436</v>
      </c>
      <c r="P175" s="0" t="n">
        <f aca="false">(-N175+SQRT(N175^2-4*$D175))/2</f>
        <v>4.47967340182805</v>
      </c>
      <c r="Q175" s="0" t="n">
        <f aca="false">IF(O175&lt;&gt;0,($C$21-$B175)*$L175/O175/$AC$51-$AC$60*$AC$51,0)</f>
        <v>0.000134844251277472</v>
      </c>
      <c r="R175" s="0" t="n">
        <f aca="false">IF(P175&lt;&gt;0,($C$27-$B175)*$L175/P175/$AD$51-$AC$60*$AD$51,0)</f>
        <v>0.000289063426488693</v>
      </c>
      <c r="S175" s="0" t="n">
        <f aca="false">(Q175-J175)/($L175-$E175)</f>
        <v>0.00154173971034915</v>
      </c>
      <c r="T175" s="0" t="n">
        <f aca="false">(R175-K175)/($L175-$E175)</f>
        <v>0.00391176020227106</v>
      </c>
      <c r="U175" s="0" t="n">
        <f aca="false">IF(S175&lt;&gt;T175,(K175-J175)/(S175-T175),0)</f>
        <v>-0.0650233935678421</v>
      </c>
      <c r="V175" s="0" t="n">
        <f aca="false">E175+U175</f>
        <v>-0.0175976428137316</v>
      </c>
      <c r="W175" s="0" t="n">
        <f aca="false">-V175*$AC$51</f>
        <v>1.84282084613721</v>
      </c>
      <c r="X175" s="0" t="n">
        <f aca="false">-V175*$AD$51</f>
        <v>0.921410423068605</v>
      </c>
      <c r="Y175" s="0" t="n">
        <f aca="false">(-W175+SQRT(W175^2-4*$C175))/2</f>
        <v>3.05116970569086</v>
      </c>
      <c r="Z175" s="0" t="n">
        <f aca="false">(-X175+SQRT(X175^2-4*$D175))/2</f>
        <v>2.56330619777122</v>
      </c>
      <c r="AA175" s="0" t="n">
        <f aca="false">IF(Y175&lt;&gt;0,($C$21-$B175)*$V175/Y175/$AC$51-$AC$60*$AC$51,0)</f>
        <v>-0.000161570663648637</v>
      </c>
      <c r="AB175" s="0" t="n">
        <f aca="false">IF(Z175&lt;&gt;0,($C$27-$B175)*$V175/Z175/$AD$51-$AC$60*$AD$51,0)</f>
        <v>-0.000207447596389178</v>
      </c>
      <c r="AC175" s="0" t="n">
        <f aca="false">V175*1.001</f>
        <v>-0.0176152404565453</v>
      </c>
      <c r="AD175" s="0" t="n">
        <f aca="false">-AC175*$AC$51</f>
        <v>1.84466366698335</v>
      </c>
      <c r="AE175" s="0" t="n">
        <f aca="false">-AC175*$AD$51</f>
        <v>0.922331833491673</v>
      </c>
      <c r="AF175" s="0" t="n">
        <f aca="false">(-AD175+SQRT(AD175^2-4*$C175))/2</f>
        <v>3.05046211066743</v>
      </c>
      <c r="AG175" s="0" t="n">
        <f aca="false">(-AE175+SQRT(AE175^2-4*$D175))/2</f>
        <v>2.56291571483145</v>
      </c>
      <c r="AH175" s="0" t="n">
        <f aca="false">IF(AF175&lt;&gt;0,($C$21-$B175)*$AC175/AF175/$AC$51-$AC$60*$AC$51,0)</f>
        <v>-0.000161739558832077</v>
      </c>
      <c r="AI175" s="0" t="n">
        <f aca="false">IF(AG175&lt;&gt;0,($C$27-$B175)*$AC175/AG175/$AD$51-$AC$60*$AD$51,0)</f>
        <v>-0.000207672562581416</v>
      </c>
      <c r="AJ175" s="0" t="n">
        <f aca="false">(AH175-AA175)/($AC175-$V175)</f>
        <v>0.00959760265778526</v>
      </c>
      <c r="AK175" s="0" t="n">
        <f aca="false">(AI175-AB175)/($AC175-$V175)</f>
        <v>0.0127838821720912</v>
      </c>
      <c r="AL175" s="0" t="n">
        <f aca="false">IF(AJ175&lt;&gt;AK175,(AB175-AA175)/(AJ175-AK175),0)</f>
        <v>0.0143982762763156</v>
      </c>
      <c r="AM175" s="0" t="n">
        <f aca="false">V175+AL175</f>
        <v>-0.00319936653741597</v>
      </c>
      <c r="AN175" s="0" t="n">
        <f aca="false">-AM175*$AC$51</f>
        <v>0.335036880336234</v>
      </c>
      <c r="AO175" s="0" t="n">
        <f aca="false">-AM175*$AD$51</f>
        <v>0.167518440168117</v>
      </c>
      <c r="AP175" s="0" t="n">
        <f aca="false">(-AN175+SQRT(AN175^2-4*$C175))/2</f>
        <v>3.70035670511145</v>
      </c>
      <c r="AQ175" s="0" t="n">
        <f aca="false">(-AO175+SQRT(AO175^2-4*$D175))/2</f>
        <v>2.90612561358833</v>
      </c>
      <c r="AR175" s="0" t="n">
        <f aca="false">IF(AP175&lt;&gt;0,($C$21-$B175)*$AM175/AP175/$AC$51-$AC$60*$AC$51,0)</f>
        <v>-4.50501555257808E-005</v>
      </c>
      <c r="AS175" s="0" t="n">
        <f aca="false">IF(AQ175&lt;&gt;0,($C$27-$B175)*$AM175/AQ175/$AD$51-$AC$60*$AD$51,0)</f>
        <v>-4.35527502248863E-005</v>
      </c>
      <c r="AT175" s="0" t="n">
        <f aca="false">AM175*1.001</f>
        <v>-0.00320256590395338</v>
      </c>
      <c r="AU175" s="0" t="n">
        <f aca="false">-AT175*$AC$51</f>
        <v>0.33537191721657</v>
      </c>
      <c r="AV175" s="0" t="n">
        <f aca="false">-AT175*$AD$51</f>
        <v>0.167685958608285</v>
      </c>
      <c r="AW175" s="0" t="n">
        <f aca="false">(-AU175+SQRT(AU175^2-4*$C175))/2</f>
        <v>3.70019644554899</v>
      </c>
      <c r="AX175" s="0" t="n">
        <f aca="false">(-AV175+SQRT(AV175^2-4*$D175))/2</f>
        <v>2.90604420198777</v>
      </c>
      <c r="AY175" s="0" t="n">
        <f aca="false">IF(AW175&lt;&gt;0,($C$21-$B175)*$AT175/AW175/$AC$51-$AC$60*$AC$51,0)</f>
        <v>-4.50715943954354E-005</v>
      </c>
      <c r="AZ175" s="0" t="n">
        <f aca="false">IF(AX175&lt;&gt;0,($C$27-$B175)*$AT175/AX175/$AD$51-$AC$60*$AD$51,0)</f>
        <v>-4.35849296888616E-005</v>
      </c>
      <c r="BA175" s="0" t="n">
        <f aca="false">(AY175-AR175)/($AT175-$AM175)</f>
        <v>0.00670097327199517</v>
      </c>
      <c r="BB175" s="0" t="n">
        <f aca="false">(AZ175-AS175)/($AT175-$AM175)</f>
        <v>0.0100580735589302</v>
      </c>
      <c r="BC175" s="0" t="n">
        <f aca="false">IF(BA175&lt;&gt;BB175,(AS175-AR175)/(BA175-BB175),0)</f>
        <v>-0.000446041277563873</v>
      </c>
      <c r="BD175" s="0" t="n">
        <f aca="false">AM175+BC175</f>
        <v>-0.00364540781497984</v>
      </c>
      <c r="BE175" s="0" t="n">
        <f aca="false">-BD175*$AC$51</f>
        <v>0.381746213695983</v>
      </c>
      <c r="BF175" s="0" t="n">
        <f aca="false">-BD175*$AD$51</f>
        <v>0.190873106847991</v>
      </c>
      <c r="BG175" s="0" t="n">
        <f aca="false">(-BE175+SQRT(BE175^2-4*$C175))/2</f>
        <v>3.67808389143887</v>
      </c>
      <c r="BH175" s="0" t="n">
        <f aca="false">(-BF175+SQRT(BF175^2-4*$D175))/2</f>
        <v>2.89479819445192</v>
      </c>
      <c r="BI175" s="0" t="n">
        <f aca="false">IF(BG175&lt;&gt;0,($C$21-$B175)*$BD175/BG175/$AC$51-$AC$60*$AC$51,0)</f>
        <v>-4.80566452245744E-005</v>
      </c>
      <c r="BJ175" s="0" t="n">
        <f aca="false">IF(BH175&lt;&gt;0,($C$27-$B175)*$BD175/BH175/$AD$51-$AC$60*$AD$51,0)</f>
        <v>-4.80562505150499E-005</v>
      </c>
      <c r="BK175" s="0" t="n">
        <f aca="false">BD175*1.001</f>
        <v>-0.00364905322279482</v>
      </c>
      <c r="BL175" s="0" t="n">
        <f aca="false">-BK175*$AC$51</f>
        <v>0.382127959909679</v>
      </c>
      <c r="BM175" s="0" t="n">
        <f aca="false">-BK175*$AD$51</f>
        <v>0.191063979954839</v>
      </c>
      <c r="BN175" s="0" t="n">
        <f aca="false">(-BL175+SQRT(BL175^2-4*$C175))/2</f>
        <v>3.67790243966052</v>
      </c>
      <c r="BO175" s="0" t="n">
        <f aca="false">(-BM175+SQRT(BM175^2-4*$D175))/2</f>
        <v>2.89470580538002</v>
      </c>
      <c r="BP175" s="0" t="n">
        <f aca="false">IF(BN175&lt;&gt;0,($C$21-$B175)*$BK175/BN175/$AC$51-$AC$60*$AC$51,0)</f>
        <v>-4.8081362976301E-005</v>
      </c>
      <c r="BQ175" s="0" t="n">
        <f aca="false">IF(BO175&lt;&gt;0,($C$27-$B175)*$BK175/BO175/$AD$51-$AC$60*$AD$51,0)</f>
        <v>-4.8093199620301E-005</v>
      </c>
      <c r="BR175" s="0" t="n">
        <f aca="false">(BP175-BI175)/($BK175-$BD175)</f>
        <v>0.00678051756653275</v>
      </c>
      <c r="BS175" s="0" t="n">
        <f aca="false">(BQ175-BJ175)/($BK175-$BD175)</f>
        <v>0.0101357947111524</v>
      </c>
      <c r="BT175" s="0" t="n">
        <f aca="false">IF(BR175&lt;&gt;BS175,(BJ175-BI175)/(BR175-BS175),0)</f>
        <v>-1.17638426706582E-007</v>
      </c>
      <c r="BU175" s="0" t="n">
        <f aca="false">BD175+BT175</f>
        <v>-0.00364552545340655</v>
      </c>
      <c r="BV175" s="0" t="n">
        <f aca="false">-BU175*$AC$51</f>
        <v>0.38175853276322</v>
      </c>
      <c r="BW175" s="0" t="n">
        <f aca="false">-BU175*$AD$51</f>
        <v>0.19087926638161</v>
      </c>
      <c r="BX175" s="0" t="n">
        <f aca="false">(-BV175+SQRT(BV175^2-4*$C175))/2</f>
        <v>3.67807803578773</v>
      </c>
      <c r="BY175" s="0" t="n">
        <f aca="false">(-BW175+SQRT(BW175^2-4*$D175))/2</f>
        <v>2.89479521298076</v>
      </c>
      <c r="BZ175" s="0" t="n">
        <f aca="false">IF(BX175&lt;&gt;0,($C$21-$B175)*$BU175/BX175/$AC$51-$AC$60*$AC$51,0)</f>
        <v>-4.80574428368517E-005</v>
      </c>
      <c r="CA175" s="0" t="n">
        <f aca="false">IF(BY175&lt;&gt;0,($C$27-$B175)*$BU175/BY175/$AD$51-$AC$60*$AD$51,0)</f>
        <v>-4.80574428377541E-005</v>
      </c>
      <c r="CB175" s="0" t="n">
        <f aca="false">BU175*1.001</f>
        <v>-0.00364917097885995</v>
      </c>
      <c r="CC175" s="0" t="n">
        <f aca="false">-CB175*$AC$51</f>
        <v>0.382140291295983</v>
      </c>
      <c r="CD175" s="0" t="n">
        <f aca="false">-CB175*$AD$51</f>
        <v>0.191070145647992</v>
      </c>
      <c r="CE175" s="0" t="n">
        <f aca="false">(-CC175+SQRT(CC175^2-4*$C175))/2</f>
        <v>3.67789657845717</v>
      </c>
      <c r="CF175" s="0" t="n">
        <f aca="false">(-CD175+SQRT(CD175^2-4*$D175))/2</f>
        <v>2.89470282102569</v>
      </c>
      <c r="CG175" s="0" t="n">
        <f aca="false">IF(CE175&lt;&gt;0,($C$21-$B175)*$CB175/CE175/$AC$51-$AC$60*$AC$51,0)</f>
        <v>-4.80821614630296E-005</v>
      </c>
      <c r="CH175" s="0" t="n">
        <f aca="false">IF(CF175&lt;&gt;0,($C$27-$B175)*$CB175/CF175/$AD$51-$AC$60*$AD$51,0)</f>
        <v>-4.80943932102996E-005</v>
      </c>
      <c r="CI175" s="0" t="n">
        <f aca="false">(CG175-BZ175)/($CB175-$BU175)</f>
        <v>0.00678053863394511</v>
      </c>
      <c r="CJ175" s="0" t="n">
        <f aca="false">(CH175-CA175)/($CB175-$BU175)</f>
        <v>0.0101358152666324</v>
      </c>
      <c r="CK175" s="0" t="n">
        <f aca="false">IF(CI175&lt;&gt;CJ175,(CA175-BZ175)/(CI175-CJ175),0)</f>
        <v>2.68943984936629E-013</v>
      </c>
      <c r="CL175" s="0" t="str">
        <f aca="false">IF(AND(BU175&gt;0,CE175&gt;0,CE175&lt;$C$15,CF175&lt;$C$15,CG175&gt;0,ABS(CK175)&lt;0.1*BU175),B175,"")</f>
        <v/>
      </c>
      <c r="CM175" s="0" t="n">
        <f aca="false">CG175+BU175^2/$C$39</f>
        <v>-4.58671854911237E-005</v>
      </c>
      <c r="CN175" s="0" t="n">
        <f aca="false">-BU175*$C$15/$C$39</f>
        <v>0.00364552545340655</v>
      </c>
      <c r="CO175" s="0" t="n">
        <f aca="false">IF(CL175&lt;&gt;"",(-CM175+SQRT(CM175^2-4*$AC$60*CN175))/2/$AC$60,0)</f>
        <v>0</v>
      </c>
      <c r="CP175" s="0" t="n">
        <f aca="false">CO175*30/PI()</f>
        <v>0</v>
      </c>
      <c r="DB175" s="6"/>
    </row>
    <row r="176" customFormat="false" ht="12.75" hidden="false" customHeight="false" outlineLevel="0" collapsed="false">
      <c r="A176" s="0" t="n">
        <f aca="false">A175+0.01</f>
        <v>0.27</v>
      </c>
      <c r="B176" s="0" t="n">
        <f aca="false">A176*$AC$68</f>
        <v>0.530931511440847</v>
      </c>
      <c r="C176" s="0" t="n">
        <f aca="false">$C$39*($B176-$C$21)</f>
        <v>-14.8144109313549</v>
      </c>
      <c r="D176" s="0" t="n">
        <f aca="false">$C$39*($B176-$C$27)</f>
        <v>-8.81441093135492</v>
      </c>
      <c r="E176" s="0" t="n">
        <f aca="false">$AC$71</f>
        <v>0.0474257507541105</v>
      </c>
      <c r="F176" s="0" t="n">
        <f aca="false">-E176*$AC$51</f>
        <v>-4.96641300533647</v>
      </c>
      <c r="G176" s="0" t="n">
        <f aca="false">-E176*$AD$51</f>
        <v>-2.48320650266823</v>
      </c>
      <c r="H176" s="0" t="n">
        <f aca="false">(-F176+SQRT(F176^2-4*$C176))/2</f>
        <v>7.06367869080001</v>
      </c>
      <c r="I176" s="0" t="n">
        <f aca="false">(-G176+SQRT(G176^2-4*$D176))/2</f>
        <v>4.45967558816534</v>
      </c>
      <c r="J176" s="0" t="n">
        <f aca="false">IF(H176&lt;&gt;0,($C$21-$B176)*$E176/H176/$AC$51-$AC$60*$AC$51,0)</f>
        <v>0.000133800375490899</v>
      </c>
      <c r="K176" s="0" t="n">
        <f aca="false">IF(I176&lt;&gt;0,($C$27-$B176)*$E176/I176/$AD$51-$AC$60*$AD$51,0)</f>
        <v>0.000286118392967918</v>
      </c>
      <c r="L176" s="0" t="n">
        <f aca="false">E176*1.001</f>
        <v>0.0474731765048646</v>
      </c>
      <c r="M176" s="0" t="n">
        <f aca="false">-L176*$AC$51</f>
        <v>-4.97137941834181</v>
      </c>
      <c r="N176" s="0" t="n">
        <f aca="false">-L176*$AD$51</f>
        <v>-2.4856897091709</v>
      </c>
      <c r="O176" s="0" t="n">
        <f aca="false">(-M176+SQRT(M176^2-4*$C176))/2</f>
        <v>7.06750859053593</v>
      </c>
      <c r="P176" s="0" t="n">
        <f aca="false">(-N176+SQRT(N176^2-4*$D176))/2</f>
        <v>4.46139643315685</v>
      </c>
      <c r="Q176" s="0" t="n">
        <f aca="false">IF(O176&lt;&gt;0,($C$21-$B176)*$L176/O176/$AC$51-$AC$60*$AC$51,0)</f>
        <v>0.000133872807708635</v>
      </c>
      <c r="R176" s="0" t="n">
        <f aca="false">IF(P176&lt;&gt;0,($C$27-$B176)*$L176/P176/$AD$51-$AC$60*$AD$51,0)</f>
        <v>0.00028630156059653</v>
      </c>
      <c r="S176" s="0" t="n">
        <f aca="false">(Q176-J176)/($L176-$E176)</f>
        <v>0.00152727614395791</v>
      </c>
      <c r="T176" s="0" t="n">
        <f aca="false">(R176-K176)/($L176-$E176)</f>
        <v>0.00386219776596972</v>
      </c>
      <c r="U176" s="0" t="n">
        <f aca="false">IF(S176&lt;&gt;T176,(K176-J176)/(S176-T176),0)</f>
        <v>-0.065234745372643</v>
      </c>
      <c r="V176" s="0" t="n">
        <f aca="false">E176+U176</f>
        <v>-0.0178089946185325</v>
      </c>
      <c r="W176" s="0" t="n">
        <f aca="false">-V176*$AC$51</f>
        <v>1.86495355538006</v>
      </c>
      <c r="X176" s="0" t="n">
        <f aca="false">-V176*$AD$51</f>
        <v>0.932476777690031</v>
      </c>
      <c r="Y176" s="0" t="n">
        <f aca="false">(-W176+SQRT(W176^2-4*$C176))/2</f>
        <v>3.02781662965823</v>
      </c>
      <c r="Z176" s="0" t="n">
        <f aca="false">(-X176+SQRT(X176^2-4*$D176))/2</f>
        <v>2.5390551353532</v>
      </c>
      <c r="AA176" s="0" t="n">
        <f aca="false">IF(Y176&lt;&gt;0,($C$21-$B176)*$V176/Y176/$AC$51-$AC$60*$AC$51,0)</f>
        <v>-0.000163182298799774</v>
      </c>
      <c r="AB176" s="0" t="n">
        <f aca="false">IF(Z176&lt;&gt;0,($C$27-$B176)*$V176/Z176/$AD$51-$AC$60*$AD$51,0)</f>
        <v>-0.000209044540398659</v>
      </c>
      <c r="AC176" s="0" t="n">
        <f aca="false">V176*1.001</f>
        <v>-0.017826803613151</v>
      </c>
      <c r="AD176" s="0" t="n">
        <f aca="false">-AC176*$AC$51</f>
        <v>1.86681850893544</v>
      </c>
      <c r="AE176" s="0" t="n">
        <f aca="false">-AC176*$AD$51</f>
        <v>0.933409254467721</v>
      </c>
      <c r="AF176" s="0" t="n">
        <f aca="false">(-AD176+SQRT(AD176^2-4*$C176))/2</f>
        <v>3.02710381427488</v>
      </c>
      <c r="AG176" s="0" t="n">
        <f aca="false">(-AE176+SQRT(AE176^2-4*$D176))/2</f>
        <v>2.53866126404068</v>
      </c>
      <c r="AH176" s="0" t="n">
        <f aca="false">IF(AF176&lt;&gt;0,($C$21-$B176)*$AC176/AF176/$AC$51-$AC$60*$AC$51,0)</f>
        <v>-0.000163353667705129</v>
      </c>
      <c r="AI176" s="0" t="n">
        <f aca="false">IF(AG176&lt;&gt;0,($C$27-$B176)*$AC176/AG176/$AD$51-$AC$60*$AD$51,0)</f>
        <v>-0.000209271896758588</v>
      </c>
      <c r="AJ176" s="0" t="n">
        <f aca="false">(AH176-AA176)/($AC176-$V176)</f>
        <v>0.0096226041404963</v>
      </c>
      <c r="AK176" s="0" t="n">
        <f aca="false">(AI176-AB176)/($AC176-$V176)</f>
        <v>0.0127663781588572</v>
      </c>
      <c r="AL176" s="0" t="n">
        <f aca="false">IF(AJ176&lt;&gt;AK176,(AB176-AA176)/(AJ176-AK176),0)</f>
        <v>0.0145882755347653</v>
      </c>
      <c r="AM176" s="0" t="n">
        <f aca="false">V176+AL176</f>
        <v>-0.0032207190837672</v>
      </c>
      <c r="AN176" s="0" t="n">
        <f aca="false">-AM176*$AC$51</f>
        <v>0.337272913761316</v>
      </c>
      <c r="AO176" s="0" t="n">
        <f aca="false">-AM176*$AD$51</f>
        <v>0.168636456880658</v>
      </c>
      <c r="AP176" s="0" t="n">
        <f aca="false">(-AN176+SQRT(AN176^2-4*$C176))/2</f>
        <v>3.68400538813221</v>
      </c>
      <c r="AQ176" s="0" t="n">
        <f aca="false">(-AO176+SQRT(AO176^2-4*$D176))/2</f>
        <v>2.88578623016079</v>
      </c>
      <c r="AR176" s="0" t="n">
        <f aca="false">IF(AP176&lt;&gt;0,($C$21-$B176)*$AM176/AP176/$AC$51-$AC$60*$AC$51,0)</f>
        <v>-4.51149388537794E-005</v>
      </c>
      <c r="AS176" s="0" t="n">
        <f aca="false">IF(AQ176&lt;&gt;0,($C$27-$B176)*$AM176/AQ176/$AD$51-$AC$60*$AD$51,0)</f>
        <v>-4.35646025079176E-005</v>
      </c>
      <c r="AT176" s="0" t="n">
        <f aca="false">AM176*1.001</f>
        <v>-0.00322393980285097</v>
      </c>
      <c r="AU176" s="0" t="n">
        <f aca="false">-AT176*$AC$51</f>
        <v>0.337610186675078</v>
      </c>
      <c r="AV176" s="0" t="n">
        <f aca="false">-AT176*$AD$51</f>
        <v>0.168805093337539</v>
      </c>
      <c r="AW176" s="0" t="n">
        <f aca="false">(-AU176+SQRT(AU176^2-4*$C176))/2</f>
        <v>3.6838441368535</v>
      </c>
      <c r="AX176" s="0" t="n">
        <f aca="false">(-AV176+SQRT(AV176^2-4*$D176))/2</f>
        <v>2.88570430683652</v>
      </c>
      <c r="AY176" s="0" t="n">
        <f aca="false">IF(AW176&lt;&gt;0,($C$21-$B176)*$AT176/AW176/$AC$51-$AC$60*$AC$51,0)</f>
        <v>-4.51364548369353E-005</v>
      </c>
      <c r="AZ176" s="0" t="n">
        <f aca="false">IF(AX176&lt;&gt;0,($C$27-$B176)*$AT176/AX176/$AD$51-$AC$60*$AD$51,0)</f>
        <v>-4.35968059043259E-005</v>
      </c>
      <c r="BA176" s="0" t="n">
        <f aca="false">(AY176-AR176)/($AT176-$AM176)</f>
        <v>0.00668049047317131</v>
      </c>
      <c r="BB176" s="0" t="n">
        <f aca="false">(AZ176-AS176)/($AT176-$AM176)</f>
        <v>0.00999882186889437</v>
      </c>
      <c r="BC176" s="0" t="n">
        <f aca="false">IF(BA176&lt;&gt;BB176,(AS176-AR176)/(BA176-BB176),0)</f>
        <v>-0.000467203591497839</v>
      </c>
      <c r="BD176" s="0" t="n">
        <f aca="false">AM176+BC176</f>
        <v>-0.00368792267526504</v>
      </c>
      <c r="BE176" s="0" t="n">
        <f aca="false">-BD176*$AC$51</f>
        <v>0.386198359453996</v>
      </c>
      <c r="BF176" s="0" t="n">
        <f aca="false">-BD176*$AD$51</f>
        <v>0.193099179726998</v>
      </c>
      <c r="BG176" s="0" t="n">
        <f aca="false">(-BE176+SQRT(BE176^2-4*$C176))/2</f>
        <v>3.66069093191195</v>
      </c>
      <c r="BH176" s="0" t="n">
        <f aca="false">(-BF176+SQRT(BF176^2-4*$D176))/2</f>
        <v>2.87392726657853</v>
      </c>
      <c r="BI176" s="0" t="n">
        <f aca="false">IF(BG176&lt;&gt;0,($C$21-$B176)*$BD176/BG176/$AC$51-$AC$60*$AC$51,0)</f>
        <v>-4.82553953537868E-005</v>
      </c>
      <c r="BJ176" s="0" t="n">
        <f aca="false">IF(BH176&lt;&gt;0,($C$27-$B176)*$BD176/BH176/$AD$51-$AC$60*$AD$51,0)</f>
        <v>-4.82549589652963E-005</v>
      </c>
      <c r="BK176" s="0" t="n">
        <f aca="false">BD176*1.001</f>
        <v>-0.00369161059794031</v>
      </c>
      <c r="BL176" s="0" t="n">
        <f aca="false">-BK176*$AC$51</f>
        <v>0.38658455781345</v>
      </c>
      <c r="BM176" s="0" t="n">
        <f aca="false">-BK176*$AD$51</f>
        <v>0.193292278906725</v>
      </c>
      <c r="BN176" s="0" t="n">
        <f aca="false">(-BL176+SQRT(BL176^2-4*$C176))/2</f>
        <v>3.66050751304406</v>
      </c>
      <c r="BO176" s="0" t="n">
        <f aca="false">(-BM176+SQRT(BM176^2-4*$D176))/2</f>
        <v>2.87383385671328</v>
      </c>
      <c r="BP176" s="0" t="n">
        <f aca="false">IF(BN176&lt;&gt;0,($C$21-$B176)*$BK176/BN176/$AC$51-$AC$60*$AC$51,0)</f>
        <v>-4.82803400226701E-005</v>
      </c>
      <c r="BQ176" s="0" t="n">
        <f aca="false">IF(BO176&lt;&gt;0,($C$27-$B176)*$BK176/BO176/$AD$51-$AC$60*$AD$51,0)</f>
        <v>-4.82921342830238E-005</v>
      </c>
      <c r="BR176" s="0" t="n">
        <f aca="false">(BP176-BI176)/($BK176-$BD176)</f>
        <v>0.00676388066663752</v>
      </c>
      <c r="BS176" s="0" t="n">
        <f aca="false">(BQ176-BJ176)/($BK176-$BD176)</f>
        <v>0.0100802866548379</v>
      </c>
      <c r="BT176" s="0" t="n">
        <f aca="false">IF(BR176&lt;&gt;BS176,(BJ176-BI176)/(BR176-BS176),0)</f>
        <v>-1.31584761357574E-007</v>
      </c>
      <c r="BU176" s="0" t="n">
        <f aca="false">BD176+BT176</f>
        <v>-0.0036880542600264</v>
      </c>
      <c r="BV176" s="0" t="n">
        <f aca="false">-BU176*$AC$51</f>
        <v>0.386212138977983</v>
      </c>
      <c r="BW176" s="0" t="n">
        <f aca="false">-BU176*$AD$51</f>
        <v>0.193106069488991</v>
      </c>
      <c r="BX176" s="0" t="n">
        <f aca="false">(-BV176+SQRT(BV176^2-4*$C176))/2</f>
        <v>3.66068438737661</v>
      </c>
      <c r="BY176" s="0" t="n">
        <f aca="false">(-BW176+SQRT(BW176^2-4*$D176))/2</f>
        <v>2.87392393366871</v>
      </c>
      <c r="BZ176" s="0" t="n">
        <f aca="false">IF(BX176&lt;&gt;0,($C$21-$B176)*$BU176/BX176/$AC$51-$AC$60*$AC$51,0)</f>
        <v>-4.8256285335484E-005</v>
      </c>
      <c r="CA176" s="0" t="n">
        <f aca="false">IF(BY176&lt;&gt;0,($C$27-$B176)*$BU176/BY176/$AD$51-$AC$60*$AD$51,0)</f>
        <v>-4.82562853365122E-005</v>
      </c>
      <c r="CB176" s="0" t="n">
        <f aca="false">BU176*1.001</f>
        <v>-0.00369174231428643</v>
      </c>
      <c r="CC176" s="0" t="n">
        <f aca="false">-CB176*$AC$51</f>
        <v>0.386598351116961</v>
      </c>
      <c r="CD176" s="0" t="n">
        <f aca="false">-CB176*$AD$51</f>
        <v>0.19329917555848</v>
      </c>
      <c r="CE176" s="0" t="n">
        <f aca="false">(-CC176+SQRT(CC176^2-4*$C176))/2</f>
        <v>3.66050096230888</v>
      </c>
      <c r="CF176" s="0" t="n">
        <f aca="false">(-CD176+SQRT(CD176^2-4*$D176))/2</f>
        <v>2.87383052058251</v>
      </c>
      <c r="CG176" s="0" t="n">
        <f aca="false">IF(CE176&lt;&gt;0,($C$21-$B176)*$CB176/CE176/$AC$51-$AC$60*$AC$51,0)</f>
        <v>-4.82812309813934E-005</v>
      </c>
      <c r="CH176" s="0" t="n">
        <f aca="false">IF(CF176&lt;&gt;0,($C$27-$B176)*$CB176/CF176/$AD$51-$AC$60*$AD$51,0)</f>
        <v>-4.82934620655203E-005</v>
      </c>
      <c r="CI176" s="0" t="n">
        <f aca="false">(CG176-BZ176)/($CB176-$BU176)</f>
        <v>0.00676390425699779</v>
      </c>
      <c r="CJ176" s="0" t="n">
        <f aca="false">(CH176-CA176)/($CB176-$BU176)</f>
        <v>0.0100803096665336</v>
      </c>
      <c r="CK176" s="0" t="n">
        <f aca="false">IF(CI176&lt;&gt;CJ176,(CA176-BZ176)/(CI176-CJ176),0)</f>
        <v>3.10055848406159E-013</v>
      </c>
      <c r="CL176" s="0" t="str">
        <f aca="false">IF(AND(BU176&gt;0,CE176&gt;0,CE176&lt;$C$15,CF176&lt;$C$15,CG176&gt;0,ABS(CK176)&lt;0.1*BU176),B176,"")</f>
        <v/>
      </c>
      <c r="CM176" s="0" t="n">
        <f aca="false">CG176+BU176^2/$C$39</f>
        <v>-4.60142736105769E-005</v>
      </c>
      <c r="CN176" s="0" t="n">
        <f aca="false">-BU176*$C$15/$C$39</f>
        <v>0.0036880542600264</v>
      </c>
      <c r="CO176" s="0" t="n">
        <f aca="false">IF(CL176&lt;&gt;"",(-CM176+SQRT(CM176^2-4*$AC$60*CN176))/2/$AC$60,0)</f>
        <v>0</v>
      </c>
      <c r="CP176" s="0" t="n">
        <f aca="false">CO176*30/PI()</f>
        <v>0</v>
      </c>
      <c r="DB176" s="6"/>
    </row>
    <row r="177" customFormat="false" ht="12.75" hidden="false" customHeight="false" outlineLevel="0" collapsed="false">
      <c r="A177" s="0" t="n">
        <f aca="false">A176+0.01</f>
        <v>0.28</v>
      </c>
      <c r="B177" s="0" t="n">
        <f aca="false">A177*$AC$68</f>
        <v>0.550595641494212</v>
      </c>
      <c r="C177" s="0" t="n">
        <f aca="false">$C$39*($B177-$C$21)</f>
        <v>-14.6964261510347</v>
      </c>
      <c r="D177" s="0" t="n">
        <f aca="false">$C$39*($B177-$C$27)</f>
        <v>-8.69642615103473</v>
      </c>
      <c r="E177" s="0" t="n">
        <f aca="false">$AC$71</f>
        <v>0.0474257507541105</v>
      </c>
      <c r="F177" s="0" t="n">
        <f aca="false">-E177*$AC$51</f>
        <v>-4.96641300533647</v>
      </c>
      <c r="G177" s="0" t="n">
        <f aca="false">-E177*$AD$51</f>
        <v>-2.48320650266823</v>
      </c>
      <c r="H177" s="0" t="n">
        <f aca="false">(-F177+SQRT(F177^2-4*$C177))/2</f>
        <v>7.0507814266217</v>
      </c>
      <c r="I177" s="0" t="n">
        <f aca="false">(-G177+SQRT(G177^2-4*$D177))/2</f>
        <v>4.44129148376524</v>
      </c>
      <c r="J177" s="0" t="n">
        <f aca="false">IF(H177&lt;&gt;0,($C$21-$B177)*$E177/H177/$AC$51-$AC$60*$AC$51,0)</f>
        <v>0.000132826884488443</v>
      </c>
      <c r="K177" s="0" t="n">
        <f aca="false">IF(I177&lt;&gt;0,($C$27-$B177)*$E177/I177/$AD$51-$AC$60*$AD$51,0)</f>
        <v>0.000283343112881493</v>
      </c>
      <c r="L177" s="0" t="n">
        <f aca="false">E177*1.001</f>
        <v>0.0474731765048646</v>
      </c>
      <c r="M177" s="0" t="n">
        <f aca="false">-L177*$AC$51</f>
        <v>-4.97137941834181</v>
      </c>
      <c r="N177" s="0" t="n">
        <f aca="false">-L177*$AD$51</f>
        <v>-2.4856897091709</v>
      </c>
      <c r="O177" s="0" t="n">
        <f aca="false">(-M177+SQRT(M177^2-4*$C177))/2</f>
        <v>7.05461512783478</v>
      </c>
      <c r="P177" s="0" t="n">
        <f aca="false">(-N177+SQRT(N177^2-4*$D177))/2</f>
        <v>4.44301508187091</v>
      </c>
      <c r="Q177" s="0" t="n">
        <f aca="false">IF(O177&lt;&gt;0,($C$21-$B177)*$L177/O177/$AC$51-$AC$60*$AC$51,0)</f>
        <v>0.000132898630439231</v>
      </c>
      <c r="R177" s="0" t="n">
        <f aca="false">IF(P177&lt;&gt;0,($C$27-$B177)*$L177/P177/$AD$51-$AC$60*$AD$51,0)</f>
        <v>0.000283523921258094</v>
      </c>
      <c r="S177" s="0" t="n">
        <f aca="false">(Q177-J177)/($L177-$E177)</f>
        <v>0.0015128057995426</v>
      </c>
      <c r="T177" s="0" t="n">
        <f aca="false">(R177-K177)/($L177-$E177)</f>
        <v>0.00381245154217132</v>
      </c>
      <c r="U177" s="0" t="n">
        <f aca="false">IF(S177&lt;&gt;T177,(K177-J177)/(S177-T177),0)</f>
        <v>-0.0654519196600235</v>
      </c>
      <c r="V177" s="0" t="n">
        <f aca="false">E177+U177</f>
        <v>-0.018026168905913</v>
      </c>
      <c r="W177" s="0" t="n">
        <f aca="false">-V177*$AC$51</f>
        <v>1.88769599357284</v>
      </c>
      <c r="X177" s="0" t="n">
        <f aca="false">-V177*$AD$51</f>
        <v>0.943847996786419</v>
      </c>
      <c r="Y177" s="0" t="n">
        <f aca="false">(-W177+SQRT(W177^2-4*$C177))/2</f>
        <v>3.00422434197239</v>
      </c>
      <c r="Z177" s="0" t="n">
        <f aca="false">(-X177+SQRT(X177^2-4*$D177))/2</f>
        <v>2.51456866211915</v>
      </c>
      <c r="AA177" s="0" t="n">
        <f aca="false">IF(Y177&lt;&gt;0,($C$21-$B177)*$V177/Y177/$AC$51-$AC$60*$AC$51,0)</f>
        <v>-0.000164849071776451</v>
      </c>
      <c r="AB177" s="0" t="n">
        <f aca="false">IF(Z177&lt;&gt;0,($C$27-$B177)*$V177/Z177/$AD$51-$AC$60*$AD$51,0)</f>
        <v>-0.00021069182488162</v>
      </c>
      <c r="AC177" s="0" t="n">
        <f aca="false">V177*1.001</f>
        <v>-0.0180441950748189</v>
      </c>
      <c r="AD177" s="0" t="n">
        <f aca="false">-AC177*$AC$51</f>
        <v>1.88958368956641</v>
      </c>
      <c r="AE177" s="0" t="n">
        <f aca="false">-AC177*$AD$51</f>
        <v>0.944791844783205</v>
      </c>
      <c r="AF177" s="0" t="n">
        <f aca="false">(-AD177+SQRT(AD177^2-4*$C177))/2</f>
        <v>3.00350624186167</v>
      </c>
      <c r="AG177" s="0" t="n">
        <f aca="false">(-AE177+SQRT(AE177^2-4*$D177))/2</f>
        <v>2.51417134765723</v>
      </c>
      <c r="AH177" s="0" t="n">
        <f aca="false">IF(AF177&lt;&gt;0,($C$21-$B177)*$AC177/AF177/$AC$51-$AC$60*$AC$51,0)</f>
        <v>-0.000165023007436739</v>
      </c>
      <c r="AI177" s="0" t="n">
        <f aca="false">IF(AG177&lt;&gt;0,($C$27-$B177)*$AC177/AG177/$AD$51-$AC$60*$AD$51,0)</f>
        <v>-0.000210921656589675</v>
      </c>
      <c r="AJ177" s="0" t="n">
        <f aca="false">(AH177-AA177)/($AC177-$V177)</f>
        <v>0.00964906415755805</v>
      </c>
      <c r="AK177" s="0" t="n">
        <f aca="false">(AI177-AB177)/($AC177-$V177)</f>
        <v>0.0127498920738044</v>
      </c>
      <c r="AL177" s="0" t="n">
        <f aca="false">IF(AJ177&lt;&gt;AK177,(AB177-AA177)/(AJ177-AK177),0)</f>
        <v>0.0147840365036006</v>
      </c>
      <c r="AM177" s="0" t="n">
        <f aca="false">V177+AL177</f>
        <v>-0.00324213240231243</v>
      </c>
      <c r="AN177" s="0" t="n">
        <f aca="false">-AM177*$AC$51</f>
        <v>0.339515311235672</v>
      </c>
      <c r="AO177" s="0" t="n">
        <f aca="false">-AM177*$AD$51</f>
        <v>0.169757655617836</v>
      </c>
      <c r="AP177" s="0" t="n">
        <f aca="false">(-AN177+SQRT(AN177^2-4*$C177))/2</f>
        <v>3.66759088376135</v>
      </c>
      <c r="AQ177" s="0" t="n">
        <f aca="false">(-AO177+SQRT(AO177^2-4*$D177))/2</f>
        <v>2.86531278739931</v>
      </c>
      <c r="AR177" s="0" t="n">
        <f aca="false">IF(AP177&lt;&gt;0,($C$21-$B177)*$AM177/AP177/$AC$51-$AC$60*$AC$51,0)</f>
        <v>-4.51788571759294E-005</v>
      </c>
      <c r="AS177" s="0" t="n">
        <f aca="false">IF(AQ177&lt;&gt;0,($C$27-$B177)*$AM177/AQ177/$AD$51-$AC$60*$AD$51,0)</f>
        <v>-4.35730784271546E-005</v>
      </c>
      <c r="AT177" s="0" t="n">
        <f aca="false">AM177*1.001</f>
        <v>-0.00324537453471474</v>
      </c>
      <c r="AU177" s="0" t="n">
        <f aca="false">-AT177*$AC$51</f>
        <v>0.339854826546907</v>
      </c>
      <c r="AV177" s="0" t="n">
        <f aca="false">-AT177*$AD$51</f>
        <v>0.169927413273454</v>
      </c>
      <c r="AW177" s="0" t="n">
        <f aca="false">(-AU177+SQRT(AU177^2-4*$C177))/2</f>
        <v>3.66742863963805</v>
      </c>
      <c r="AX177" s="0" t="n">
        <f aca="false">(-AV177+SQRT(AV177^2-4*$D177))/2</f>
        <v>2.8652303518076</v>
      </c>
      <c r="AY177" s="0" t="n">
        <f aca="false">IF(AW177&lt;&gt;0,($C$21-$B177)*$AT177/AW177/$AC$51-$AC$60*$AC$51,0)</f>
        <v>-4.52004495364442E-005</v>
      </c>
      <c r="AZ177" s="0" t="n">
        <f aca="false">IF(AX177&lt;&gt;0,($C$27-$B177)*$AT177/AX177/$AD$51-$AC$60*$AD$51,0)</f>
        <v>-4.36053025062934E-005</v>
      </c>
      <c r="BA177" s="0" t="n">
        <f aca="false">(AY177-AR177)/($AT177-$AM177)</f>
        <v>0.00665992557840433</v>
      </c>
      <c r="BB177" s="0" t="n">
        <f aca="false">(AZ177-AS177)/($AT177-$AM177)</f>
        <v>0.00993916198974478</v>
      </c>
      <c r="BC177" s="0" t="n">
        <f aca="false">IF(BA177&lt;&gt;BB177,(AS177-AR177)/(BA177-BB177),0)</f>
        <v>-0.00048968069005993</v>
      </c>
      <c r="BD177" s="0" t="n">
        <f aca="false">AM177+BC177</f>
        <v>-0.00373181309237236</v>
      </c>
      <c r="BE177" s="0" t="n">
        <f aca="false">-BD177*$AC$51</f>
        <v>0.390794553185574</v>
      </c>
      <c r="BF177" s="0" t="n">
        <f aca="false">-BD177*$AD$51</f>
        <v>0.195397276592787</v>
      </c>
      <c r="BG177" s="0" t="n">
        <f aca="false">(-BE177+SQRT(BE177^2-4*$C177))/2</f>
        <v>3.64317097820413</v>
      </c>
      <c r="BH177" s="0" t="n">
        <f aca="false">(-BF177+SQRT(BF177^2-4*$D177))/2</f>
        <v>2.85288963778682</v>
      </c>
      <c r="BI177" s="0" t="n">
        <f aca="false">IF(BG177&lt;&gt;0,($C$21-$B177)*$BD177/BG177/$AC$51-$AC$60*$AC$51,0)</f>
        <v>-4.84613268932486E-005</v>
      </c>
      <c r="BJ177" s="0" t="n">
        <f aca="false">IF(BH177&lt;&gt;0,($C$27-$B177)*$BD177/BH177/$AD$51-$AC$60*$AD$51,0)</f>
        <v>-4.84608438350215E-005</v>
      </c>
      <c r="BK177" s="0" t="n">
        <f aca="false">BD177*1.001</f>
        <v>-0.00373554490546473</v>
      </c>
      <c r="BL177" s="0" t="n">
        <f aca="false">-BK177*$AC$51</f>
        <v>0.391185347738759</v>
      </c>
      <c r="BM177" s="0" t="n">
        <f aca="false">-BK177*$AD$51</f>
        <v>0.19559267386938</v>
      </c>
      <c r="BN177" s="0" t="n">
        <f aca="false">(-BL177+SQRT(BL177^2-4*$C177))/2</f>
        <v>3.64298553232964</v>
      </c>
      <c r="BO177" s="0" t="n">
        <f aca="false">(-BM177+SQRT(BM177^2-4*$D177))/2</f>
        <v>2.85279517572045</v>
      </c>
      <c r="BP177" s="0" t="n">
        <f aca="false">IF(BN177&lt;&gt;0,($C$21-$B177)*$BK177/BN177/$AC$51-$AC$60*$AC$51,0)</f>
        <v>-4.84865069473474E-005</v>
      </c>
      <c r="BQ177" s="0" t="n">
        <f aca="false">IF(BO177&lt;&gt;0,($C$27-$B177)*$BK177/BO177/$AD$51-$AC$60*$AD$51,0)</f>
        <v>-4.84982537933537E-005</v>
      </c>
      <c r="BR177" s="0" t="n">
        <f aca="false">(BP177-BI177)/($BK177-$BD177)</f>
        <v>0.00674740494113307</v>
      </c>
      <c r="BS177" s="0" t="n">
        <f aca="false">(BQ177-BJ177)/($BK177-$BD177)</f>
        <v>0.0100246066472698</v>
      </c>
      <c r="BT177" s="0" t="n">
        <f aca="false">IF(BR177&lt;&gt;BS177,(BJ177-BI177)/(BR177-BS177),0)</f>
        <v>-1.47399601965452E-007</v>
      </c>
      <c r="BU177" s="0" t="n">
        <f aca="false">BD177+BT177</f>
        <v>-0.00373196049197432</v>
      </c>
      <c r="BV177" s="0" t="n">
        <f aca="false">-BU177*$AC$51</f>
        <v>0.390809988835796</v>
      </c>
      <c r="BW177" s="0" t="n">
        <f aca="false">-BU177*$AD$51</f>
        <v>0.195404994417898</v>
      </c>
      <c r="BX177" s="0" t="n">
        <f aca="false">(-BV177+SQRT(BV177^2-4*$C177))/2</f>
        <v>3.64316365325251</v>
      </c>
      <c r="BY177" s="0" t="n">
        <f aca="false">(-BW177+SQRT(BW177^2-4*$D177))/2</f>
        <v>2.85288590665147</v>
      </c>
      <c r="BZ177" s="0" t="n">
        <f aca="false">IF(BX177&lt;&gt;0,($C$21-$B177)*$BU177/BX177/$AC$51-$AC$60*$AC$51,0)</f>
        <v>-4.84623214106627E-005</v>
      </c>
      <c r="CA177" s="0" t="n">
        <f aca="false">IF(BY177&lt;&gt;0,($C$27-$B177)*$BU177/BY177/$AD$51-$AC$60*$AD$51,0)</f>
        <v>-4.84623214118361E-005</v>
      </c>
      <c r="CB177" s="0" t="n">
        <f aca="false">BU177*1.001</f>
        <v>-0.0037356924524663</v>
      </c>
      <c r="CC177" s="0" t="n">
        <f aca="false">-CB177*$AC$51</f>
        <v>0.391200798824632</v>
      </c>
      <c r="CD177" s="0" t="n">
        <f aca="false">-CB177*$AD$51</f>
        <v>0.195600399412316</v>
      </c>
      <c r="CE177" s="0" t="n">
        <f aca="false">(-CC177+SQRT(CC177^2-4*$C177))/2</f>
        <v>3.64297820044532</v>
      </c>
      <c r="CF177" s="0" t="n">
        <f aca="false">(-CD177+SQRT(CD177^2-4*$D177))/2</f>
        <v>2.85279144098174</v>
      </c>
      <c r="CG177" s="0" t="n">
        <f aca="false">IF(CE177&lt;&gt;0,($C$21-$B177)*$CB177/CE177/$AC$51-$AC$60*$AC$51,0)</f>
        <v>-4.84875025580553E-005</v>
      </c>
      <c r="CH177" s="0" t="n">
        <f aca="false">IF(CF177&lt;&gt;0,($C$27-$B177)*$CB177/CF177/$AD$51-$AC$60*$AD$51,0)</f>
        <v>-4.84997329440752E-005</v>
      </c>
      <c r="CI177" s="0" t="n">
        <f aca="false">(CG177-BZ177)/($CB177-$BU177)</f>
        <v>0.00674743139609841</v>
      </c>
      <c r="CJ177" s="0" t="n">
        <f aca="false">(CH177-CA177)/($CB177-$BU177)</f>
        <v>0.0100246324471096</v>
      </c>
      <c r="CK177" s="0" t="n">
        <f aca="false">IF(CI177&lt;&gt;CJ177,(CA177-BZ177)/(CI177-CJ177),0)</f>
        <v>3.58026124366639E-013</v>
      </c>
      <c r="CL177" s="0" t="str">
        <f aca="false">IF(AND(BU177&gt;0,CE177&gt;0,CE177&lt;$C$15,CF177&lt;$C$15,CG177&gt;0,ABS(CK177)&lt;0.1*BU177),B177,"")</f>
        <v/>
      </c>
      <c r="CM177" s="0" t="n">
        <f aca="false">CG177+BU177^2/$C$39</f>
        <v>-4.61662477057791E-005</v>
      </c>
      <c r="CN177" s="0" t="n">
        <f aca="false">-BU177*$C$15/$C$39</f>
        <v>0.00373196049197432</v>
      </c>
      <c r="CO177" s="0" t="n">
        <f aca="false">IF(CL177&lt;&gt;"",(-CM177+SQRT(CM177^2-4*$AC$60*CN177))/2/$AC$60,0)</f>
        <v>0</v>
      </c>
      <c r="CP177" s="0" t="n">
        <f aca="false">CO177*30/PI()</f>
        <v>0</v>
      </c>
      <c r="DB177" s="6"/>
    </row>
    <row r="178" customFormat="false" ht="12.75" hidden="false" customHeight="false" outlineLevel="0" collapsed="false">
      <c r="A178" s="0" t="n">
        <f aca="false">A177+0.01</f>
        <v>0.29</v>
      </c>
      <c r="B178" s="0" t="n">
        <f aca="false">A178*$AC$68</f>
        <v>0.570259771547576</v>
      </c>
      <c r="C178" s="0" t="n">
        <f aca="false">$C$39*($B178-$C$21)</f>
        <v>-14.5784413707145</v>
      </c>
      <c r="D178" s="0" t="n">
        <f aca="false">$C$39*($B178-$C$27)</f>
        <v>-8.57844137071454</v>
      </c>
      <c r="E178" s="0" t="n">
        <f aca="false">$AC$71</f>
        <v>0.0474257507541105</v>
      </c>
      <c r="F178" s="0" t="n">
        <f aca="false">-E178*$AC$51</f>
        <v>-4.96641300533647</v>
      </c>
      <c r="G178" s="0" t="n">
        <f aca="false">-E178*$AD$51</f>
        <v>-2.48320650266823</v>
      </c>
      <c r="H178" s="0" t="n">
        <f aca="false">(-F178+SQRT(F178^2-4*$C178))/2</f>
        <v>7.0378476417272</v>
      </c>
      <c r="I178" s="0" t="n">
        <f aca="false">(-G178+SQRT(G178^2-4*$D178))/2</f>
        <v>4.42280113962054</v>
      </c>
      <c r="J178" s="0" t="n">
        <f aca="false">IF(H178&lt;&gt;0,($C$21-$B178)*$E178/H178/$AC$51-$AC$60*$AC$51,0)</f>
        <v>0.000131850636886748</v>
      </c>
      <c r="K178" s="0" t="n">
        <f aca="false">IF(I178&lt;&gt;0,($C$27-$B178)*$E178/I178/$AD$51-$AC$60*$AD$51,0)</f>
        <v>0.000280551794752575</v>
      </c>
      <c r="L178" s="0" t="n">
        <f aca="false">E178*1.001</f>
        <v>0.0474731765048646</v>
      </c>
      <c r="M178" s="0" t="n">
        <f aca="false">-L178*$AC$51</f>
        <v>-4.97137941834181</v>
      </c>
      <c r="N178" s="0" t="n">
        <f aca="false">-L178*$AD$51</f>
        <v>-2.4856897091709</v>
      </c>
      <c r="O178" s="0" t="n">
        <f aca="false">(-M178+SQRT(M178^2-4*$C178))/2</f>
        <v>7.04168517679295</v>
      </c>
      <c r="P178" s="0" t="n">
        <f aca="false">(-N178+SQRT(N178^2-4*$D178))/2</f>
        <v>4.42452753883982</v>
      </c>
      <c r="Q178" s="0" t="n">
        <f aca="false">IF(O178&lt;&gt;0,($C$21-$B178)*$L178/O178/$AC$51-$AC$60*$AC$51,0)</f>
        <v>0.000131921696260151</v>
      </c>
      <c r="R178" s="0" t="n">
        <f aca="false">IF(P178&lt;&gt;0,($C$27-$B178)*$L178/P178/$AD$51-$AC$60*$AD$51,0)</f>
        <v>0.000280730235092405</v>
      </c>
      <c r="S178" s="0" t="n">
        <f aca="false">(Q178-J178)/($L178-$E178)</f>
        <v>0.00149832890937202</v>
      </c>
      <c r="T178" s="0" t="n">
        <f aca="false">(R178-K178)/($L178-$E178)</f>
        <v>0.00376252008651968</v>
      </c>
      <c r="U178" s="0" t="n">
        <f aca="false">IF(S178&lt;&gt;T178,(K178-J178)/(S178-T178),0)</f>
        <v>-0.0656751776822817</v>
      </c>
      <c r="V178" s="0" t="n">
        <f aca="false">E178+U178</f>
        <v>-0.0182494269281712</v>
      </c>
      <c r="W178" s="0" t="n">
        <f aca="false">-V178*$AC$51</f>
        <v>1.91107551899221</v>
      </c>
      <c r="X178" s="0" t="n">
        <f aca="false">-V178*$AD$51</f>
        <v>0.955537759496107</v>
      </c>
      <c r="Y178" s="0" t="n">
        <f aca="false">(-W178+SQRT(W178^2-4*$C178))/2</f>
        <v>2.9803857383043</v>
      </c>
      <c r="Z178" s="0" t="n">
        <f aca="false">(-X178+SQRT(X178^2-4*$D178))/2</f>
        <v>2.48984033865828</v>
      </c>
      <c r="AA178" s="0" t="n">
        <f aca="false">IF(Y178&lt;&gt;0,($C$21-$B178)*$V178/Y178/$AC$51-$AC$60*$AC$51,0)</f>
        <v>-0.000166573965267919</v>
      </c>
      <c r="AB178" s="0" t="n">
        <f aca="false">IF(Z178&lt;&gt;0,($C$27-$B178)*$V178/Z178/$AD$51-$AC$60*$AD$51,0)</f>
        <v>-0.000212392150355467</v>
      </c>
      <c r="AC178" s="0" t="n">
        <f aca="false">V178*1.001</f>
        <v>-0.0182676763550994</v>
      </c>
      <c r="AD178" s="0" t="n">
        <f aca="false">-AC178*$AC$51</f>
        <v>1.91298659451121</v>
      </c>
      <c r="AE178" s="0" t="n">
        <f aca="false">-AC178*$AD$51</f>
        <v>0.956493297255603</v>
      </c>
      <c r="AF178" s="0" t="n">
        <f aca="false">(-AD178+SQRT(AD178^2-4*$C178))/2</f>
        <v>2.97966228889816</v>
      </c>
      <c r="AG178" s="0" t="n">
        <f aca="false">(-AE178+SQRT(AE178^2-4*$D178))/2</f>
        <v>2.48943952542064</v>
      </c>
      <c r="AH178" s="0" t="n">
        <f aca="false">IF(AF178&lt;&gt;0,($C$21-$B178)*$AC178/AF178/$AC$51-$AC$60*$AC$51,0)</f>
        <v>-0.000166750566034604</v>
      </c>
      <c r="AI178" s="0" t="n">
        <f aca="false">IF(AG178&lt;&gt;0,($C$27-$B178)*$AC178/AG178/$AD$51-$AC$60*$AD$51,0)</f>
        <v>-0.00021262454746077</v>
      </c>
      <c r="AJ178" s="0" t="n">
        <f aca="false">(AH178-AA178)/($AC178-$V178)</f>
        <v>0.00967705821012447</v>
      </c>
      <c r="AK178" s="0" t="n">
        <f aca="false">(AI178-AB178)/($AC178-$V178)</f>
        <v>0.0127344878399786</v>
      </c>
      <c r="AL178" s="0" t="n">
        <f aca="false">IF(AJ178&lt;&gt;AK178,(AB178-AA178)/(AJ178-AK178),0)</f>
        <v>0.0149858510691982</v>
      </c>
      <c r="AM178" s="0" t="n">
        <f aca="false">V178+AL178</f>
        <v>-0.00326357585897296</v>
      </c>
      <c r="AN178" s="0" t="n">
        <f aca="false">-AM178*$AC$51</f>
        <v>0.341760864766082</v>
      </c>
      <c r="AO178" s="0" t="n">
        <f aca="false">-AM178*$AD$51</f>
        <v>0.170880432383041</v>
      </c>
      <c r="AP178" s="0" t="n">
        <f aca="false">(-AN178+SQRT(AN178^2-4*$C178))/2</f>
        <v>3.65111400676597</v>
      </c>
      <c r="AQ178" s="0" t="n">
        <f aca="false">(-AO178+SQRT(AO178^2-4*$D178))/2</f>
        <v>2.84470336412283</v>
      </c>
      <c r="AR178" s="0" t="n">
        <f aca="false">IF(AP178&lt;&gt;0,($C$21-$B178)*$AM178/AP178/$AC$51-$AC$60*$AC$51,0)</f>
        <v>-4.5241693464205E-005</v>
      </c>
      <c r="AS178" s="0" t="n">
        <f aca="false">IF(AQ178&lt;&gt;0,($C$27-$B178)*$AM178/AQ178/$AD$51-$AC$60*$AD$51,0)</f>
        <v>-4.35778093154136E-005</v>
      </c>
      <c r="AT178" s="0" t="n">
        <f aca="false">AM178*1.001</f>
        <v>-0.00326683943483194</v>
      </c>
      <c r="AU178" s="0" t="n">
        <f aca="false">-AT178*$AC$51</f>
        <v>0.342102625630848</v>
      </c>
      <c r="AV178" s="0" t="n">
        <f aca="false">-AT178*$AD$51</f>
        <v>0.171051312815424</v>
      </c>
      <c r="AW178" s="0" t="n">
        <f aca="false">(-AU178+SQRT(AU178^2-4*$C178))/2</f>
        <v>3.6509507701681</v>
      </c>
      <c r="AX178" s="0" t="n">
        <f aca="false">(-AV178+SQRT(AV178^2-4*$D178))/2</f>
        <v>2.84462041650717</v>
      </c>
      <c r="AY178" s="0" t="n">
        <f aca="false">IF(AW178&lt;&gt;0,($C$21-$B178)*$AT178/AW178/$AC$51-$AC$60*$AC$51,0)</f>
        <v>-4.52633612322051E-005</v>
      </c>
      <c r="AZ178" s="0" t="n">
        <f aca="false">IF(AX178&lt;&gt;0,($C$27-$B178)*$AT178/AX178/$AD$51-$AC$60*$AD$51,0)</f>
        <v>-4.36100504427307E-005</v>
      </c>
      <c r="BA178" s="0" t="n">
        <f aca="false">(AY178-AR178)/($AT178-$AM178)</f>
        <v>0.00663927205510158</v>
      </c>
      <c r="BB178" s="0" t="n">
        <f aca="false">(AZ178-AS178)/($AT178-$AM178)</f>
        <v>0.00987908009811806</v>
      </c>
      <c r="BC178" s="0" t="n">
        <f aca="false">IF(BA178&lt;&gt;BB178,(AS178-AR178)/(BA178-BB178),0)</f>
        <v>-0.000513574917618309</v>
      </c>
      <c r="BD178" s="0" t="n">
        <f aca="false">AM178+BC178</f>
        <v>-0.00377715077659127</v>
      </c>
      <c r="BE178" s="0" t="n">
        <f aca="false">-BD178*$AC$51</f>
        <v>0.395542304374671</v>
      </c>
      <c r="BF178" s="0" t="n">
        <f aca="false">-BD178*$AD$51</f>
        <v>0.197771152187335</v>
      </c>
      <c r="BG178" s="0" t="n">
        <f aca="false">(-BE178+SQRT(BE178^2-4*$C178))/2</f>
        <v>3.62551994310636</v>
      </c>
      <c r="BH178" s="0" t="n">
        <f aca="false">(-BF178+SQRT(BF178^2-4*$D178))/2</f>
        <v>2.83168087561391</v>
      </c>
      <c r="BI178" s="0" t="n">
        <f aca="false">IF(BG178&lt;&gt;0,($C$21-$B178)*$BD178/BG178/$AC$51-$AC$60*$AC$51,0)</f>
        <v>-4.86748380345206E-005</v>
      </c>
      <c r="BJ178" s="0" t="n">
        <f aca="false">IF(BH178&lt;&gt;0,($C$27-$B178)*$BD178/BH178/$AD$51-$AC$60*$AD$51,0)</f>
        <v>-4.86743026454427E-005</v>
      </c>
      <c r="BK178" s="0" t="n">
        <f aca="false">BD178*1.001</f>
        <v>-0.00378092792736786</v>
      </c>
      <c r="BL178" s="0" t="n">
        <f aca="false">-BK178*$AC$51</f>
        <v>0.395937846679045</v>
      </c>
      <c r="BM178" s="0" t="n">
        <f aca="false">-BK178*$AD$51</f>
        <v>0.197968923339523</v>
      </c>
      <c r="BN178" s="0" t="n">
        <f aca="false">(-BL178+SQRT(BL178^2-4*$C178))/2</f>
        <v>3.62533240735922</v>
      </c>
      <c r="BO178" s="0" t="n">
        <f aca="false">(-BM178+SQRT(BM178^2-4*$D178))/2</f>
        <v>2.83158532838244</v>
      </c>
      <c r="BP178" s="0" t="n">
        <f aca="false">IF(BN178&lt;&gt;0,($C$21-$B178)*$BK178/BN178/$AC$51-$AC$60*$AC$51,0)</f>
        <v>-4.87002624258303E-005</v>
      </c>
      <c r="BQ178" s="0" t="n">
        <f aca="false">IF(BO178&lt;&gt;0,($C$27-$B178)*$BK178/BO178/$AD$51-$AC$60*$AD$51,0)</f>
        <v>-4.87119561532666E-005</v>
      </c>
      <c r="BR178" s="0" t="n">
        <f aca="false">(BP178-BI178)/($BK178-$BD178)</f>
        <v>0.00673110310217853</v>
      </c>
      <c r="BS178" s="0" t="n">
        <f aca="false">(BQ178-BJ178)/($BK178-$BD178)</f>
        <v>0.00996875953622656</v>
      </c>
      <c r="BT178" s="0" t="n">
        <f aca="false">IF(BR178&lt;&gt;BS178,(BJ178-BI178)/(BR178-BS178),0)</f>
        <v>-1.65363153492367E-007</v>
      </c>
      <c r="BU178" s="0" t="n">
        <f aca="false">BD178+BT178</f>
        <v>-0.00377731613974476</v>
      </c>
      <c r="BV178" s="0" t="n">
        <f aca="false">-BU178*$AC$51</f>
        <v>0.39555962116361</v>
      </c>
      <c r="BW178" s="0" t="n">
        <f aca="false">-BU178*$AD$51</f>
        <v>0.197779810581805</v>
      </c>
      <c r="BX178" s="0" t="n">
        <f aca="false">(-BV178+SQRT(BV178^2-4*$C178))/2</f>
        <v>3.62551173260298</v>
      </c>
      <c r="BY178" s="0" t="n">
        <f aca="false">(-BW178+SQRT(BW178^2-4*$D178))/2</f>
        <v>2.83167669249919</v>
      </c>
      <c r="BZ178" s="0" t="n">
        <f aca="false">IF(BX178&lt;&gt;0,($C$21-$B178)*$BU178/BX178/$AC$51-$AC$60*$AC$51,0)</f>
        <v>-4.86759510573249E-005</v>
      </c>
      <c r="CA178" s="0" t="n">
        <f aca="false">IF(BY178&lt;&gt;0,($C$27-$B178)*$BU178/BY178/$AD$51-$AC$60*$AD$51,0)</f>
        <v>-4.86759510586656E-005</v>
      </c>
      <c r="CB178" s="0" t="n">
        <f aca="false">BU178*1.001</f>
        <v>-0.00378109345588451</v>
      </c>
      <c r="CC178" s="0" t="n">
        <f aca="false">-CB178*$AC$51</f>
        <v>0.395955180784774</v>
      </c>
      <c r="CD178" s="0" t="n">
        <f aca="false">-CB178*$AD$51</f>
        <v>0.197977590392387</v>
      </c>
      <c r="CE178" s="0" t="n">
        <f aca="false">(-CC178+SQRT(CC178^2-4*$C178))/2</f>
        <v>3.62532418909248</v>
      </c>
      <c r="CF178" s="0" t="n">
        <f aca="false">(-CD178+SQRT(CD178^2-4*$D178))/2</f>
        <v>2.83158114123067</v>
      </c>
      <c r="CG178" s="0" t="n">
        <f aca="false">IF(CE178&lt;&gt;0,($C$21-$B178)*$CB178/CE178/$AC$51-$AC$60*$AC$51,0)</f>
        <v>-4.87013766739466E-005</v>
      </c>
      <c r="CH178" s="0" t="n">
        <f aca="false">IF(CF178&lt;&gt;0,($C$27-$B178)*$CB178/CF178/$AD$51-$AC$60*$AD$51,0)</f>
        <v>-4.87136063243844E-005</v>
      </c>
      <c r="CI178" s="0" t="n">
        <f aca="false">(CG178-BZ178)/($CB178-$BU178)</f>
        <v>0.00673113281523211</v>
      </c>
      <c r="CJ178" s="0" t="n">
        <f aca="false">(CH178-CA178)/($CB178-$BU178)</f>
        <v>0.00996878850638163</v>
      </c>
      <c r="CK178" s="0" t="n">
        <f aca="false">IF(CI178&lt;&gt;CJ178,(CA178-BZ178)/(CI178-CJ178),0)</f>
        <v>4.14095082780484E-013</v>
      </c>
      <c r="CL178" s="0" t="str">
        <f aca="false">IF(AND(BU178&gt;0,CE178&gt;0,CE178&lt;$C$15,CF178&lt;$C$15,CG178&gt;0,ABS(CK178)&lt;0.1*BU178),B178,"")</f>
        <v/>
      </c>
      <c r="CM178" s="0" t="n">
        <f aca="false">CG178+BU178^2/$C$39</f>
        <v>-4.63233571373506E-005</v>
      </c>
      <c r="CN178" s="0" t="n">
        <f aca="false">-BU178*$C$15/$C$39</f>
        <v>0.00377731613974476</v>
      </c>
      <c r="CO178" s="0" t="n">
        <f aca="false">IF(CL178&lt;&gt;"",(-CM178+SQRT(CM178^2-4*$AC$60*CN178))/2/$AC$60,0)</f>
        <v>0</v>
      </c>
      <c r="CP178" s="0" t="n">
        <f aca="false">CO178*30/PI()</f>
        <v>0</v>
      </c>
      <c r="DB178" s="6"/>
    </row>
    <row r="179" customFormat="false" ht="12.75" hidden="false" customHeight="false" outlineLevel="0" collapsed="false">
      <c r="A179" s="0" t="n">
        <f aca="false">A178+0.01</f>
        <v>0.3</v>
      </c>
      <c r="B179" s="0" t="n">
        <f aca="false">A179*$AC$68</f>
        <v>0.589923901600941</v>
      </c>
      <c r="C179" s="0" t="n">
        <f aca="false">$C$39*($B179-$C$21)</f>
        <v>-14.4604565903944</v>
      </c>
      <c r="D179" s="0" t="n">
        <f aca="false">$C$39*($B179-$C$27)</f>
        <v>-8.46045659039435</v>
      </c>
      <c r="E179" s="0" t="n">
        <f aca="false">$AC$71</f>
        <v>0.0474257507541105</v>
      </c>
      <c r="F179" s="0" t="n">
        <f aca="false">-E179*$AC$51</f>
        <v>-4.96641300533647</v>
      </c>
      <c r="G179" s="0" t="n">
        <f aca="false">-E179*$AD$51</f>
        <v>-2.48320650266823</v>
      </c>
      <c r="H179" s="0" t="n">
        <f aca="false">(-F179+SQRT(F179^2-4*$C179))/2</f>
        <v>7.02487702410505</v>
      </c>
      <c r="I179" s="0" t="n">
        <f aca="false">(-G179+SQRT(G179^2-4*$D179))/2</f>
        <v>4.40420269231899</v>
      </c>
      <c r="J179" s="0" t="n">
        <f aca="false">IF(H179&lt;&gt;0,($C$21-$B179)*$E179/H179/$AC$51-$AC$60*$AC$51,0)</f>
        <v>0.000130871609135056</v>
      </c>
      <c r="K179" s="0" t="n">
        <f aca="false">IF(I179&lt;&gt;0,($C$27-$B179)*$E179/I179/$AD$51-$AC$60*$AD$51,0)</f>
        <v>0.000277744157278859</v>
      </c>
      <c r="L179" s="0" t="n">
        <f aca="false">E179*1.001</f>
        <v>0.0474731765048646</v>
      </c>
      <c r="M179" s="0" t="n">
        <f aca="false">-L179*$AC$51</f>
        <v>-4.97137941834181</v>
      </c>
      <c r="N179" s="0" t="n">
        <f aca="false">-L179*$AD$51</f>
        <v>-2.4856897091709</v>
      </c>
      <c r="O179" s="0" t="n">
        <f aca="false">(-M179+SQRT(M179^2-4*$C179))/2</f>
        <v>7.02871842586118</v>
      </c>
      <c r="P179" s="0" t="n">
        <f aca="false">(-N179+SQRT(N179^2-4*$D179))/2</f>
        <v>4.40593194206248</v>
      </c>
      <c r="Q179" s="0" t="n">
        <f aca="false">IF(O179&lt;&gt;0,($C$21-$B179)*$L179/O179/$AC$51-$AC$60*$AC$51,0)</f>
        <v>0.000130941981632007</v>
      </c>
      <c r="R179" s="0" t="n">
        <f aca="false">IF(P179&lt;&gt;0,($C$27-$B179)*$L179/P179/$AD$51-$AC$60*$AD$51,0)</f>
        <v>0.0002779202207291</v>
      </c>
      <c r="S179" s="0" t="n">
        <f aca="false">(Q179-J179)/($L179-$E179)</f>
        <v>0.00148384571316821</v>
      </c>
      <c r="T179" s="0" t="n">
        <f aca="false">(R179-K179)/($L179-$E179)</f>
        <v>0.00371240196395505</v>
      </c>
      <c r="U179" s="0" t="n">
        <f aca="false">IF(S179&lt;&gt;T179,(K179-J179)/(S179-T179),0)</f>
        <v>-0.0659047973736116</v>
      </c>
      <c r="V179" s="0" t="n">
        <f aca="false">E179+U179</f>
        <v>-0.0184790466195012</v>
      </c>
      <c r="W179" s="0" t="n">
        <f aca="false">-V179*$AC$51</f>
        <v>1.93512123683894</v>
      </c>
      <c r="X179" s="0" t="n">
        <f aca="false">-V179*$AD$51</f>
        <v>0.967560618419469</v>
      </c>
      <c r="Y179" s="0" t="n">
        <f aca="false">(-W179+SQRT(W179^2-4*$C179))/2</f>
        <v>2.95629337232874</v>
      </c>
      <c r="Z179" s="0" t="n">
        <f aca="false">(-X179+SQRT(X179^2-4*$D179))/2</f>
        <v>2.46486344308952</v>
      </c>
      <c r="AA179" s="0" t="n">
        <f aca="false">IF(Y179&lt;&gt;0,($C$21-$B179)*$V179/Y179/$AC$51-$AC$60*$AC$51,0)</f>
        <v>-0.000168360183175296</v>
      </c>
      <c r="AB179" s="0" t="n">
        <f aca="false">IF(Z179&lt;&gt;0,($C$27-$B179)*$V179/Z179/$AD$51-$AC$60*$AD$51,0)</f>
        <v>-0.00021414842008605</v>
      </c>
      <c r="AC179" s="0" t="n">
        <f aca="false">V179*1.001</f>
        <v>-0.0184975256661207</v>
      </c>
      <c r="AD179" s="0" t="n">
        <f aca="false">-AC179*$AC$51</f>
        <v>1.93705635807578</v>
      </c>
      <c r="AE179" s="0" t="n">
        <f aca="false">-AC179*$AD$51</f>
        <v>0.968528179037888</v>
      </c>
      <c r="AF179" s="0" t="n">
        <f aca="false">(-AD179+SQRT(AD179^2-4*$C179))/2</f>
        <v>2.95556450895826</v>
      </c>
      <c r="AG179" s="0" t="n">
        <f aca="false">(-AE179+SQRT(AE179^2-4*$D179))/2</f>
        <v>2.46445907463058</v>
      </c>
      <c r="AH179" s="0" t="n">
        <f aca="false">IF(AF179&lt;&gt;0,($C$21-$B179)*$AC179/AF179/$AC$51-$AC$60*$AC$51,0)</f>
        <v>-0.000168539553126891</v>
      </c>
      <c r="AI179" s="0" t="n">
        <f aca="false">IF(AG179&lt;&gt;0,($C$27-$B179)*$AC179/AG179/$AD$51-$AC$60*$AD$51,0)</f>
        <v>-0.000214383477885765</v>
      </c>
      <c r="AJ179" s="0" t="n">
        <f aca="false">(AH179-AA179)/($AC179-$V179)</f>
        <v>0.00970666697737208</v>
      </c>
      <c r="AK179" s="0" t="n">
        <f aca="false">(AI179-AB179)/($AC179-$V179)</f>
        <v>0.0127202341416856</v>
      </c>
      <c r="AL179" s="0" t="n">
        <f aca="false">IF(AJ179&lt;&gt;AK179,(AB179-AA179)/(AJ179-AK179),0)</f>
        <v>0.015194032325868</v>
      </c>
      <c r="AM179" s="0" t="n">
        <f aca="false">V179+AL179</f>
        <v>-0.00328501429363319</v>
      </c>
      <c r="AN179" s="0" t="n">
        <f aca="false">-AM179*$AC$51</f>
        <v>0.34400589239385</v>
      </c>
      <c r="AO179" s="0" t="n">
        <f aca="false">-AM179*$AD$51</f>
        <v>0.172002946196925</v>
      </c>
      <c r="AP179" s="0" t="n">
        <f aca="false">(-AN179+SQRT(AN179^2-4*$C179))/2</f>
        <v>3.63457578067774</v>
      </c>
      <c r="AQ179" s="0" t="n">
        <f aca="false">(-AO179+SQRT(AO179^2-4*$D179))/2</f>
        <v>2.82395605988539</v>
      </c>
      <c r="AR179" s="0" t="n">
        <f aca="false">IF(AP179&lt;&gt;0,($C$21-$B179)*$AM179/AP179/$AC$51-$AC$60*$AC$51,0)</f>
        <v>-4.53032030710461E-005</v>
      </c>
      <c r="AS179" s="0" t="n">
        <f aca="false">IF(AQ179&lt;&gt;0,($C$27-$B179)*$AM179/AQ179/$AD$51-$AC$60*$AD$51,0)</f>
        <v>-4.35783876180547E-005</v>
      </c>
      <c r="AT179" s="0" t="n">
        <f aca="false">AM179*1.001</f>
        <v>-0.00328829930792682</v>
      </c>
      <c r="AU179" s="0" t="n">
        <f aca="false">-AT179*$AC$51</f>
        <v>0.344349898286243</v>
      </c>
      <c r="AV179" s="0" t="n">
        <f aca="false">-AT179*$AD$51</f>
        <v>0.172174949143122</v>
      </c>
      <c r="AW179" s="0" t="n">
        <f aca="false">(-AU179+SQRT(AU179^2-4*$C179))/2</f>
        <v>3.63441155368415</v>
      </c>
      <c r="AX179" s="0" t="n">
        <f aca="false">(-AV179+SQRT(AV179^2-4*$D179))/2</f>
        <v>2.82387260138695</v>
      </c>
      <c r="AY179" s="0" t="n">
        <f aca="false">IF(AW179&lt;&gt;0,($C$21-$B179)*$AT179/AW179/$AC$51-$AC$60*$AC$51,0)</f>
        <v>-4.53249450121557E-005</v>
      </c>
      <c r="AZ179" s="0" t="n">
        <f aca="false">IF(AX179&lt;&gt;0,($C$27-$B179)*$AT179/AX179/$AD$51-$AC$60*$AD$51,0)</f>
        <v>-4.36106417321991E-005</v>
      </c>
      <c r="BA179" s="0" t="n">
        <f aca="false">(AY179-AR179)/($AT179-$AM179)</f>
        <v>0.00661852252873035</v>
      </c>
      <c r="BB179" s="0" t="n">
        <f aca="false">(AZ179-AS179)/($AT179-$AM179)</f>
        <v>0.00981856127898935</v>
      </c>
      <c r="BC179" s="0" t="n">
        <f aca="false">IF(BA179&lt;&gt;BB179,(AS179-AR179)/(BA179-BB179),0)</f>
        <v>-0.000538998302083603</v>
      </c>
      <c r="BD179" s="0" t="n">
        <f aca="false">AM179+BC179</f>
        <v>-0.00382401259571679</v>
      </c>
      <c r="BE179" s="0" t="n">
        <f aca="false">-BD179*$AC$51</f>
        <v>0.400449662597957</v>
      </c>
      <c r="BF179" s="0" t="n">
        <f aca="false">-BD179*$AD$51</f>
        <v>0.200224831298978</v>
      </c>
      <c r="BG179" s="0" t="n">
        <f aca="false">(-BE179+SQRT(BE179^2-4*$C179))/2</f>
        <v>3.60773348956839</v>
      </c>
      <c r="BH179" s="0" t="n">
        <f aca="false">(-BF179+SQRT(BF179^2-4*$D179))/2</f>
        <v>2.81029633333433</v>
      </c>
      <c r="BI179" s="0" t="n">
        <f aca="false">IF(BG179&lt;&gt;0,($C$21-$B179)*$BD179/BG179/$AC$51-$AC$60*$AC$51,0)</f>
        <v>-4.88963569969966E-005</v>
      </c>
      <c r="BJ179" s="0" t="n">
        <f aca="false">IF(BH179&lt;&gt;0,($C$27-$B179)*$BD179/BH179/$AD$51-$AC$60*$AD$51,0)</f>
        <v>-4.88957628455573E-005</v>
      </c>
      <c r="BK179" s="0" t="n">
        <f aca="false">BD179*1.001</f>
        <v>-0.00382783660831251</v>
      </c>
      <c r="BL179" s="0" t="n">
        <f aca="false">-BK179*$AC$51</f>
        <v>0.400850112260555</v>
      </c>
      <c r="BM179" s="0" t="n">
        <f aca="false">-BK179*$AD$51</f>
        <v>0.200425056130277</v>
      </c>
      <c r="BN179" s="0" t="n">
        <f aca="false">(-BL179+SQRT(BL179^2-4*$C179))/2</f>
        <v>3.60754379793342</v>
      </c>
      <c r="BO179" s="0" t="n">
        <f aca="false">(-BM179+SQRT(BM179^2-4*$D179))/2</f>
        <v>2.81019966631138</v>
      </c>
      <c r="BP179" s="0" t="n">
        <f aca="false">IF(BN179&lt;&gt;0,($C$21-$B179)*$BK179/BN179/$AC$51-$AC$60*$AC$51,0)</f>
        <v>-4.89220351989988E-005</v>
      </c>
      <c r="BQ179" s="0" t="n">
        <f aca="false">IF(BO179&lt;&gt;0,($C$27-$B179)*$BK179/BO179/$AD$51-$AC$60*$AD$51,0)</f>
        <v>-4.89336693297399E-005</v>
      </c>
      <c r="BR179" s="0" t="n">
        <f aca="false">(BP179-BI179)/($BK179-$BD179)</f>
        <v>0.00671498886559383</v>
      </c>
      <c r="BS179" s="0" t="n">
        <f aca="false">(BQ179-BJ179)/($BK179-$BD179)</f>
        <v>0.00991275086934387</v>
      </c>
      <c r="BT179" s="0" t="n">
        <f aca="false">IF(BR179&lt;&gt;BS179,(BJ179-BI179)/(BR179-BS179),0)</f>
        <v>-1.85802270027495E-007</v>
      </c>
      <c r="BU179" s="0" t="n">
        <f aca="false">BD179+BT179</f>
        <v>-0.00382419839798682</v>
      </c>
      <c r="BV179" s="0" t="n">
        <f aca="false">-BU179*$AC$51</f>
        <v>0.400469119766175</v>
      </c>
      <c r="BW179" s="0" t="n">
        <f aca="false">-BU179*$AD$51</f>
        <v>0.200234559883087</v>
      </c>
      <c r="BX179" s="0" t="n">
        <f aca="false">(-BV179+SQRT(BV179^2-4*$C179))/2</f>
        <v>3.60772427253172</v>
      </c>
      <c r="BY179" s="0" t="n">
        <f aca="false">(-BW179+SQRT(BW179^2-4*$D179))/2</f>
        <v>2.81029163636854</v>
      </c>
      <c r="BZ179" s="0" t="n">
        <f aca="false">IF(BX179&lt;&gt;0,($C$21-$B179)*$BU179/BX179/$AC$51-$AC$60*$AC$51,0)</f>
        <v>-4.88976045963983E-005</v>
      </c>
      <c r="CA179" s="0" t="n">
        <f aca="false">IF(BY179&lt;&gt;0,($C$27-$B179)*$BU179/BY179/$AD$51-$AC$60*$AD$51,0)</f>
        <v>-4.88976045979323E-005</v>
      </c>
      <c r="CB179" s="0" t="n">
        <f aca="false">BU179*1.001</f>
        <v>-0.0038280225963848</v>
      </c>
      <c r="CC179" s="0" t="n">
        <f aca="false">-CB179*$AC$51</f>
        <v>0.400869588885941</v>
      </c>
      <c r="CD179" s="0" t="n">
        <f aca="false">-CB179*$AD$51</f>
        <v>0.20043479444297</v>
      </c>
      <c r="CE179" s="0" t="n">
        <f aca="false">(-CC179+SQRT(CC179^2-4*$C179))/2</f>
        <v>3.60753457219035</v>
      </c>
      <c r="CF179" s="0" t="n">
        <f aca="false">(-CD179+SQRT(CD179^2-4*$D179))/2</f>
        <v>2.81019496481593</v>
      </c>
      <c r="CG179" s="0" t="n">
        <f aca="false">IF(CE179&lt;&gt;0,($C$21-$B179)*$CB179/CE179/$AC$51-$AC$60*$AC$51,0)</f>
        <v>-4.89232841738851E-005</v>
      </c>
      <c r="CH179" s="0" t="n">
        <f aca="false">IF(CF179&lt;&gt;0,($C$27-$B179)*$CB179/CF179/$AD$51-$AC$60*$AD$51,0)</f>
        <v>-4.8935513048524E-005</v>
      </c>
      <c r="CI179" s="0" t="n">
        <f aca="false">(CG179-BZ179)/($CB179-$BU179)</f>
        <v>0.0067150222907652</v>
      </c>
      <c r="CJ179" s="0" t="n">
        <f aca="false">(CH179-CA179)/($CB179-$BU179)</f>
        <v>0.00991278345068342</v>
      </c>
      <c r="CK179" s="0" t="n">
        <f aca="false">IF(CI179&lt;&gt;CJ179,(CA179-BZ179)/(CI179-CJ179),0)</f>
        <v>4.79707565165351E-013</v>
      </c>
      <c r="CL179" s="0" t="str">
        <f aca="false">IF(AND(BU179&gt;0,CE179&gt;0,CE179&lt;$C$15,CF179&lt;$C$15,CG179&gt;0,ABS(CK179)&lt;0.1*BU179),B179,"")</f>
        <v/>
      </c>
      <c r="CM179" s="0" t="n">
        <f aca="false">CG179+BU179^2/$C$39</f>
        <v>-4.64858686093576E-005</v>
      </c>
      <c r="CN179" s="0" t="n">
        <f aca="false">-BU179*$C$15/$C$39</f>
        <v>0.00382419839798682</v>
      </c>
      <c r="CO179" s="0" t="n">
        <f aca="false">IF(CL179&lt;&gt;"",(-CM179+SQRT(CM179^2-4*$AC$60*CN179))/2/$AC$60,0)</f>
        <v>0</v>
      </c>
      <c r="CP179" s="0" t="n">
        <f aca="false">CO179*30/PI()</f>
        <v>0</v>
      </c>
      <c r="DB179" s="6"/>
    </row>
    <row r="180" customFormat="false" ht="12.75" hidden="false" customHeight="false" outlineLevel="0" collapsed="false">
      <c r="A180" s="0" t="n">
        <f aca="false">A179+0.01</f>
        <v>0.31</v>
      </c>
      <c r="B180" s="0" t="n">
        <f aca="false">A180*$AC$68</f>
        <v>0.609588031654306</v>
      </c>
      <c r="C180" s="0" t="n">
        <f aca="false">$C$39*($B180-$C$21)</f>
        <v>-14.3424718100742</v>
      </c>
      <c r="D180" s="0" t="n">
        <f aca="false">$C$39*($B180-$C$27)</f>
        <v>-8.34247181007417</v>
      </c>
      <c r="E180" s="0" t="n">
        <f aca="false">$AC$71</f>
        <v>0.0474257507541105</v>
      </c>
      <c r="F180" s="0" t="n">
        <f aca="false">-E180*$AC$51</f>
        <v>-4.96641300533647</v>
      </c>
      <c r="G180" s="0" t="n">
        <f aca="false">-E180*$AD$51</f>
        <v>-2.48320650266823</v>
      </c>
      <c r="H180" s="0" t="n">
        <f aca="false">(-F180+SQRT(F180^2-4*$C180))/2</f>
        <v>7.0118692572756</v>
      </c>
      <c r="I180" s="0" t="n">
        <f aca="false">(-G180+SQRT(G180^2-4*$D180))/2</f>
        <v>4.38549422333006</v>
      </c>
      <c r="J180" s="0" t="n">
        <f aca="false">IF(H180&lt;&gt;0,($C$21-$B180)*$E180/H180/$AC$51-$AC$60*$AC$51,0)</f>
        <v>0.000129889777345349</v>
      </c>
      <c r="K180" s="0" t="n">
        <f aca="false">IF(I180&lt;&gt;0,($C$27-$B180)*$E180/I180/$AD$51-$AC$60*$AD$51,0)</f>
        <v>0.000274919910837342</v>
      </c>
      <c r="L180" s="0" t="n">
        <f aca="false">E180*1.001</f>
        <v>0.0474731765048646</v>
      </c>
      <c r="M180" s="0" t="n">
        <f aca="false">-L180*$AC$51</f>
        <v>-4.97137941834181</v>
      </c>
      <c r="N180" s="0" t="n">
        <f aca="false">-L180*$AD$51</f>
        <v>-2.4856897091709</v>
      </c>
      <c r="O180" s="0" t="n">
        <f aca="false">(-M180+SQRT(M180^2-4*$C180))/2</f>
        <v>7.01571455903125</v>
      </c>
      <c r="P180" s="0" t="n">
        <f aca="false">(-N180+SQRT(N180^2-4*$D180))/2</f>
        <v>4.38722637447831</v>
      </c>
      <c r="Q180" s="0" t="n">
        <f aca="false">IF(O180&lt;&gt;0,($C$21-$B180)*$L180/O180/$AC$51-$AC$60*$AC$51,0)</f>
        <v>0.000129959462678511</v>
      </c>
      <c r="R180" s="0" t="n">
        <f aca="false">IF(P180&lt;&gt;0,($C$27-$B180)*$L180/P180/$AD$51-$AC$60*$AD$51,0)</f>
        <v>0.000275093588477677</v>
      </c>
      <c r="S180" s="0" t="n">
        <f aca="false">(Q180-J180)/($L180-$E180)</f>
        <v>0.00146935645834254</v>
      </c>
      <c r="T180" s="0" t="n">
        <f aca="false">(R180-K180)/($L180-$E180)</f>
        <v>0.00366209575123344</v>
      </c>
      <c r="U180" s="0" t="n">
        <f aca="false">IF(S180&lt;&gt;T180,(K180-J180)/(S180-T180),0)</f>
        <v>-0.0661410747562177</v>
      </c>
      <c r="V180" s="0" t="n">
        <f aca="false">E180+U180</f>
        <v>-0.0187153240021072</v>
      </c>
      <c r="W180" s="0" t="n">
        <f aca="false">-V180*$AC$51</f>
        <v>1.95986414648575</v>
      </c>
      <c r="X180" s="0" t="n">
        <f aca="false">-V180*$AD$51</f>
        <v>0.979932073242877</v>
      </c>
      <c r="Y180" s="0" t="n">
        <f aca="false">(-W180+SQRT(W180^2-4*$C180))/2</f>
        <v>2.93193943260241</v>
      </c>
      <c r="Z180" s="0" t="n">
        <f aca="false">(-X180+SQRT(X180^2-4*$D180))/2</f>
        <v>2.43963095394171</v>
      </c>
      <c r="AA180" s="0" t="n">
        <f aca="false">IF(Y180&lt;&gt;0,($C$21-$B180)*$V180/Y180/$AC$51-$AC$60*$AC$51,0)</f>
        <v>-0.000170211171618777</v>
      </c>
      <c r="AB180" s="0" t="n">
        <f aca="false">IF(Z180&lt;&gt;0,($C$27-$B180)*$V180/Z180/$AD$51-$AC$60*$AD$51,0)</f>
        <v>-0.000215963759666159</v>
      </c>
      <c r="AC180" s="0" t="n">
        <f aca="false">V180*1.001</f>
        <v>-0.0187340393261093</v>
      </c>
      <c r="AD180" s="0" t="n">
        <f aca="false">-AC180*$AC$51</f>
        <v>1.96182401063224</v>
      </c>
      <c r="AE180" s="0" t="n">
        <f aca="false">-AC180*$AD$51</f>
        <v>0.98091200531612</v>
      </c>
      <c r="AF180" s="0" t="n">
        <f aca="false">(-AD180+SQRT(AD180^2-4*$C180))/2</f>
        <v>2.93120509061128</v>
      </c>
      <c r="AG180" s="0" t="n">
        <f aca="false">(-AE180+SQRT(AE180^2-4*$D180))/2</f>
        <v>2.43922297303492</v>
      </c>
      <c r="AH180" s="0" t="n">
        <f aca="false">IF(AF180&lt;&gt;0,($C$21-$B180)*$AC180/AF180/$AC$51-$AC$60*$AC$51,0)</f>
        <v>-0.000170393421009162</v>
      </c>
      <c r="AI180" s="0" t="n">
        <f aca="false">IF(AG180&lt;&gt;0,($C$27-$B180)*$AC180/AG180/$AD$51-$AC$60*$AD$51,0)</f>
        <v>-0.000216201579122347</v>
      </c>
      <c r="AJ180" s="0" t="n">
        <f aca="false">(AH180-AA180)/($AC180-$V180)</f>
        <v>0.00973797677049847</v>
      </c>
      <c r="AK180" s="0" t="n">
        <f aca="false">(AI180-AB180)/($AC180-$V180)</f>
        <v>0.012707204863878</v>
      </c>
      <c r="AL180" s="0" t="n">
        <f aca="false">IF(AJ180&lt;&gt;AK180,(AB180-AA180)/(AJ180-AK180),0)</f>
        <v>0.0154089165966724</v>
      </c>
      <c r="AM180" s="0" t="n">
        <f aca="false">V180+AL180</f>
        <v>-0.00330640740543478</v>
      </c>
      <c r="AN180" s="0" t="n">
        <f aca="false">-AM180*$AC$51</f>
        <v>0.346246173822959</v>
      </c>
      <c r="AO180" s="0" t="n">
        <f aca="false">-AM180*$AD$51</f>
        <v>0.17312308691148</v>
      </c>
      <c r="AP180" s="0" t="n">
        <f aca="false">(-AN180+SQRT(AN180^2-4*$C180))/2</f>
        <v>3.61797746745211</v>
      </c>
      <c r="AQ180" s="0" t="n">
        <f aca="false">(-AO180+SQRT(AO180^2-4*$D180))/2</f>
        <v>2.80306900574594</v>
      </c>
      <c r="AR180" s="0" t="n">
        <f aca="false">IF(AP180&lt;&gt;0,($C$21-$B180)*$AM180/AP180/$AC$51-$AC$60*$AC$51,0)</f>
        <v>-4.53631101691883E-005</v>
      </c>
      <c r="AS180" s="0" t="n">
        <f aca="false">IF(AQ180&lt;&gt;0,($C$27-$B180)*$AM180/AQ180/$AD$51-$AC$60*$AD$51,0)</f>
        <v>-4.35743623254723E-005</v>
      </c>
      <c r="AT180" s="0" t="n">
        <f aca="false">AM180*1.001</f>
        <v>-0.00330971381284021</v>
      </c>
      <c r="AU180" s="0" t="n">
        <f aca="false">-AT180*$AC$51</f>
        <v>0.346592419996782</v>
      </c>
      <c r="AV180" s="0" t="n">
        <f aca="false">-AT180*$AD$51</f>
        <v>0.173296209998391</v>
      </c>
      <c r="AW180" s="0" t="n">
        <f aca="false">(-AU180+SQRT(AU180^2-4*$C180))/2</f>
        <v>3.61781225408886</v>
      </c>
      <c r="AX180" s="0" t="n">
        <f aca="false">(-AV180+SQRT(AV180^2-4*$D180))/2</f>
        <v>2.80298503852856</v>
      </c>
      <c r="AY180" s="0" t="n">
        <f aca="false">IF(AW180&lt;&gt;0,($C$21-$B180)*$AT180/AW180/$AC$51-$AC$60*$AC$51,0)</f>
        <v>-4.53849247497361E-005</v>
      </c>
      <c r="AZ180" s="0" t="n">
        <f aca="false">IF(AX180&lt;&gt;0,($C$27-$B180)*$AT180/AX180/$AD$51-$AC$60*$AD$51,0)</f>
        <v>-4.36066248913287E-005</v>
      </c>
      <c r="BA180" s="0" t="n">
        <f aca="false">(AY180-AR180)/($AT180-$AM180)</f>
        <v>0.00659766866961258</v>
      </c>
      <c r="BB180" s="0" t="n">
        <f aca="false">(AZ180-AS180)/($AT180-$AM180)</f>
        <v>0.00975758940153505</v>
      </c>
      <c r="BC180" s="0" t="n">
        <f aca="false">IF(BA180&lt;&gt;BB180,(AS180-AR180)/(BA180-BB180),0)</f>
        <v>-0.00056607364407769</v>
      </c>
      <c r="BD180" s="0" t="n">
        <f aca="false">AM180+BC180</f>
        <v>-0.00387248104951246</v>
      </c>
      <c r="BE180" s="0" t="n">
        <f aca="false">-BD180*$AC$51</f>
        <v>0.405525267210468</v>
      </c>
      <c r="BF180" s="0" t="n">
        <f aca="false">-BD180*$AD$51</f>
        <v>0.202762633605234</v>
      </c>
      <c r="BG180" s="0" t="n">
        <f aca="false">(-BE180+SQRT(BE180^2-4*$C180))/2</f>
        <v>3.58980700921752</v>
      </c>
      <c r="BH180" s="0" t="n">
        <f aca="false">(-BF180+SQRT(BF180^2-4*$D180))/2</f>
        <v>2.78873113455127</v>
      </c>
      <c r="BI180" s="0" t="n">
        <f aca="false">IF(BG180&lt;&gt;0,($C$21-$B180)*$BD180/BG180/$AC$51-$AC$60*$AC$51,0)</f>
        <v>-4.91263449093121E-005</v>
      </c>
      <c r="BJ180" s="0" t="n">
        <f aca="false">IF(BH180&lt;&gt;0,($C$27-$B180)*$BD180/BH180/$AD$51-$AC$60*$AD$51,0)</f>
        <v>-4.91256846771113E-005</v>
      </c>
      <c r="BK180" s="0" t="n">
        <f aca="false">BD180*1.001</f>
        <v>-0.00387635353056198</v>
      </c>
      <c r="BL180" s="0" t="n">
        <f aca="false">-BK180*$AC$51</f>
        <v>0.405930792477679</v>
      </c>
      <c r="BM180" s="0" t="n">
        <f aca="false">-BK180*$AD$51</f>
        <v>0.202965396238839</v>
      </c>
      <c r="BN180" s="0" t="n">
        <f aca="false">(-BL180+SQRT(BL180^2-4*$C180))/2</f>
        <v>3.58961509231306</v>
      </c>
      <c r="BO180" s="0" t="n">
        <f aca="false">(-BM180+SQRT(BM180^2-4*$D180))/2</f>
        <v>2.78863331133275</v>
      </c>
      <c r="BP180" s="0" t="n">
        <f aca="false">IF(BN180&lt;&gt;0,($C$21-$B180)*$BK180/BN180/$AC$51-$AC$60*$AC$51,0)</f>
        <v>-4.91522869582271E-005</v>
      </c>
      <c r="BQ180" s="0" t="n">
        <f aca="false">IF(BO180&lt;&gt;0,($C$27-$B180)*$BK180/BO180/$AD$51-$AC$60*$AD$51,0)</f>
        <v>-4.91638541233805E-005</v>
      </c>
      <c r="BR180" s="0" t="n">
        <f aca="false">(BP180-BI180)/($BK180-$BD180)</f>
        <v>0.00669907704732772</v>
      </c>
      <c r="BS180" s="0" t="n">
        <f aca="false">(BQ180-BJ180)/($BK180-$BD180)</f>
        <v>0.00985658697387159</v>
      </c>
      <c r="BT180" s="0" t="n">
        <f aca="false">IF(BR180&lt;&gt;BS180,(BJ180-BI180)/(BR180-BS180),0)</f>
        <v>-2.09099010340118E-007</v>
      </c>
      <c r="BU180" s="0" t="n">
        <f aca="false">BD180+BT180</f>
        <v>-0.0038726901485228</v>
      </c>
      <c r="BV180" s="0" t="n">
        <f aca="false">-BU180*$AC$51</f>
        <v>0.405547164007627</v>
      </c>
      <c r="BW180" s="0" t="n">
        <f aca="false">-BU180*$AD$51</f>
        <v>0.202773582003813</v>
      </c>
      <c r="BX180" s="0" t="n">
        <f aca="false">(-BV180+SQRT(BV180^2-4*$C180))/2</f>
        <v>3.58979664617032</v>
      </c>
      <c r="BY180" s="0" t="n">
        <f aca="false">(-BW180+SQRT(BW180^2-4*$D180))/2</f>
        <v>2.78872585238482</v>
      </c>
      <c r="BZ180" s="0" t="n">
        <f aca="false">IF(BX180&lt;&gt;0,($C$21-$B180)*$BU180/BX180/$AC$51-$AC$60*$AC$51,0)</f>
        <v>-4.91277456107427E-005</v>
      </c>
      <c r="CA180" s="0" t="n">
        <f aca="false">IF(BY180&lt;&gt;0,($C$27-$B180)*$BU180/BY180/$AD$51-$AC$60*$AD$51,0)</f>
        <v>-4.91277456125001E-005</v>
      </c>
      <c r="CB180" s="0" t="n">
        <f aca="false">BU180*1.001</f>
        <v>-0.00387656283867133</v>
      </c>
      <c r="CC180" s="0" t="n">
        <f aca="false">-CB180*$AC$51</f>
        <v>0.405952711171635</v>
      </c>
      <c r="CD180" s="0" t="n">
        <f aca="false">-CB180*$AD$51</f>
        <v>0.202976355585817</v>
      </c>
      <c r="CE180" s="0" t="n">
        <f aca="false">(-CC180+SQRT(CC180^2-4*$C180))/2</f>
        <v>3.58960471948708</v>
      </c>
      <c r="CF180" s="0" t="n">
        <f aca="false">(-CD180+SQRT(CD180^2-4*$D180))/2</f>
        <v>2.78862802407613</v>
      </c>
      <c r="CG180" s="0" t="n">
        <f aca="false">IF(CE180&lt;&gt;0,($C$21-$B180)*$CB180/CE180/$AC$51-$AC$60*$AC$51,0)</f>
        <v>-4.91536892062822E-005</v>
      </c>
      <c r="CH180" s="0" t="n">
        <f aca="false">IF(CF180&lt;&gt;0,($C$27-$B180)*$CB180/CF180/$AD$51-$AC$60*$AD$51,0)</f>
        <v>-4.91659172619078E-005</v>
      </c>
      <c r="CI180" s="0" t="n">
        <f aca="false">(CG180-BZ180)/($CB180-$BU180)</f>
        <v>0.00669911470955833</v>
      </c>
      <c r="CJ180" s="0" t="n">
        <f aca="false">(CH180-CA180)/($CB180-$BU180)</f>
        <v>0.00985662367598569</v>
      </c>
      <c r="CK180" s="0" t="n">
        <f aca="false">IF(CI180&lt;&gt;CJ180,(CA180-BZ180)/(CI180-CJ180),0)</f>
        <v>5.56594164166712E-013</v>
      </c>
      <c r="CL180" s="0" t="str">
        <f aca="false">IF(AND(BU180&gt;0,CE180&gt;0,CE180&lt;$C$15,CF180&lt;$C$15,CG180&gt;0,ABS(CK180)&lt;0.1*BU180),B180,"")</f>
        <v/>
      </c>
      <c r="CM180" s="0" t="n">
        <f aca="false">CG180+BU180^2/$C$39</f>
        <v>-4.66540677085379E-005</v>
      </c>
      <c r="CN180" s="0" t="n">
        <f aca="false">-BU180*$C$15/$C$39</f>
        <v>0.0038726901485228</v>
      </c>
      <c r="CO180" s="0" t="n">
        <f aca="false">IF(CL180&lt;&gt;"",(-CM180+SQRT(CM180^2-4*$AC$60*CN180))/2/$AC$60,0)</f>
        <v>0</v>
      </c>
      <c r="CP180" s="0" t="n">
        <f aca="false">CO180*30/PI()</f>
        <v>0</v>
      </c>
      <c r="DB180" s="6"/>
    </row>
    <row r="181" customFormat="false" ht="12.75" hidden="false" customHeight="false" outlineLevel="0" collapsed="false">
      <c r="A181" s="0" t="n">
        <f aca="false">A180+0.01</f>
        <v>0.32</v>
      </c>
      <c r="B181" s="0" t="n">
        <f aca="false">A181*$AC$68</f>
        <v>0.629252161707671</v>
      </c>
      <c r="C181" s="0" t="n">
        <f aca="false">$C$39*($B181-$C$21)</f>
        <v>-14.224487029754</v>
      </c>
      <c r="D181" s="0" t="n">
        <f aca="false">$C$39*($B181-$C$27)</f>
        <v>-8.22448702975398</v>
      </c>
      <c r="E181" s="0" t="n">
        <f aca="false">$AC$71</f>
        <v>0.0474257507541105</v>
      </c>
      <c r="F181" s="0" t="n">
        <f aca="false">-E181*$AC$51</f>
        <v>-4.96641300533647</v>
      </c>
      <c r="G181" s="0" t="n">
        <f aca="false">-E181*$AD$51</f>
        <v>-2.48320650266823</v>
      </c>
      <c r="H181" s="0" t="n">
        <f aca="false">(-F181+SQRT(F181^2-4*$C181))/2</f>
        <v>6.99882402020089</v>
      </c>
      <c r="I181" s="0" t="n">
        <f aca="false">(-G181+SQRT(G181^2-4*$D181))/2</f>
        <v>4.36667375669515</v>
      </c>
      <c r="J181" s="0" t="n">
        <f aca="false">IF(H181&lt;&gt;0,($C$21-$B181)*$E181/H181/$AC$51-$AC$60*$AC$51,0)</f>
        <v>0.000128905117285544</v>
      </c>
      <c r="K181" s="0" t="n">
        <f aca="false">IF(I181&lt;&gt;0,($C$27-$B181)*$E181/I181/$AD$51-$AC$60*$AD$51,0)</f>
        <v>0.000272078757135624</v>
      </c>
      <c r="L181" s="0" t="n">
        <f aca="false">E181*1.001</f>
        <v>0.0474731765048646</v>
      </c>
      <c r="M181" s="0" t="n">
        <f aca="false">-L181*$AC$51</f>
        <v>-4.97137941834181</v>
      </c>
      <c r="N181" s="0" t="n">
        <f aca="false">-L181*$AD$51</f>
        <v>-2.4856897091709</v>
      </c>
      <c r="O181" s="0" t="n">
        <f aca="false">(-M181+SQRT(M181^2-4*$C181))/2</f>
        <v>7.00267325574622</v>
      </c>
      <c r="P181" s="0" t="n">
        <f aca="false">(-N181+SQRT(N181^2-4*$D181))/2</f>
        <v>4.36840886166058</v>
      </c>
      <c r="Q181" s="0" t="n">
        <f aca="false">IF(O181&lt;&gt;0,($C$21-$B181)*$L181/O181/$AC$51-$AC$60*$AC$51,0)</f>
        <v>0.000128974115179693</v>
      </c>
      <c r="R181" s="0" t="n">
        <f aca="false">IF(P181&lt;&gt;0,($C$27-$B181)*$L181/P181/$AD$51-$AC$60*$AD$51,0)</f>
        <v>0.000272250039978932</v>
      </c>
      <c r="S181" s="0" t="n">
        <f aca="false">(Q181-J181)/($L181-$E181)</f>
        <v>0.00145486140023686</v>
      </c>
      <c r="T181" s="0" t="n">
        <f aca="false">(R181-K181)/($L181-$E181)</f>
        <v>0.0036116000397316</v>
      </c>
      <c r="U181" s="0" t="n">
        <f aca="false">IF(S181&lt;&gt;T181,(K181-J181)/(S181-T181),0)</f>
        <v>-0.0663843254941735</v>
      </c>
      <c r="V181" s="0" t="n">
        <f aca="false">E181+U181</f>
        <v>-0.018958574740063</v>
      </c>
      <c r="W181" s="0" t="n">
        <f aca="false">-V181*$AC$51</f>
        <v>1.98533730419716</v>
      </c>
      <c r="X181" s="0" t="n">
        <f aca="false">-V181*$AD$51</f>
        <v>0.992668652098582</v>
      </c>
      <c r="Y181" s="0" t="n">
        <f aca="false">(-W181+SQRT(W181^2-4*$C181))/2</f>
        <v>2.90731571743589</v>
      </c>
      <c r="Z181" s="0" t="n">
        <f aca="false">(-X181+SQRT(X181^2-4*$D181))/2</f>
        <v>2.41413553171745</v>
      </c>
      <c r="AA181" s="0" t="n">
        <f aca="false">IF(Y181&lt;&gt;0,($C$21-$B181)*$V181/Y181/$AC$51-$AC$60*$AC$51,0)</f>
        <v>-0.000172130642383303</v>
      </c>
      <c r="AB181" s="0" t="n">
        <f aca="false">IF(Z181&lt;&gt;0,($C$27-$B181)*$V181/Z181/$AD$51-$AC$60*$AD$51,0)</f>
        <v>-0.000217841538898853</v>
      </c>
      <c r="AC181" s="0" t="n">
        <f aca="false">V181*1.001</f>
        <v>-0.0189775333148031</v>
      </c>
      <c r="AD181" s="0" t="n">
        <f aca="false">-AC181*$AC$51</f>
        <v>1.98732264150136</v>
      </c>
      <c r="AE181" s="0" t="n">
        <f aca="false">-AC181*$AD$51</f>
        <v>0.99366132075068</v>
      </c>
      <c r="AF181" s="0" t="n">
        <f aca="false">(-AD181+SQRT(AD181^2-4*$C181))/2</f>
        <v>2.90657583230937</v>
      </c>
      <c r="AG181" s="0" t="n">
        <f aca="false">(-AE181+SQRT(AE181^2-4*$D181))/2</f>
        <v>2.41372388040258</v>
      </c>
      <c r="AH181" s="0" t="n">
        <f aca="false">IF(AF181&lt;&gt;0,($C$21-$B181)*$AC181/AF181/$AC$51-$AC$60*$AC$51,0)</f>
        <v>-0.000172315888134448</v>
      </c>
      <c r="AI181" s="0" t="n">
        <f aca="false">IF(AG181&lt;&gt;0,($C$27-$B181)*$AC181/AG181/$AD$51-$AC$60*$AD$51,0)</f>
        <v>-0.00021808222709734</v>
      </c>
      <c r="AJ181" s="0" t="n">
        <f aca="false">(AH181-AA181)/($AC181-$V181)</f>
        <v>0.00977108003558422</v>
      </c>
      <c r="AK181" s="0" t="n">
        <f aca="false">(AI181-AB181)/($AC181-$V181)</f>
        <v>0.0126954795804627</v>
      </c>
      <c r="AL181" s="0" t="n">
        <f aca="false">IF(AJ181&lt;&gt;AK181,(AB181-AA181)/(AJ181-AK181),0)</f>
        <v>0.0156308656919348</v>
      </c>
      <c r="AM181" s="0" t="n">
        <f aca="false">V181+AL181</f>
        <v>-0.00332770904812821</v>
      </c>
      <c r="AN181" s="0" t="n">
        <f aca="false">-AM181*$AC$51</f>
        <v>0.348476876629462</v>
      </c>
      <c r="AO181" s="0" t="n">
        <f aca="false">-AM181*$AD$51</f>
        <v>0.174238438314731</v>
      </c>
      <c r="AP181" s="0" t="n">
        <f aca="false">(-AN181+SQRT(AN181^2-4*$C181))/2</f>
        <v>3.6013206015018</v>
      </c>
      <c r="AQ181" s="0" t="n">
        <f aca="false">(-AO181+SQRT(AO181^2-4*$D181))/2</f>
        <v>2.78204037697886</v>
      </c>
      <c r="AR181" s="0" t="n">
        <f aca="false">IF(AP181&lt;&gt;0,($C$21-$B181)*$AM181/AP181/$AC$51-$AC$60*$AC$51,0)</f>
        <v>-4.54211036870593E-005</v>
      </c>
      <c r="AS181" s="0" t="n">
        <f aca="false">IF(AQ181&lt;&gt;0,($C$27-$B181)*$AM181/AQ181/$AD$51-$AC$60*$AD$51,0)</f>
        <v>-4.35652337940778E-005</v>
      </c>
      <c r="AT181" s="0" t="n">
        <f aca="false">AM181*1.001</f>
        <v>-0.00333103675717634</v>
      </c>
      <c r="AU181" s="0" t="n">
        <f aca="false">-AT181*$AC$51</f>
        <v>0.348825353506091</v>
      </c>
      <c r="AV181" s="0" t="n">
        <f aca="false">-AT181*$AD$51</f>
        <v>0.174412676753046</v>
      </c>
      <c r="AW181" s="0" t="n">
        <f aca="false">(-AU181+SQRT(AU181^2-4*$C181))/2</f>
        <v>3.60115440801265</v>
      </c>
      <c r="AX181" s="0" t="n">
        <f aca="false">(-AV181+SQRT(AV181^2-4*$D181))/2</f>
        <v>2.78195590437083</v>
      </c>
      <c r="AY181" s="0" t="n">
        <f aca="false">IF(AW181&lt;&gt;0,($C$21-$B181)*$AT181/AW181/$AC$51-$AC$60*$AC$51,0)</f>
        <v>-4.54429890346941E-005</v>
      </c>
      <c r="AZ181" s="0" t="n">
        <f aca="false">IF(AX181&lt;&gt;0,($C$27-$B181)*$AT181/AX181/$AD$51-$AC$60*$AD$51,0)</f>
        <v>-4.35974997501083E-005</v>
      </c>
      <c r="BA181" s="0" t="n">
        <f aca="false">(AY181-AR181)/($AT181-$AM181)</f>
        <v>0.00657670106319396</v>
      </c>
      <c r="BB181" s="0" t="n">
        <f aca="false">(AZ181-AS181)/($AT181-$AM181)</f>
        <v>0.00969614697797241</v>
      </c>
      <c r="BC181" s="0" t="n">
        <f aca="false">IF(BA181&lt;&gt;BB181,(AS181-AR181)/(BA181-BB181),0)</f>
        <v>-0.00059493574938719</v>
      </c>
      <c r="BD181" s="0" t="n">
        <f aca="false">AM181+BC181</f>
        <v>-0.0039226447975154</v>
      </c>
      <c r="BE181" s="0" t="n">
        <f aca="false">-BD181*$AC$51</f>
        <v>0.41077840261722</v>
      </c>
      <c r="BF181" s="0" t="n">
        <f aca="false">-BD181*$AD$51</f>
        <v>0.20538920130861</v>
      </c>
      <c r="BG181" s="0" t="n">
        <f aca="false">(-BE181+SQRT(BE181^2-4*$C181))/2</f>
        <v>3.5717355985581</v>
      </c>
      <c r="BH181" s="0" t="n">
        <f aca="false">(-BF181+SQRT(BF181^2-4*$D181))/2</f>
        <v>2.76698015630989</v>
      </c>
      <c r="BI181" s="0" t="n">
        <f aca="false">IF(BG181&lt;&gt;0,($C$21-$B181)*$BD181/BG181/$AC$51-$AC$60*$AC$51,0)</f>
        <v>-4.93652990280107E-005</v>
      </c>
      <c r="BJ181" s="0" t="n">
        <f aca="false">IF(BH181&lt;&gt;0,($C$27-$B181)*$BD181/BH181/$AD$51-$AC$60*$AD$51,0)</f>
        <v>-4.93645643738471E-005</v>
      </c>
      <c r="BK181" s="0" t="n">
        <f aca="false">BD181*1.001</f>
        <v>-0.00392656744231291</v>
      </c>
      <c r="BL181" s="0" t="n">
        <f aca="false">-BK181*$AC$51</f>
        <v>0.411189181019837</v>
      </c>
      <c r="BM181" s="0" t="n">
        <f aca="false">-BK181*$AD$51</f>
        <v>0.205594590509918</v>
      </c>
      <c r="BN181" s="0" t="n">
        <f aca="false">(-BL181+SQRT(BL181^2-4*$C181))/2</f>
        <v>3.57154138339954</v>
      </c>
      <c r="BO181" s="0" t="n">
        <f aca="false">(-BM181+SQRT(BM181^2-4*$D181))/2</f>
        <v>2.76688113858841</v>
      </c>
      <c r="BP181" s="0" t="n">
        <f aca="false">IF(BN181&lt;&gt;0,($C$21-$B181)*$BK181/BN181/$AC$51-$AC$60*$AC$51,0)</f>
        <v>-4.93915155681981E-005</v>
      </c>
      <c r="BQ181" s="0" t="n">
        <f aca="false">IF(BO181&lt;&gt;0,($C$27-$B181)*$BK181/BO181/$AD$51-$AC$60*$AD$51,0)</f>
        <v>-4.94030073717724E-005</v>
      </c>
      <c r="BR181" s="0" t="n">
        <f aca="false">(BP181-BI181)/($BK181-$BD181)</f>
        <v>0.00668338367112851</v>
      </c>
      <c r="BS181" s="0" t="n">
        <f aca="false">(BQ181-BJ181)/($BK181-$BD181)</f>
        <v>0.009800275046491</v>
      </c>
      <c r="BT181" s="0" t="n">
        <f aca="false">IF(BR181&lt;&gt;BS181,(BJ181-BI181)/(BR181-BS181),0)</f>
        <v>-2.35700919658316E-007</v>
      </c>
      <c r="BU181" s="0" t="n">
        <f aca="false">BD181+BT181</f>
        <v>-0.00392288049843506</v>
      </c>
      <c r="BV181" s="0" t="n">
        <f aca="false">-BU181*$AC$51</f>
        <v>0.410803085159808</v>
      </c>
      <c r="BW181" s="0" t="n">
        <f aca="false">-BU181*$AD$51</f>
        <v>0.205401542579904</v>
      </c>
      <c r="BX181" s="0" t="n">
        <f aca="false">(-BV181+SQRT(BV181^2-4*$C181))/2</f>
        <v>3.57172392838981</v>
      </c>
      <c r="BY181" s="0" t="n">
        <f aca="false">(-BW181+SQRT(BW181^2-4*$D181))/2</f>
        <v>2.76697420650414</v>
      </c>
      <c r="BZ181" s="0" t="n">
        <f aca="false">IF(BX181&lt;&gt;0,($C$21-$B181)*$BU181/BX181/$AC$51-$AC$60*$AC$51,0)</f>
        <v>-4.93668742293674E-005</v>
      </c>
      <c r="CA181" s="0" t="n">
        <f aca="false">IF(BY181&lt;&gt;0,($C$27-$B181)*$BU181/BY181/$AD$51-$AC$60*$AD$51,0)</f>
        <v>-4.93668742313834E-005</v>
      </c>
      <c r="CB181" s="0" t="n">
        <f aca="false">BU181*1.001</f>
        <v>-0.00392680337893349</v>
      </c>
      <c r="CC181" s="0" t="n">
        <f aca="false">-CB181*$AC$51</f>
        <v>0.411213888244968</v>
      </c>
      <c r="CD181" s="0" t="n">
        <f aca="false">-CB181*$AD$51</f>
        <v>0.205606944122484</v>
      </c>
      <c r="CE181" s="0" t="n">
        <f aca="false">(-CC181+SQRT(CC181^2-4*$C181))/2</f>
        <v>3.57152970223086</v>
      </c>
      <c r="CF181" s="0" t="n">
        <f aca="false">(-CD181+SQRT(CD181^2-4*$D181))/2</f>
        <v>2.76687518305362</v>
      </c>
      <c r="CG181" s="0" t="n">
        <f aca="false">IF(CE181&lt;&gt;0,($C$21-$B181)*$CB181/CE181/$AC$51-$AC$60*$AC$51,0)</f>
        <v>-4.9393092511586E-005</v>
      </c>
      <c r="CH181" s="0" t="n">
        <f aca="false">IF(CF181&lt;&gt;0,($C$27-$B181)*$CB181/CF181/$AD$51-$AC$60*$AD$51,0)</f>
        <v>-4.94053197017012E-005</v>
      </c>
      <c r="CI181" s="0" t="n">
        <f aca="false">(CG181-BZ181)/($CB181-$BU181)</f>
        <v>0.00668342617857311</v>
      </c>
      <c r="CJ181" s="0" t="n">
        <f aca="false">(CH181-CA181)/($CB181-$BU181)</f>
        <v>0.009800316459594</v>
      </c>
      <c r="CK181" s="0" t="n">
        <f aca="false">IF(CI181&lt;&gt;CJ181,(CA181-BZ181)/(CI181-CJ181),0)</f>
        <v>6.46807017291423E-013</v>
      </c>
      <c r="CL181" s="0" t="str">
        <f aca="false">IF(AND(BU181&gt;0,CE181&gt;0,CE181&lt;$C$15,CF181&lt;$C$15,CG181&gt;0,ABS(CK181)&lt;0.1*BU181),B181,"")</f>
        <v/>
      </c>
      <c r="CM181" s="0" t="n">
        <f aca="false">CG181+BU181^2/$C$39</f>
        <v>-4.68282606107523E-005</v>
      </c>
      <c r="CN181" s="0" t="n">
        <f aca="false">-BU181*$C$15/$C$39</f>
        <v>0.00392288049843506</v>
      </c>
      <c r="CO181" s="0" t="n">
        <f aca="false">IF(CL181&lt;&gt;"",(-CM181+SQRT(CM181^2-4*$AC$60*CN181))/2/$AC$60,0)</f>
        <v>0</v>
      </c>
      <c r="CP181" s="0" t="n">
        <f aca="false">CO181*30/PI()</f>
        <v>0</v>
      </c>
      <c r="DB181" s="6"/>
    </row>
    <row r="182" customFormat="false" ht="12.75" hidden="false" customHeight="false" outlineLevel="0" collapsed="false">
      <c r="A182" s="0" t="n">
        <f aca="false">A181+0.01</f>
        <v>0.33</v>
      </c>
      <c r="B182" s="0" t="n">
        <f aca="false">A182*$AC$68</f>
        <v>0.648916291761035</v>
      </c>
      <c r="C182" s="0" t="n">
        <f aca="false">$C$39*($B182-$C$21)</f>
        <v>-14.1065022494338</v>
      </c>
      <c r="D182" s="0" t="n">
        <f aca="false">$C$39*($B182-$C$27)</f>
        <v>-8.10650224943379</v>
      </c>
      <c r="E182" s="0" t="n">
        <f aca="false">$AC$71</f>
        <v>0.0474257507541105</v>
      </c>
      <c r="F182" s="0" t="n">
        <f aca="false">-E182*$AC$51</f>
        <v>-4.96641300533647</v>
      </c>
      <c r="G182" s="0" t="n">
        <f aca="false">-E182*$AD$51</f>
        <v>-2.48320650266823</v>
      </c>
      <c r="H182" s="0" t="n">
        <f aca="false">(-F182+SQRT(F182^2-4*$C182))/2</f>
        <v>6.98574098719221</v>
      </c>
      <c r="I182" s="0" t="n">
        <f aca="false">(-G182+SQRT(G182^2-4*$D182))/2</f>
        <v>4.34773925659165</v>
      </c>
      <c r="J182" s="0" t="n">
        <f aca="false">IF(H182&lt;&gt;0,($C$21-$B182)*$E182/H182/$AC$51-$AC$60*$AC$51,0)</f>
        <v>0.000127917604372518</v>
      </c>
      <c r="K182" s="0" t="n">
        <f aca="false">IF(I182&lt;&gt;0,($C$27-$B182)*$E182/I182/$AD$51-$AC$60*$AD$51,0)</f>
        <v>0.000269220388844191</v>
      </c>
      <c r="L182" s="0" t="n">
        <f aca="false">E182*1.001</f>
        <v>0.0474731765048646</v>
      </c>
      <c r="M182" s="0" t="n">
        <f aca="false">-L182*$AC$51</f>
        <v>-4.97137941834181</v>
      </c>
      <c r="N182" s="0" t="n">
        <f aca="false">-L182*$AD$51</f>
        <v>-2.4856897091709</v>
      </c>
      <c r="O182" s="0" t="n">
        <f aca="false">(-M182+SQRT(M182^2-4*$C182))/2</f>
        <v>6.98959419080813</v>
      </c>
      <c r="P182" s="0" t="n">
        <f aca="false">(-N182+SQRT(N182^2-4*$D182))/2</f>
        <v>4.34947736938396</v>
      </c>
      <c r="Q182" s="0" t="n">
        <f aca="false">IF(O182&lt;&gt;0,($C$21-$B182)*$L182/O182/$AC$51-$AC$60*$AC$51,0)</f>
        <v>0.000127985914564927</v>
      </c>
      <c r="R182" s="0" t="n">
        <f aca="false">IF(P182&lt;&gt;0,($C$27-$B182)*$L182/P182/$AD$51-$AC$60*$AD$51,0)</f>
        <v>0.000269389267837384</v>
      </c>
      <c r="S182" s="0" t="n">
        <f aca="false">(Q182-J182)/($L182-$E182)</f>
        <v>0.00144036080237156</v>
      </c>
      <c r="T182" s="0" t="n">
        <f aca="false">(R182-K182)/($L182-$E182)</f>
        <v>0.00356091343852647</v>
      </c>
      <c r="U182" s="0" t="n">
        <f aca="false">IF(S182&lt;&gt;T182,(K182-J182)/(S182-T182),0)</f>
        <v>-0.0666348866151657</v>
      </c>
      <c r="V182" s="0" t="n">
        <f aca="false">E182+U182</f>
        <v>-0.0192091358610552</v>
      </c>
      <c r="W182" s="0" t="n">
        <f aca="false">-V182*$AC$51</f>
        <v>2.01157600342997</v>
      </c>
      <c r="X182" s="0" t="n">
        <f aca="false">-V182*$AD$51</f>
        <v>1.00578800171499</v>
      </c>
      <c r="Y182" s="0" t="n">
        <f aca="false">(-W182+SQRT(W182^2-4*$C182))/2</f>
        <v>2.88241360749043</v>
      </c>
      <c r="Z182" s="0" t="n">
        <f aca="false">(-X182+SQRT(X182^2-4*$D182))/2</f>
        <v>2.38836949898686</v>
      </c>
      <c r="AA182" s="0" t="n">
        <f aca="false">IF(Y182&lt;&gt;0,($C$21-$B182)*$V182/Y182/$AC$51-$AC$60*$AC$51,0)</f>
        <v>-0.000174122599153235</v>
      </c>
      <c r="AB182" s="0" t="n">
        <f aca="false">IF(Z182&lt;&gt;0,($C$27-$B182)*$V182/Z182/$AD$51-$AC$60*$AD$51,0)</f>
        <v>-0.000219785396325651</v>
      </c>
      <c r="AC182" s="0" t="n">
        <f aca="false">V182*1.001</f>
        <v>-0.0192283449969162</v>
      </c>
      <c r="AD182" s="0" t="n">
        <f aca="false">-AC182*$AC$51</f>
        <v>2.0135875794334</v>
      </c>
      <c r="AE182" s="0" t="n">
        <f aca="false">-AC182*$AD$51</f>
        <v>1.0067937897167</v>
      </c>
      <c r="AF182" s="0" t="n">
        <f aca="false">(-AD182+SQRT(AD182^2-4*$C182))/2</f>
        <v>2.88166811500165</v>
      </c>
      <c r="AG182" s="0" t="n">
        <f aca="false">(-AE182+SQRT(AE182^2-4*$D182))/2</f>
        <v>2.3879541186277</v>
      </c>
      <c r="AH182" s="0" t="n">
        <f aca="false">IF(AF182&lt;&gt;0,($C$21-$B182)*$AC182/AF182/$AC$51-$AC$60*$AC$51,0)</f>
        <v>-0.00017431096539769</v>
      </c>
      <c r="AI182" s="0" t="n">
        <f aca="false">IF(AG182&lt;&gt;0,($C$27-$B182)*$AC182/AG182/$AD$51-$AC$60*$AD$51,0)</f>
        <v>-0.000220029066982053</v>
      </c>
      <c r="AJ182" s="0" t="n">
        <f aca="false">(AH182-AA182)/($AC182-$V182)</f>
        <v>0.00980607591192006</v>
      </c>
      <c r="AK182" s="0" t="n">
        <f aca="false">(AI182-AB182)/($AC182-$V182)</f>
        <v>0.0126851440983028</v>
      </c>
      <c r="AL182" s="0" t="n">
        <f aca="false">IF(AJ182&lt;&gt;AK182,(AB182-AA182)/(AJ182-AK182),0)</f>
        <v>0.0158602694400884</v>
      </c>
      <c r="AM182" s="0" t="n">
        <f aca="false">V182+AL182</f>
        <v>-0.00334886642096677</v>
      </c>
      <c r="AN182" s="0" t="n">
        <f aca="false">-AM182*$AC$51</f>
        <v>0.350692471532091</v>
      </c>
      <c r="AO182" s="0" t="n">
        <f aca="false">-AM182*$AD$51</f>
        <v>0.175346235766046</v>
      </c>
      <c r="AP182" s="0" t="n">
        <f aca="false">(-AN182+SQRT(AN182^2-4*$C182))/2</f>
        <v>3.58460702881466</v>
      </c>
      <c r="AQ182" s="0" t="n">
        <f aca="false">(-AO182+SQRT(AO182^2-4*$D182))/2</f>
        <v>2.76086840806199</v>
      </c>
      <c r="AR182" s="0" t="n">
        <f aca="false">IF(AP182&lt;&gt;0,($C$21-$B182)*$AM182/AP182/$AC$51-$AC$60*$AC$51,0)</f>
        <v>-4.54768326608127E-005</v>
      </c>
      <c r="AS182" s="0" t="n">
        <f aca="false">IF(AQ182&lt;&gt;0,($C$27-$B182)*$AM182/AQ182/$AD$51-$AC$60*$AD$51,0)</f>
        <v>-4.35504478638576E-005</v>
      </c>
      <c r="AT182" s="0" t="n">
        <f aca="false">AM182*1.001</f>
        <v>-0.00335221528738773</v>
      </c>
      <c r="AU182" s="0" t="n">
        <f aca="false">-AT182*$AC$51</f>
        <v>0.351043164003623</v>
      </c>
      <c r="AV182" s="0" t="n">
        <f aca="false">-AT182*$AD$51</f>
        <v>0.175521582001812</v>
      </c>
      <c r="AW182" s="0" t="n">
        <f aca="false">(-AU182+SQRT(AU182^2-4*$C182))/2</f>
        <v>3.58443986396837</v>
      </c>
      <c r="AX182" s="0" t="n">
        <f aca="false">(-AV182+SQRT(AV182^2-4*$D182))/2</f>
        <v>2.76078343471701</v>
      </c>
      <c r="AY182" s="0" t="n">
        <f aca="false">IF(AW182&lt;&gt;0,($C$21-$B182)*$AT182/AW182/$AC$51-$AC$60*$AC$51,0)</f>
        <v>-4.54987865198663E-005</v>
      </c>
      <c r="AZ182" s="0" t="n">
        <f aca="false">IF(AX182&lt;&gt;0,($C$27-$B182)*$AT182/AX182/$AD$51-$AC$60*$AD$51,0)</f>
        <v>-4.3582711562972E-005</v>
      </c>
      <c r="BA182" s="0" t="n">
        <f aca="false">(AY182-AR182)/($AT182-$AM182)</f>
        <v>0.00655560906107704</v>
      </c>
      <c r="BB182" s="0" t="n">
        <f aca="false">(AZ182-AS182)/($AT182-$AM182)</f>
        <v>0.00963421500254661</v>
      </c>
      <c r="BC182" s="0" t="n">
        <f aca="false">IF(BA182&lt;&gt;BB182,(AS182-AR182)/(BA182-BB182),0)</f>
        <v>-0.000625732826343966</v>
      </c>
      <c r="BD182" s="0" t="n">
        <f aca="false">AM182+BC182</f>
        <v>-0.00397459924731073</v>
      </c>
      <c r="BE182" s="0" t="n">
        <f aca="false">-BD182*$AC$51</f>
        <v>0.416219059877164</v>
      </c>
      <c r="BF182" s="0" t="n">
        <f aca="false">-BD182*$AD$51</f>
        <v>0.208109529938582</v>
      </c>
      <c r="BG182" s="0" t="n">
        <f aca="false">(-BE182+SQRT(BE182^2-4*$C182))/2</f>
        <v>3.55351403255209</v>
      </c>
      <c r="BH182" s="0" t="n">
        <f aca="false">(-BF182+SQRT(BF182^2-4*$D182))/2</f>
        <v>2.74503801055533</v>
      </c>
      <c r="BI182" s="0" t="n">
        <f aca="false">IF(BG182&lt;&gt;0,($C$21-$B182)*$BD182/BG182/$AC$51-$AC$60*$AC$51,0)</f>
        <v>-4.96137563403756E-005</v>
      </c>
      <c r="BJ182" s="0" t="n">
        <f aca="false">IF(BH182&lt;&gt;0,($C$27-$B182)*$BD182/BH182/$AD$51-$AC$60*$AD$51,0)</f>
        <v>-4.96129377414098E-005</v>
      </c>
      <c r="BK182" s="0" t="n">
        <f aca="false">BD182*1.001</f>
        <v>-0.00397857384655804</v>
      </c>
      <c r="BL182" s="0" t="n">
        <f aca="false">-BK182*$AC$51</f>
        <v>0.416635278937041</v>
      </c>
      <c r="BM182" s="0" t="n">
        <f aca="false">-BK182*$AD$51</f>
        <v>0.208317639468521</v>
      </c>
      <c r="BN182" s="0" t="n">
        <f aca="false">(-BL182+SQRT(BL182^2-4*$C182))/2</f>
        <v>3.55331744229413</v>
      </c>
      <c r="BO182" s="0" t="n">
        <f aca="false">(-BM182+SQRT(BM182^2-4*$D182))/2</f>
        <v>2.74493775798335</v>
      </c>
      <c r="BP182" s="0" t="n">
        <f aca="false">IF(BN182&lt;&gt;0,($C$21-$B182)*$BK182/BN182/$AC$51-$AC$60*$AC$51,0)</f>
        <v>-4.96402586743899E-005</v>
      </c>
      <c r="BQ182" s="0" t="n">
        <f aca="false">IF(BO182&lt;&gt;0,($C$27-$B182)*$BK182/BO182/$AD$51-$AC$60*$AD$51,0)</f>
        <v>-4.9651665533983E-005</v>
      </c>
      <c r="BR182" s="0" t="n">
        <f aca="false">(BP182-BI182)/($BK182-$BD182)</f>
        <v>0.0066679260889531</v>
      </c>
      <c r="BS182" s="0" t="n">
        <f aca="false">(BQ182-BJ182)/($BK182-$BD182)</f>
        <v>0.00974382325446957</v>
      </c>
      <c r="BT182" s="0" t="n">
        <f aca="false">IF(BR182&lt;&gt;BS182,(BJ182-BI182)/(BR182-BS182),0)</f>
        <v>-2.66133398386494E-007</v>
      </c>
      <c r="BU182" s="0" t="n">
        <f aca="false">BD182+BT182</f>
        <v>-0.00397486538070912</v>
      </c>
      <c r="BV182" s="0" t="n">
        <f aca="false">-BU182*$AC$51</f>
        <v>0.416246929301472</v>
      </c>
      <c r="BW182" s="0" t="n">
        <f aca="false">-BU182*$AD$51</f>
        <v>0.208123464650736</v>
      </c>
      <c r="BX182" s="0" t="n">
        <f aca="false">(-BV182+SQRT(BV182^2-4*$C182))/2</f>
        <v>3.55350086879512</v>
      </c>
      <c r="BY182" s="0" t="n">
        <f aca="false">(-BW182+SQRT(BW182^2-4*$D182))/2</f>
        <v>2.74503129767003</v>
      </c>
      <c r="BZ182" s="0" t="n">
        <f aca="false">IF(BX182&lt;&gt;0,($C$21-$B182)*$BU182/BX182/$AC$51-$AC$60*$AC$51,0)</f>
        <v>-4.96155308091396E-005</v>
      </c>
      <c r="CA182" s="0" t="n">
        <f aca="false">IF(BY182&lt;&gt;0,($C$27-$B182)*$BU182/BY182/$AD$51-$AC$60*$AD$51,0)</f>
        <v>-4.9615530811455E-005</v>
      </c>
      <c r="CB182" s="0" t="n">
        <f aca="false">BU182*1.001</f>
        <v>-0.00397884024608983</v>
      </c>
      <c r="CC182" s="0" t="n">
        <f aca="false">-CB182*$AC$51</f>
        <v>0.416663176230774</v>
      </c>
      <c r="CD182" s="0" t="n">
        <f aca="false">-CB182*$AD$51</f>
        <v>0.208331588115387</v>
      </c>
      <c r="CE182" s="0" t="n">
        <f aca="false">(-CC182+SQRT(CC182^2-4*$C182))/2</f>
        <v>3.55330426614277</v>
      </c>
      <c r="CF182" s="0" t="n">
        <f aca="false">(-CD182+SQRT(CD182^2-4*$D182))/2</f>
        <v>2.74493103863955</v>
      </c>
      <c r="CG182" s="0" t="n">
        <f aca="false">IF(CE182&lt;&gt;0,($C$21-$B182)*$CB182/CE182/$AC$51-$AC$60*$AC$51,0)</f>
        <v>-4.96420351087385E-005</v>
      </c>
      <c r="CH182" s="0" t="n">
        <f aca="false">IF(CF182&lt;&gt;0,($C$27-$B182)*$CB182/CF182/$AD$51-$AC$60*$AD$51,0)</f>
        <v>-4.96542613832449E-005</v>
      </c>
      <c r="CI182" s="0" t="n">
        <f aca="false">(CG182-BZ182)/($CB182-$BU182)</f>
        <v>0.006667974147651</v>
      </c>
      <c r="CJ182" s="0" t="n">
        <f aca="false">(CH182-CA182)/($CB182-$BU182)</f>
        <v>0.00974387006357716</v>
      </c>
      <c r="CK182" s="0" t="n">
        <f aca="false">IF(CI182&lt;&gt;CJ182,(CA182-BZ182)/(CI182-CJ182),0)</f>
        <v>7.52778916027754E-013</v>
      </c>
      <c r="CL182" s="0" t="str">
        <f aca="false">IF(AND(BU182&gt;0,CE182&gt;0,CE182&lt;$C$15,CF182&lt;$C$15,CG182&gt;0,ABS(CK182)&lt;0.1*BU182),B182,"")</f>
        <v/>
      </c>
      <c r="CM182" s="0" t="n">
        <f aca="false">CG182+BU182^2/$C$39</f>
        <v>-4.70087759762785E-005</v>
      </c>
      <c r="CN182" s="0" t="n">
        <f aca="false">-BU182*$C$15/$C$39</f>
        <v>0.00397486538070912</v>
      </c>
      <c r="CO182" s="0" t="n">
        <f aca="false">IF(CL182&lt;&gt;"",(-CM182+SQRT(CM182^2-4*$AC$60*CN182))/2/$AC$60,0)</f>
        <v>0</v>
      </c>
      <c r="CP182" s="0" t="n">
        <f aca="false">CO182*30/PI()</f>
        <v>0</v>
      </c>
      <c r="DB182" s="6"/>
    </row>
    <row r="183" customFormat="false" ht="12.75" hidden="false" customHeight="false" outlineLevel="0" collapsed="false">
      <c r="A183" s="0" t="n">
        <f aca="false">A182+0.01</f>
        <v>0.34</v>
      </c>
      <c r="B183" s="0" t="n">
        <f aca="false">A183*$AC$68</f>
        <v>0.6685804218144</v>
      </c>
      <c r="C183" s="0" t="n">
        <f aca="false">$C$39*($B183-$C$21)</f>
        <v>-13.9885174691136</v>
      </c>
      <c r="D183" s="0" t="n">
        <f aca="false">$C$39*($B183-$C$27)</f>
        <v>-7.9885174691136</v>
      </c>
      <c r="E183" s="0" t="n">
        <f aca="false">$AC$71</f>
        <v>0.0474257507541105</v>
      </c>
      <c r="F183" s="0" t="n">
        <f aca="false">-E183*$AC$51</f>
        <v>-4.96641300533647</v>
      </c>
      <c r="G183" s="0" t="n">
        <f aca="false">-E183*$AD$51</f>
        <v>-2.48320650266823</v>
      </c>
      <c r="H183" s="0" t="n">
        <f aca="false">(-F183+SQRT(F183^2-4*$C183))/2</f>
        <v>6.97261982781523</v>
      </c>
      <c r="I183" s="0" t="n">
        <f aca="false">(-G183+SQRT(G183^2-4*$D183))/2</f>
        <v>4.32868862476276</v>
      </c>
      <c r="J183" s="0" t="n">
        <f aca="false">IF(H183&lt;&gt;0,($C$21-$B183)*$E183/H183/$AC$51-$AC$60*$AC$51,0)</f>
        <v>0.000126927213664947</v>
      </c>
      <c r="K183" s="0" t="n">
        <f aca="false">IF(I183&lt;&gt;0,($C$27-$B183)*$E183/I183/$AD$51-$AC$60*$AD$51,0)</f>
        <v>0.000266344489208402</v>
      </c>
      <c r="L183" s="0" t="n">
        <f aca="false">E183*1.001</f>
        <v>0.0474731765048646</v>
      </c>
      <c r="M183" s="0" t="n">
        <f aca="false">-L183*$AC$51</f>
        <v>-4.97137941834181</v>
      </c>
      <c r="N183" s="0" t="n">
        <f aca="false">-L183*$AD$51</f>
        <v>-2.4856897091709</v>
      </c>
      <c r="O183" s="0" t="n">
        <f aca="false">(-M183+SQRT(M183^2-4*$C183))/2</f>
        <v>6.97647703428348</v>
      </c>
      <c r="P183" s="0" t="n">
        <f aca="false">(-N183+SQRT(N183^2-4*$D183))/2</f>
        <v>4.33042980105788</v>
      </c>
      <c r="Q183" s="0" t="n">
        <f aca="false">IF(O183&lt;&gt;0,($C$21-$B183)*$L183/O183/$AC$51-$AC$60*$AC$51,0)</f>
        <v>0.000126994835905787</v>
      </c>
      <c r="R183" s="0" t="n">
        <f aca="false">IF(P183&lt;&gt;0,($C$27-$B183)*$L183/P183/$AD$51-$AC$60*$AD$51,0)</f>
        <v>0.000266510955233426</v>
      </c>
      <c r="S183" s="0" t="n">
        <f aca="false">(Q183-J183)/($L183-$E183)</f>
        <v>0.00142585493670849</v>
      </c>
      <c r="T183" s="0" t="n">
        <f aca="false">(R183-K183)/($L183-$E183)</f>
        <v>0.00351003457777173</v>
      </c>
      <c r="U183" s="0" t="n">
        <f aca="false">IF(S183&lt;&gt;T183,(K183-J183)/(S183-T183),0)</f>
        <v>-0.0668931184225235</v>
      </c>
      <c r="V183" s="0" t="n">
        <f aca="false">E183+U183</f>
        <v>-0.019467367668413</v>
      </c>
      <c r="W183" s="0" t="n">
        <f aca="false">-V183*$AC$51</f>
        <v>2.03861797506059</v>
      </c>
      <c r="X183" s="0" t="n">
        <f aca="false">-V183*$AD$51</f>
        <v>1.0193089875303</v>
      </c>
      <c r="Y183" s="0" t="n">
        <f aca="false">(-W183+SQRT(W183^2-4*$C183))/2</f>
        <v>2.85722403582622</v>
      </c>
      <c r="Z183" s="0" t="n">
        <f aca="false">(-X183+SQRT(X183^2-4*$D183))/2</f>
        <v>2.36232481885683</v>
      </c>
      <c r="AA183" s="0" t="n">
        <f aca="false">IF(Y183&lt;&gt;0,($C$21-$B183)*$V183/Y183/$AC$51-$AC$60*$AC$51,0)</f>
        <v>-0.000176191366935952</v>
      </c>
      <c r="AB183" s="0" t="n">
        <f aca="false">IF(Z183&lt;&gt;0,($C$27-$B183)*$V183/Z183/$AD$51-$AC$60*$AD$51,0)</f>
        <v>-0.000221799266785111</v>
      </c>
      <c r="AC183" s="0" t="n">
        <f aca="false">V183*1.001</f>
        <v>-0.0194868350360814</v>
      </c>
      <c r="AD183" s="0" t="n">
        <f aca="false">-AC183*$AC$51</f>
        <v>2.04065659303565</v>
      </c>
      <c r="AE183" s="0" t="n">
        <f aca="false">-AC183*$AD$51</f>
        <v>1.02032829651783</v>
      </c>
      <c r="AF183" s="0" t="n">
        <f aca="false">(-AD183+SQRT(AD183^2-4*$C183))/2</f>
        <v>2.85647287220215</v>
      </c>
      <c r="AG183" s="0" t="n">
        <f aca="false">(-AE183+SQRT(AE183^2-4*$D183))/2</f>
        <v>2.36190565021088</v>
      </c>
      <c r="AH183" s="0" t="n">
        <f aca="false">IF(AF183&lt;&gt;0,($C$21-$B183)*$AC183/AF183/$AC$51-$AC$60*$AC$51,0)</f>
        <v>-0.000176382985615237</v>
      </c>
      <c r="AI183" s="0" t="n">
        <f aca="false">IF(AG183&lt;&gt;0,($C$27-$B183)*$AC183/AG183/$AD$51-$AC$60*$AD$51,0)</f>
        <v>-0.000222046040803936</v>
      </c>
      <c r="AJ183" s="0" t="n">
        <f aca="false">(AH183-AA183)/($AC183-$V183)</f>
        <v>0.00984307085318097</v>
      </c>
      <c r="AK183" s="0" t="n">
        <f aca="false">(AI183-AB183)/($AC183-$V183)</f>
        <v>0.0126762910645419</v>
      </c>
      <c r="AL183" s="0" t="n">
        <f aca="false">IF(AJ183&lt;&gt;AK183,(AB183-AA183)/(AJ183-AK183),0)</f>
        <v>0.0160975485302114</v>
      </c>
      <c r="AM183" s="0" t="n">
        <f aca="false">V183+AL183</f>
        <v>-0.0033698191382016</v>
      </c>
      <c r="AN183" s="0" t="n">
        <f aca="false">-AM183*$AC$51</f>
        <v>0.352886634950015</v>
      </c>
      <c r="AO183" s="0" t="n">
        <f aca="false">-AM183*$AD$51</f>
        <v>0.176443317475007</v>
      </c>
      <c r="AP183" s="0" t="n">
        <f aca="false">(-AN183+SQRT(AN183^2-4*$C183))/2</f>
        <v>3.56783895198535</v>
      </c>
      <c r="AQ183" s="0" t="n">
        <f aca="false">(-AO183+SQRT(AO183^2-4*$D183))/2</f>
        <v>2.73955141033717</v>
      </c>
      <c r="AR183" s="0" t="n">
        <f aca="false">IF(AP183&lt;&gt;0,($C$21-$B183)*$AM183/AP183/$AC$51-$AC$60*$AC$51,0)</f>
        <v>-4.5529900911553E-005</v>
      </c>
      <c r="AS183" s="0" t="n">
        <f aca="false">IF(AQ183&lt;&gt;0,($C$27-$B183)*$AM183/AQ183/$AD$51-$AC$60*$AD$51,0)</f>
        <v>-4.35293891668219E-005</v>
      </c>
      <c r="AT183" s="0" t="n">
        <f aca="false">AM183*1.001</f>
        <v>-0.0033731889573398</v>
      </c>
      <c r="AU183" s="0" t="n">
        <f aca="false">-AT183*$AC$51</f>
        <v>0.353239521584965</v>
      </c>
      <c r="AV183" s="0" t="n">
        <f aca="false">-AT183*$AD$51</f>
        <v>0.176619760792482</v>
      </c>
      <c r="AW183" s="0" t="n">
        <f aca="false">(-AU183+SQRT(AU183^2-4*$C183))/2</f>
        <v>3.56767082742526</v>
      </c>
      <c r="AX183" s="0" t="n">
        <f aca="false">(-AV183+SQRT(AV183^2-4*$D183))/2</f>
        <v>2.73946594241737</v>
      </c>
      <c r="AY183" s="0" t="n">
        <f aca="false">IF(AW183&lt;&gt;0,($C$21-$B183)*$AT183/AW183/$AC$51-$AC$60*$AC$51,0)</f>
        <v>-4.55519205923881E-005</v>
      </c>
      <c r="AZ183" s="0" t="n">
        <f aca="false">IF(AX183&lt;&gt;0,($C$27-$B183)*$AT183/AX183/$AD$51-$AC$60*$AD$51,0)</f>
        <v>-4.3561644309881E-005</v>
      </c>
      <c r="BA183" s="0" t="n">
        <f aca="false">(AY183-AR183)/($AT183-$AM183)</f>
        <v>0.00653438060975987</v>
      </c>
      <c r="BB183" s="0" t="n">
        <f aca="false">(AZ183-AS183)/($AT183-$AM183)</f>
        <v>0.0095717727677055</v>
      </c>
      <c r="BC183" s="0" t="n">
        <f aca="false">IF(BA183&lt;&gt;BB183,(AS183-AR183)/(BA183-BB183),0)</f>
        <v>-0.000658628073262752</v>
      </c>
      <c r="BD183" s="0" t="n">
        <f aca="false">AM183+BC183</f>
        <v>-0.00402844721146435</v>
      </c>
      <c r="BE183" s="0" t="n">
        <f aca="false">-BD183*$AC$51</f>
        <v>0.421858005497023</v>
      </c>
      <c r="BF183" s="0" t="n">
        <f aca="false">-BD183*$AD$51</f>
        <v>0.210929002748512</v>
      </c>
      <c r="BG183" s="0" t="n">
        <f aca="false">(-BE183+SQRT(BE183^2-4*$C183))/2</f>
        <v>3.53513673523769</v>
      </c>
      <c r="BH183" s="0" t="n">
        <f aca="false">(-BF183+SQRT(BF183^2-4*$D183))/2</f>
        <v>2.72289902373416</v>
      </c>
      <c r="BI183" s="0" t="n">
        <f aca="false">IF(BG183&lt;&gt;0,($C$21-$B183)*$BD183/BG183/$AC$51-$AC$60*$AC$51,0)</f>
        <v>-4.98722976056036E-005</v>
      </c>
      <c r="BJ183" s="0" t="n">
        <f aca="false">IF(BH183&lt;&gt;0,($C$27-$B183)*$BD183/BH183/$AD$51-$AC$60*$AD$51,0)</f>
        <v>-4.98713841713207E-005</v>
      </c>
      <c r="BK183" s="0" t="n">
        <f aca="false">BD183*1.001</f>
        <v>-0.00403247565867582</v>
      </c>
      <c r="BL183" s="0" t="n">
        <f aca="false">-BK183*$AC$51</f>
        <v>0.42227986350252</v>
      </c>
      <c r="BM183" s="0" t="n">
        <f aca="false">-BK183*$AD$51</f>
        <v>0.21113993175126</v>
      </c>
      <c r="BN183" s="0" t="n">
        <f aca="false">(-BL183+SQRT(BL183^2-4*$C183))/2</f>
        <v>3.53493768889324</v>
      </c>
      <c r="BO183" s="0" t="n">
        <f aca="false">(-BM183+SQRT(BM183^2-4*$D183))/2</f>
        <v>2.72279749377465</v>
      </c>
      <c r="BP183" s="0" t="n">
        <f aca="false">IF(BN183&lt;&gt;0,($C$21-$B183)*$BK183/BN183/$AC$51-$AC$60*$AC$51,0)</f>
        <v>-4.98990977494884E-005</v>
      </c>
      <c r="BQ183" s="0" t="n">
        <f aca="false">IF(BO183&lt;&gt;0,($C$27-$B183)*$BK183/BO183/$AD$51-$AC$60*$AD$51,0)</f>
        <v>-4.99104087097093E-005</v>
      </c>
      <c r="BR183" s="0" t="n">
        <f aca="false">(BP183-BI183)/($BK183-$BD183)</f>
        <v>0.0066527231158783</v>
      </c>
      <c r="BS183" s="0" t="n">
        <f aca="false">(BQ183-BJ183)/($BK183-$BD183)</f>
        <v>0.00968724084990854</v>
      </c>
      <c r="BT183" s="0" t="n">
        <f aca="false">IF(BR183&lt;&gt;BS183,(BJ183-BI183)/(BR183-BS183),0)</f>
        <v>-3.01014646461426E-007</v>
      </c>
      <c r="BU183" s="0" t="n">
        <f aca="false">BD183+BT183</f>
        <v>-0.00402874822611082</v>
      </c>
      <c r="BV183" s="0" t="n">
        <f aca="false">-BU183*$AC$51</f>
        <v>0.421889527677088</v>
      </c>
      <c r="BW183" s="0" t="n">
        <f aca="false">-BU183*$AD$51</f>
        <v>0.210944763838544</v>
      </c>
      <c r="BX183" s="0" t="n">
        <f aca="false">(-BV183+SQRT(BV183^2-4*$C183))/2</f>
        <v>3.53512186163737</v>
      </c>
      <c r="BY183" s="0" t="n">
        <f aca="false">(-BW183+SQRT(BW183^2-4*$D183))/2</f>
        <v>2.72289143705122</v>
      </c>
      <c r="BZ183" s="0" t="n">
        <f aca="false">IF(BX183&lt;&gt;0,($C$21-$B183)*$BU183/BX183/$AC$51-$AC$60*$AC$51,0)</f>
        <v>-4.98743000713078E-005</v>
      </c>
      <c r="CA183" s="0" t="n">
        <f aca="false">IF(BY183&lt;&gt;0,($C$27-$B183)*$BU183/BY183/$AD$51-$AC$60*$AD$51,0)</f>
        <v>-4.98743000739702E-005</v>
      </c>
      <c r="CB183" s="0" t="n">
        <f aca="false">BU183*1.001</f>
        <v>-0.00403277697433693</v>
      </c>
      <c r="CC183" s="0" t="n">
        <f aca="false">-CB183*$AC$51</f>
        <v>0.422311417204765</v>
      </c>
      <c r="CD183" s="0" t="n">
        <f aca="false">-CB183*$AD$51</f>
        <v>0.211155708602383</v>
      </c>
      <c r="CE183" s="0" t="n">
        <f aca="false">(-CC183+SQRT(CC183^2-4*$C183))/2</f>
        <v>3.53492280130487</v>
      </c>
      <c r="CF183" s="0" t="n">
        <f aca="false">(-CD183+SQRT(CD183^2-4*$D183))/2</f>
        <v>2.72278989979877</v>
      </c>
      <c r="CG183" s="0" t="n">
        <f aca="false">IF(CE183&lt;&gt;0,($C$21-$B183)*$CB183/CE183/$AC$51-$AC$60*$AC$51,0)</f>
        <v>-4.990110243705E-005</v>
      </c>
      <c r="CH183" s="0" t="n">
        <f aca="false">IF(CF183&lt;&gt;0,($C$27-$B183)*$CB183/CF183/$AD$51-$AC$60*$AD$51,0)</f>
        <v>-4.99133277418913E-005</v>
      </c>
      <c r="CI183" s="0" t="n">
        <f aca="false">(CG183-BZ183)/($CB183-$BU183)</f>
        <v>0.0066527775472687</v>
      </c>
      <c r="CJ183" s="0" t="n">
        <f aca="false">(CH183-CA183)/($CB183-$BU183)</f>
        <v>0.00968729385177705</v>
      </c>
      <c r="CK183" s="0" t="n">
        <f aca="false">IF(CI183&lt;&gt;CJ183,(CA183-BZ183)/(CI183-CJ183),0)</f>
        <v>8.77379060678797E-013</v>
      </c>
      <c r="CL183" s="0" t="str">
        <f aca="false">IF(AND(BU183&gt;0,CE183&gt;0,CE183&lt;$C$15,CF183&lt;$C$15,CG183&gt;0,ABS(CK183)&lt;0.1*BU183),B183,"")</f>
        <v/>
      </c>
      <c r="CM183" s="0" t="n">
        <f aca="false">CG183+BU183^2/$C$39</f>
        <v>-4.71959670588182E-005</v>
      </c>
      <c r="CN183" s="0" t="n">
        <f aca="false">-BU183*$C$15/$C$39</f>
        <v>0.00402874822611082</v>
      </c>
      <c r="CO183" s="0" t="n">
        <f aca="false">IF(CL183&lt;&gt;"",(-CM183+SQRT(CM183^2-4*$AC$60*CN183))/2/$AC$60,0)</f>
        <v>0</v>
      </c>
      <c r="CP183" s="0" t="n">
        <f aca="false">CO183*30/PI()</f>
        <v>0</v>
      </c>
      <c r="DB183" s="6"/>
    </row>
    <row r="184" customFormat="false" ht="12.75" hidden="false" customHeight="false" outlineLevel="0" collapsed="false">
      <c r="A184" s="0" t="n">
        <f aca="false">A183+0.01</f>
        <v>0.35</v>
      </c>
      <c r="B184" s="0" t="n">
        <f aca="false">A184*$AC$68</f>
        <v>0.688244551867765</v>
      </c>
      <c r="C184" s="0" t="n">
        <f aca="false">$C$39*($B184-$C$21)</f>
        <v>-13.8705326887934</v>
      </c>
      <c r="D184" s="0" t="n">
        <f aca="false">$C$39*($B184-$C$27)</f>
        <v>-7.87053268879341</v>
      </c>
      <c r="E184" s="0" t="n">
        <f aca="false">$AC$71</f>
        <v>0.0474257507541105</v>
      </c>
      <c r="F184" s="0" t="n">
        <f aca="false">-E184*$AC$51</f>
        <v>-4.96641300533647</v>
      </c>
      <c r="G184" s="0" t="n">
        <f aca="false">-E184*$AD$51</f>
        <v>-2.48320650266823</v>
      </c>
      <c r="H184" s="0" t="n">
        <f aca="false">(-F184+SQRT(F184^2-4*$C184))/2</f>
        <v>6.95946020679261</v>
      </c>
      <c r="I184" s="0" t="n">
        <f aca="false">(-G184+SQRT(G184^2-4*$D184))/2</f>
        <v>4.30951969780343</v>
      </c>
      <c r="J184" s="0" t="n">
        <f aca="false">IF(H184&lt;&gt;0,($C$21-$B184)*$E184/H184/$AC$51-$AC$60*$AC$51,0)</f>
        <v>0.000125933919855955</v>
      </c>
      <c r="K184" s="0" t="n">
        <f aca="false">IF(I184&lt;&gt;0,($C$27-$B184)*$E184/I184/$AD$51-$AC$60*$AD$51,0)</f>
        <v>0.000263450731638788</v>
      </c>
      <c r="L184" s="0" t="n">
        <f aca="false">E184*1.001</f>
        <v>0.0474731765048646</v>
      </c>
      <c r="M184" s="0" t="n">
        <f aca="false">-L184*$AC$51</f>
        <v>-4.97137941834181</v>
      </c>
      <c r="N184" s="0" t="n">
        <f aca="false">-L184*$AD$51</f>
        <v>-2.4856897091709</v>
      </c>
      <c r="O184" s="0" t="n">
        <f aca="false">(-M184+SQRT(M184^2-4*$C184))/2</f>
        <v>6.96332145140603</v>
      </c>
      <c r="P184" s="0" t="n">
        <f aca="false">(-N184+SQRT(N184^2-4*$D184))/2</f>
        <v>4.31126399501639</v>
      </c>
      <c r="Q184" s="0" t="n">
        <f aca="false">IF(O184&lt;&gt;0,($C$21-$B184)*$L184/O184/$AC$51-$AC$60*$AC$51,0)</f>
        <v>0.000126000853908707</v>
      </c>
      <c r="R184" s="0" t="n">
        <f aca="false">IF(P184&lt;&gt;0,($C$27-$B184)*$L184/P184/$AD$51-$AC$60*$AD$51,0)</f>
        <v>0.0002636147755138</v>
      </c>
      <c r="S184" s="0" t="n">
        <f aca="false">(Q184-J184)/($L184-$E184)</f>
        <v>0.0014113440839104</v>
      </c>
      <c r="T184" s="0" t="n">
        <f aca="false">(R184-K184)/($L184-$E184)</f>
        <v>0.00345896211242298</v>
      </c>
      <c r="U184" s="0" t="n">
        <f aca="false">IF(S184&lt;&gt;T184,(K184-J184)/(S184-T184),0)</f>
        <v>-0.067159406621716</v>
      </c>
      <c r="V184" s="0" t="n">
        <f aca="false">E184+U184</f>
        <v>-0.0197336558676055</v>
      </c>
      <c r="W184" s="0" t="n">
        <f aca="false">-V184*$AC$51</f>
        <v>2.06650361007128</v>
      </c>
      <c r="X184" s="0" t="n">
        <f aca="false">-V184*$AD$51</f>
        <v>1.03325180503564</v>
      </c>
      <c r="Y184" s="0" t="n">
        <f aca="false">(-W184+SQRT(W184^2-4*$C184))/2</f>
        <v>2.83173745515679</v>
      </c>
      <c r="Z184" s="0" t="n">
        <f aca="false">(-X184+SQRT(X184^2-4*$D184))/2</f>
        <v>2.33599307167866</v>
      </c>
      <c r="AA184" s="0" t="n">
        <f aca="false">IF(Y184&lt;&gt;0,($C$21-$B184)*$V184/Y184/$AC$51-$AC$60*$AC$51,0)</f>
        <v>-0.000178341625124014</v>
      </c>
      <c r="AB184" s="0" t="n">
        <f aca="false">IF(Z184&lt;&gt;0,($C$27-$B184)*$V184/Z184/$AD$51-$AC$60*$AD$51,0)</f>
        <v>-0.000223887412430441</v>
      </c>
      <c r="AC184" s="0" t="n">
        <f aca="false">V184*1.001</f>
        <v>-0.0197533895234731</v>
      </c>
      <c r="AD184" s="0" t="n">
        <f aca="false">-AC184*$AC$51</f>
        <v>2.06857011368135</v>
      </c>
      <c r="AE184" s="0" t="n">
        <f aca="false">-AC184*$AD$51</f>
        <v>1.03428505684068</v>
      </c>
      <c r="AF184" s="0" t="n">
        <f aca="false">(-AD184+SQRT(AD184^2-4*$C184))/2</f>
        <v>2.83098055726624</v>
      </c>
      <c r="AG184" s="0" t="n">
        <f aca="false">(-AE184+SQRT(AE184^2-4*$D184))/2</f>
        <v>2.33557005498066</v>
      </c>
      <c r="AH184" s="0" t="n">
        <f aca="false">IF(AF184&lt;&gt;0,($C$21-$B184)*$AC184/AF184/$AC$51-$AC$60*$AC$51,0)</f>
        <v>-0.000178536636649932</v>
      </c>
      <c r="AI184" s="0" t="n">
        <f aca="false">IF(AG184&lt;&gt;0,($C$27-$B184)*$AC184/AG184/$AD$51-$AC$60*$AD$51,0)</f>
        <v>-0.000224137418524042</v>
      </c>
      <c r="AJ184" s="0" t="n">
        <f aca="false">(AH184-AA184)/($AC184-$V184)</f>
        <v>0.00988217931974695</v>
      </c>
      <c r="AK184" s="0" t="n">
        <f aca="false">(AI184-AB184)/($AC184-$V184)</f>
        <v>0.0126690206456613</v>
      </c>
      <c r="AL184" s="0" t="n">
        <f aca="false">IF(AJ184&lt;&gt;AK184,(AB184-AA184)/(AJ184-AK184),0)</f>
        <v>0.0163431577115298</v>
      </c>
      <c r="AM184" s="0" t="n">
        <f aca="false">V184+AL184</f>
        <v>-0.00339049815607569</v>
      </c>
      <c r="AN184" s="0" t="n">
        <f aca="false">-AM184*$AC$51</f>
        <v>0.355052136637905</v>
      </c>
      <c r="AO184" s="0" t="n">
        <f aca="false">-AM184*$AD$51</f>
        <v>0.177526068318952</v>
      </c>
      <c r="AP184" s="0" t="n">
        <f aca="false">(-AN184+SQRT(AN184^2-4*$C184))/2</f>
        <v>3.55101898219689</v>
      </c>
      <c r="AQ184" s="0" t="n">
        <f aca="false">(-AO184+SQRT(AO184^2-4*$D184))/2</f>
        <v>2.71808779283982</v>
      </c>
      <c r="AR184" s="0" t="n">
        <f aca="false">IF(AP184&lt;&gt;0,($C$21-$B184)*$AM184/AP184/$AC$51-$AC$60*$AC$51,0)</f>
        <v>-4.55798609332359E-005</v>
      </c>
      <c r="AS184" s="0" t="n">
        <f aca="false">IF(AQ184&lt;&gt;0,($C$27-$B184)*$AM184/AQ184/$AD$51-$AC$60*$AD$51,0)</f>
        <v>-4.35013734923507E-005</v>
      </c>
      <c r="AT184" s="0" t="n">
        <f aca="false">AM184*1.001</f>
        <v>-0.00339388865423177</v>
      </c>
      <c r="AU184" s="0" t="n">
        <f aca="false">-AT184*$AC$51</f>
        <v>0.355407188774542</v>
      </c>
      <c r="AV184" s="0" t="n">
        <f aca="false">-AT184*$AD$51</f>
        <v>0.177703594387271</v>
      </c>
      <c r="AW184" s="0" t="n">
        <f aca="false">(-AU184+SQRT(AU184^2-4*$C184))/2</f>
        <v>3.5508499128393</v>
      </c>
      <c r="AX184" s="0" t="n">
        <f aca="false">(-AV184+SQRT(AV184^2-4*$D184))/2</f>
        <v>2.71800183822413</v>
      </c>
      <c r="AY184" s="0" t="n">
        <f aca="false">IF(AW184&lt;&gt;0,($C$21-$B184)*$AT184/AW184/$AC$51-$AC$60*$AC$51,0)</f>
        <v>-4.56019432546879E-005</v>
      </c>
      <c r="AZ184" s="0" t="n">
        <f aca="false">IF(AX184&lt;&gt;0,($C$27-$B184)*$AT184/AX184/$AD$51-$AC$60*$AD$51,0)</f>
        <v>-4.35336130532611E-005</v>
      </c>
      <c r="BA184" s="0" t="n">
        <f aca="false">(AY184-AR184)/($AT184-$AM184)</f>
        <v>0.0065130020532499</v>
      </c>
      <c r="BB184" s="0" t="n">
        <f aca="false">(AZ184-AS184)/($AT184-$AM184)</f>
        <v>0.00950879765343144</v>
      </c>
      <c r="BC184" s="0" t="n">
        <f aca="false">IF(BA184&lt;&gt;BB184,(AS184-AR184)/(BA184-BB184),0)</f>
        <v>-0.000693801486576475</v>
      </c>
      <c r="BD184" s="0" t="n">
        <f aca="false">AM184+BC184</f>
        <v>-0.00408429964265217</v>
      </c>
      <c r="BE184" s="0" t="n">
        <f aca="false">-BD184*$AC$51</f>
        <v>0.427706858413849</v>
      </c>
      <c r="BF184" s="0" t="n">
        <f aca="false">-BD184*$AD$51</f>
        <v>0.213853429206924</v>
      </c>
      <c r="BG184" s="0" t="n">
        <f aca="false">(-BE184+SQRT(BE184^2-4*$C184))/2</f>
        <v>3.51659774698839</v>
      </c>
      <c r="BH184" s="0" t="n">
        <f aca="false">(-BF184+SQRT(BF184^2-4*$D184))/2</f>
        <v>2.70055721430678</v>
      </c>
      <c r="BI184" s="0" t="n">
        <f aca="false">IF(BG184&lt;&gt;0,($C$21-$B184)*$BD184/BG184/$AC$51-$AC$60*$AC$51,0)</f>
        <v>-5.01415518978023E-005</v>
      </c>
      <c r="BJ184" s="0" t="n">
        <f aca="false">IF(BH184&lt;&gt;0,($C$27-$B184)*$BD184/BH184/$AD$51-$AC$60*$AD$51,0)</f>
        <v>-5.01405311517479E-005</v>
      </c>
      <c r="BK184" s="0" t="n">
        <f aca="false">BD184*1.001</f>
        <v>-0.00408838394229482</v>
      </c>
      <c r="BL184" s="0" t="n">
        <f aca="false">-BK184*$AC$51</f>
        <v>0.428134565272263</v>
      </c>
      <c r="BM184" s="0" t="n">
        <f aca="false">-BK184*$AD$51</f>
        <v>0.214067282636131</v>
      </c>
      <c r="BN184" s="0" t="n">
        <f aca="false">(-BL184+SQRT(BL184^2-4*$C184))/2</f>
        <v>3.51639615912129</v>
      </c>
      <c r="BO184" s="0" t="n">
        <f aca="false">(-BM184+SQRT(BM184^2-4*$D184))/2</f>
        <v>2.70045436206988</v>
      </c>
      <c r="BP184" s="0" t="n">
        <f aca="false">IF(BN184&lt;&gt;0,($C$21-$B184)*$BK184/BN184/$AC$51-$AC$60*$AC$51,0)</f>
        <v>-5.01686626422905E-005</v>
      </c>
      <c r="BQ184" s="0" t="n">
        <f aca="false">IF(BO184&lt;&gt;0,($C$27-$B184)*$BK184/BO184/$AD$51-$AC$60*$AD$51,0)</f>
        <v>-5.01798651558808E-005</v>
      </c>
      <c r="BR184" s="0" t="n">
        <f aca="false">(BP184-BI184)/($BK184-$BD184)</f>
        <v>0.00663779518160517</v>
      </c>
      <c r="BS184" s="0" t="n">
        <f aca="false">(BQ184-BJ184)/($BK184-$BD184)</f>
        <v>0.00963053829894318</v>
      </c>
      <c r="BT184" s="0" t="n">
        <f aca="false">IF(BR184&lt;&gt;BS184,(BJ184-BI184)/(BR184-BS184),0)</f>
        <v>-3.41073728795818E-007</v>
      </c>
      <c r="BU184" s="0" t="n">
        <f aca="false">BD184+BT184</f>
        <v>-0.00408464071638096</v>
      </c>
      <c r="BV184" s="0" t="n">
        <f aca="false">-BU184*$AC$51</f>
        <v>0.427742575571206</v>
      </c>
      <c r="BW184" s="0" t="n">
        <f aca="false">-BU184*$AD$51</f>
        <v>0.213871287785603</v>
      </c>
      <c r="BX184" s="0" t="n">
        <f aca="false">(-BV184+SQRT(BV184^2-4*$C184))/2</f>
        <v>3.51658091222078</v>
      </c>
      <c r="BY184" s="0" t="n">
        <f aca="false">(-BW184+SQRT(BW184^2-4*$D184))/2</f>
        <v>2.70054862511534</v>
      </c>
      <c r="BZ184" s="0" t="n">
        <f aca="false">IF(BX184&lt;&gt;0,($C$21-$B184)*$BU184/BX184/$AC$51-$AC$60*$AC$51,0)</f>
        <v>-5.01438157598209E-005</v>
      </c>
      <c r="CA184" s="0" t="n">
        <f aca="false">IF(BY184&lt;&gt;0,($C$27-$B184)*$BU184/BY184/$AD$51-$AC$60*$AD$51,0)</f>
        <v>-5.01438157628854E-005</v>
      </c>
      <c r="CB184" s="0" t="n">
        <f aca="false">BU184*1.001</f>
        <v>-0.00408872535709735</v>
      </c>
      <c r="CC184" s="0" t="n">
        <f aca="false">-CB184*$AC$51</f>
        <v>0.428170318146777</v>
      </c>
      <c r="CD184" s="0" t="n">
        <f aca="false">-CB184*$AD$51</f>
        <v>0.214085159073389</v>
      </c>
      <c r="CE184" s="0" t="n">
        <f aca="false">(-CC184+SQRT(CC184^2-4*$C184))/2</f>
        <v>3.51637930854038</v>
      </c>
      <c r="CF184" s="0" t="n">
        <f aca="false">(-CD184+SQRT(CD184^2-4*$D184))/2</f>
        <v>2.70044576462919</v>
      </c>
      <c r="CG184" s="0" t="n">
        <f aca="false">IF(CE184&lt;&gt;0,($C$21-$B184)*$CB184/CE184/$AC$51-$AC$60*$AC$51,0)</f>
        <v>-5.01709290205618E-005</v>
      </c>
      <c r="CH184" s="0" t="n">
        <f aca="false">IF(CF184&lt;&gt;0,($C$27-$B184)*$CB184/CF184/$AD$51-$AC$60*$AD$51,0)</f>
        <v>-5.01831532973245E-005</v>
      </c>
      <c r="CI184" s="0" t="n">
        <f aca="false">(CG184-BZ184)/($CB184-$BU184)</f>
        <v>0.00663785694350235</v>
      </c>
      <c r="CJ184" s="0" t="n">
        <f aca="false">(CH184-CA184)/($CB184-$BU184)</f>
        <v>0.0096305984223583</v>
      </c>
      <c r="CK184" s="0" t="n">
        <f aca="false">IF(CI184&lt;&gt;CJ184,(CA184-BZ184)/(CI184-CJ184),0)</f>
        <v>1.02399025099998E-012</v>
      </c>
      <c r="CL184" s="0" t="str">
        <f aca="false">IF(AND(BU184&gt;0,CE184&gt;0,CE184&lt;$C$15,CF184&lt;$C$15,CG184&gt;0,ABS(CK184)&lt;0.1*BU184),B184,"")</f>
        <v/>
      </c>
      <c r="CM184" s="0" t="n">
        <f aca="false">CG184+BU184^2/$C$39</f>
        <v>-4.7390214056909E-005</v>
      </c>
      <c r="CN184" s="0" t="n">
        <f aca="false">-BU184*$C$15/$C$39</f>
        <v>0.00408464071638096</v>
      </c>
      <c r="CO184" s="0" t="n">
        <f aca="false">IF(CL184&lt;&gt;"",(-CM184+SQRT(CM184^2-4*$AC$60*CN184))/2/$AC$60,0)</f>
        <v>0</v>
      </c>
      <c r="CP184" s="0" t="n">
        <f aca="false">CO184*30/PI()</f>
        <v>0</v>
      </c>
      <c r="DB184" s="6"/>
    </row>
    <row r="185" customFormat="false" ht="12.75" hidden="false" customHeight="false" outlineLevel="0" collapsed="false">
      <c r="A185" s="0" t="n">
        <f aca="false">A184+0.01</f>
        <v>0.36</v>
      </c>
      <c r="B185" s="0" t="n">
        <f aca="false">A185*$AC$68</f>
        <v>0.707908681921129</v>
      </c>
      <c r="C185" s="0" t="n">
        <f aca="false">$C$39*($B185-$C$21)</f>
        <v>-13.7525479084732</v>
      </c>
      <c r="D185" s="0" t="n">
        <f aca="false">$C$39*($B185-$C$27)</f>
        <v>-7.75254790847322</v>
      </c>
      <c r="E185" s="0" t="n">
        <f aca="false">$AC$71</f>
        <v>0.0474257507541105</v>
      </c>
      <c r="F185" s="0" t="n">
        <f aca="false">-E185*$AC$51</f>
        <v>-4.96641300533647</v>
      </c>
      <c r="G185" s="0" t="n">
        <f aca="false">-E185*$AD$51</f>
        <v>-2.48320650266823</v>
      </c>
      <c r="H185" s="0" t="n">
        <f aca="false">(-F185+SQRT(F185^2-4*$C185))/2</f>
        <v>6.94626178390406</v>
      </c>
      <c r="I185" s="0" t="n">
        <f aca="false">(-G185+SQRT(G185^2-4*$D185))/2</f>
        <v>4.29023024429286</v>
      </c>
      <c r="J185" s="0" t="n">
        <f aca="false">IF(H185&lt;&gt;0,($C$21-$B185)*$E185/H185/$AC$51-$AC$60*$AC$51,0)</f>
        <v>0.000124937697265568</v>
      </c>
      <c r="K185" s="0" t="n">
        <f aca="false">IF(I185&lt;&gt;0,($C$27-$B185)*$E185/I185/$AD$51-$AC$60*$AD$51,0)</f>
        <v>0.000260538779278161</v>
      </c>
      <c r="L185" s="0" t="n">
        <f aca="false">E185*1.001</f>
        <v>0.0474731765048646</v>
      </c>
      <c r="M185" s="0" t="n">
        <f aca="false">-L185*$AC$51</f>
        <v>-4.97137941834181</v>
      </c>
      <c r="N185" s="0" t="n">
        <f aca="false">-L185*$AD$51</f>
        <v>-2.4856897091709</v>
      </c>
      <c r="O185" s="0" t="n">
        <f aca="false">(-M185+SQRT(M185^2-4*$C185))/2</f>
        <v>6.95012710247718</v>
      </c>
      <c r="P185" s="0" t="n">
        <f aca="false">(-N185+SQRT(N185^2-4*$D185))/2</f>
        <v>4.29197772165484</v>
      </c>
      <c r="Q185" s="0" t="n">
        <f aca="false">IF(O185&lt;&gt;0,($C$21-$B185)*$L185/O185/$AC$51-$AC$60*$AC$51,0)</f>
        <v>0.000125003942907451</v>
      </c>
      <c r="R185" s="0" t="n">
        <f aca="false">IF(P185&lt;&gt;0,($C$27-$B185)*$L185/P185/$AD$51-$AC$60*$AD$51,0)</f>
        <v>0.000260700391758897</v>
      </c>
      <c r="S185" s="0" t="n">
        <f aca="false">(Q185-J185)/($L185-$E185)</f>
        <v>0.00139682853362957</v>
      </c>
      <c r="T185" s="0" t="n">
        <f aca="false">(R185-K185)/($L185-$E185)</f>
        <v>0.00340769472631965</v>
      </c>
      <c r="U185" s="0" t="n">
        <f aca="false">IF(S185&lt;&gt;T185,(K185-J185)/(S185-T185),0)</f>
        <v>-0.067434164692574</v>
      </c>
      <c r="V185" s="0" t="n">
        <f aca="false">E185+U185</f>
        <v>-0.0200084139384635</v>
      </c>
      <c r="W185" s="0" t="n">
        <f aca="false">-V185*$AC$51</f>
        <v>2.09527620796869</v>
      </c>
      <c r="X185" s="0" t="n">
        <f aca="false">-V185*$AD$51</f>
        <v>1.04763810398434</v>
      </c>
      <c r="Y185" s="0" t="n">
        <f aca="false">(-W185+SQRT(W185^2-4*$C185))/2</f>
        <v>2.8059438019044</v>
      </c>
      <c r="Z185" s="0" t="n">
        <f aca="false">(-X185+SQRT(X185^2-4*$D185))/2</f>
        <v>2.30936542977092</v>
      </c>
      <c r="AA185" s="0" t="n">
        <f aca="false">IF(Y185&lt;&gt;0,($C$21-$B185)*$V185/Y185/$AC$51-$AC$60*$AC$51,0)</f>
        <v>-0.000180578444753751</v>
      </c>
      <c r="AB185" s="0" t="n">
        <f aca="false">IF(Z185&lt;&gt;0,($C$27-$B185)*$V185/Z185/$AD$51-$AC$60*$AD$51,0)</f>
        <v>-0.000226054457749667</v>
      </c>
      <c r="AC185" s="0" t="n">
        <f aca="false">V185*1.001</f>
        <v>-0.020028422352402</v>
      </c>
      <c r="AD185" s="0" t="n">
        <f aca="false">-AC185*$AC$51</f>
        <v>2.09737148417666</v>
      </c>
      <c r="AE185" s="0" t="n">
        <f aca="false">-AC185*$AD$51</f>
        <v>1.04868574208833</v>
      </c>
      <c r="AF185" s="0" t="n">
        <f aca="false">(-AD185+SQRT(AD185^2-4*$C185))/2</f>
        <v>2.80518110747103</v>
      </c>
      <c r="AG185" s="0" t="n">
        <f aca="false">(-AE185+SQRT(AE185^2-4*$D185))/2</f>
        <v>2.30893850483223</v>
      </c>
      <c r="AH185" s="0" t="n">
        <f aca="false">IF(AF185&lt;&gt;0,($C$21-$B185)*$AC185/AF185/$AC$51-$AC$60*$AC$51,0)</f>
        <v>-0.000180776998740722</v>
      </c>
      <c r="AI185" s="0" t="n">
        <f aca="false">IF(AG185&lt;&gt;0,($C$27-$B185)*$AC185/AG185/$AD$51-$AC$60*$AD$51,0)</f>
        <v>-0.000226307833124859</v>
      </c>
      <c r="AJ185" s="0" t="n">
        <f aca="false">(AH185-AA185)/($AC185-$V185)</f>
        <v>0.00992352455230003</v>
      </c>
      <c r="AK185" s="0" t="n">
        <f aca="false">(AI185-AB185)/($AC185-$V185)</f>
        <v>0.012663441288844</v>
      </c>
      <c r="AL185" s="0" t="n">
        <f aca="false">IF(AJ185&lt;&gt;AK185,(AB185-AA185)/(AJ185-AK185),0)</f>
        <v>0.0165975894045882</v>
      </c>
      <c r="AM185" s="0" t="n">
        <f aca="false">V185+AL185</f>
        <v>-0.00341082453387536</v>
      </c>
      <c r="AN185" s="0" t="n">
        <f aca="false">-AM185*$AC$51</f>
        <v>0.357180709943556</v>
      </c>
      <c r="AO185" s="0" t="n">
        <f aca="false">-AM185*$AD$51</f>
        <v>0.178590354971778</v>
      </c>
      <c r="AP185" s="0" t="n">
        <f aca="false">(-AN185+SQRT(AN185^2-4*$C185))/2</f>
        <v>3.53415019930375</v>
      </c>
      <c r="AQ185" s="0" t="n">
        <f aca="false">(-AO185+SQRT(AO185^2-4*$D185))/2</f>
        <v>2.69647608684926</v>
      </c>
      <c r="AR185" s="0" t="n">
        <f aca="false">IF(AP185&lt;&gt;0,($C$21-$B185)*$AM185/AP185/$AC$51-$AC$60*$AC$51,0)</f>
        <v>-4.56262068666354E-005</v>
      </c>
      <c r="AS185" s="0" t="n">
        <f aca="false">IF(AQ185&lt;&gt;0,($C$27-$B185)*$AM185/AQ185/$AD$51-$AC$60*$AD$51,0)</f>
        <v>-4.34656390674301E-005</v>
      </c>
      <c r="AT185" s="0" t="n">
        <f aca="false">AM185*1.001</f>
        <v>-0.00341423535840924</v>
      </c>
      <c r="AU185" s="0" t="n">
        <f aca="false">-AT185*$AC$51</f>
        <v>0.357537890653499</v>
      </c>
      <c r="AV185" s="0" t="n">
        <f aca="false">-AT185*$AD$51</f>
        <v>0.17876894532675</v>
      </c>
      <c r="AW185" s="0" t="n">
        <f aca="false">(-AU185+SQRT(AU185^2-4*$C185))/2</f>
        <v>3.5339802037926</v>
      </c>
      <c r="AX185" s="0" t="n">
        <f aca="false">(-AV185+SQRT(AV185^2-4*$D185))/2</f>
        <v>2.69638965537115</v>
      </c>
      <c r="AY185" s="0" t="n">
        <f aca="false">IF(AW185&lt;&gt;0,($C$21-$B185)*$AT185/AW185/$AC$51-$AC$60*$AC$51,0)</f>
        <v>-4.56483480905192E-005</v>
      </c>
      <c r="AZ185" s="0" t="n">
        <f aca="false">IF(AX185&lt;&gt;0,($C$27-$B185)*$AT185/AX185/$AD$51-$AC$60*$AD$51,0)</f>
        <v>-4.34978552086306E-005</v>
      </c>
      <c r="BA185" s="0" t="n">
        <f aca="false">(AY185-AR185)/($AT185-$AM185)</f>
        <v>0.00649145790524078</v>
      </c>
      <c r="BB185" s="0" t="n">
        <f aca="false">(AZ185-AS185)/($AT185-$AM185)</f>
        <v>0.00944526488554032</v>
      </c>
      <c r="BC185" s="0" t="n">
        <f aca="false">IF(BA185&lt;&gt;BB185,(AS185-AR185)/(BA185-BB185),0)</f>
        <v>-0.000731451924115313</v>
      </c>
      <c r="BD185" s="0" t="n">
        <f aca="false">AM185+BC185</f>
        <v>-0.00414227645799068</v>
      </c>
      <c r="BE185" s="0" t="n">
        <f aca="false">-BD185*$AC$51</f>
        <v>0.433778176318715</v>
      </c>
      <c r="BF185" s="0" t="n">
        <f aca="false">-BD185*$AD$51</f>
        <v>0.216889088159358</v>
      </c>
      <c r="BG185" s="0" t="n">
        <f aca="false">(-BE185+SQRT(BE185^2-4*$C185))/2</f>
        <v>3.49789068795602</v>
      </c>
      <c r="BH185" s="0" t="n">
        <f aca="false">(-BF185+SQRT(BF185^2-4*$D185))/2</f>
        <v>2.67800626790568</v>
      </c>
      <c r="BI185" s="0" t="n">
        <f aca="false">IF(BG185&lt;&gt;0,($C$21-$B185)*$BD185/BG185/$AC$51-$AC$60*$AC$51,0)</f>
        <v>-5.04222017244802E-005</v>
      </c>
      <c r="BJ185" s="0" t="n">
        <f aca="false">IF(BH185&lt;&gt;0,($C$27-$B185)*$BD185/BH185/$AD$51-$AC$60*$AD$51,0)</f>
        <v>-5.04210593476276E-005</v>
      </c>
      <c r="BK185" s="0" t="n">
        <f aca="false">BD185*1.001</f>
        <v>-0.00414641873444867</v>
      </c>
      <c r="BL185" s="0" t="n">
        <f aca="false">-BK185*$AC$51</f>
        <v>0.434211954495034</v>
      </c>
      <c r="BM185" s="0" t="n">
        <f aca="false">-BK185*$AD$51</f>
        <v>0.217105977247517</v>
      </c>
      <c r="BN185" s="0" t="n">
        <f aca="false">(-BL185+SQRT(BL185^2-4*$C185))/2</f>
        <v>3.49768646834481</v>
      </c>
      <c r="BO185" s="0" t="n">
        <f aca="false">(-BM185+SQRT(BM185^2-4*$D185))/2</f>
        <v>2.6779020459699</v>
      </c>
      <c r="BP185" s="0" t="n">
        <f aca="false">IF(BN185&lt;&gt;0,($C$21-$B185)*$BK185/BN185/$AC$51-$AC$60*$AC$51,0)</f>
        <v>-5.044963670287E-005</v>
      </c>
      <c r="BQ185" s="0" t="n">
        <f aca="false">IF(BO185&lt;&gt;0,($C$27-$B185)*$BK185/BO185/$AD$51-$AC$60*$AD$51,0)</f>
        <v>-5.04607163733688E-005</v>
      </c>
      <c r="BR185" s="0" t="n">
        <f aca="false">(BP185-BI185)/($BK185-$BD185)</f>
        <v>0.00662316450095978</v>
      </c>
      <c r="BS185" s="0" t="n">
        <f aca="false">(BQ185-BJ185)/($BK185-$BD185)</f>
        <v>0.00957372742823191</v>
      </c>
      <c r="BT185" s="0" t="n">
        <f aca="false">IF(BR185&lt;&gt;BS185,(BJ185-BI185)/(BR185-BS185),0)</f>
        <v>-3.87172509374529E-007</v>
      </c>
      <c r="BU185" s="0" t="n">
        <f aca="false">BD185+BT185</f>
        <v>-0.00414266363050005</v>
      </c>
      <c r="BV185" s="0" t="n">
        <f aca="false">-BU185*$AC$51</f>
        <v>0.433818720929086</v>
      </c>
      <c r="BW185" s="0" t="n">
        <f aca="false">-BU185*$AD$51</f>
        <v>0.216909360464543</v>
      </c>
      <c r="BX185" s="0" t="n">
        <f aca="false">(-BV185+SQRT(BV185^2-4*$C185))/2</f>
        <v>3.49787159931362</v>
      </c>
      <c r="BY185" s="0" t="n">
        <f aca="false">(-BW185+SQRT(BW185^2-4*$D185))/2</f>
        <v>2.67799652625556</v>
      </c>
      <c r="BZ185" s="0" t="n">
        <f aca="false">IF(BX185&lt;&gt;0,($C$21-$B185)*$BU185/BX185/$AC$51-$AC$60*$AC$51,0)</f>
        <v>-5.04247658999416E-005</v>
      </c>
      <c r="CA185" s="0" t="n">
        <f aca="false">IF(BY185&lt;&gt;0,($C$27-$B185)*$BU185/BY185/$AD$51-$AC$60*$AD$51,0)</f>
        <v>-5.04247659034722E-005</v>
      </c>
      <c r="CB185" s="0" t="n">
        <f aca="false">BU185*1.001</f>
        <v>-0.00414680629413055</v>
      </c>
      <c r="CC185" s="0" t="n">
        <f aca="false">-CB185*$AC$51</f>
        <v>0.434252539650015</v>
      </c>
      <c r="CD185" s="0" t="n">
        <f aca="false">-CB185*$AD$51</f>
        <v>0.217126269825008</v>
      </c>
      <c r="CE185" s="0" t="n">
        <f aca="false">(-CC185+SQRT(CC185^2-4*$C185))/2</f>
        <v>3.49766736179457</v>
      </c>
      <c r="CF185" s="0" t="n">
        <f aca="false">(-CD185+SQRT(CD185^2-4*$D185))/2</f>
        <v>2.67789229497243</v>
      </c>
      <c r="CG185" s="0" t="n">
        <f aca="false">IF(CE185&lt;&gt;0,($C$21-$B185)*$CB185/CE185/$AC$51-$AC$60*$AC$51,0)</f>
        <v>-5.04522037335024E-005</v>
      </c>
      <c r="CH185" s="0" t="n">
        <f aca="false">IF(CF185&lt;&gt;0,($C$27-$B185)*$CB185/CF185/$AD$51-$AC$60*$AD$51,0)</f>
        <v>-5.0464426918966E-005</v>
      </c>
      <c r="CI185" s="0" t="n">
        <f aca="false">(CG185-BZ185)/($CB185-$BU185)</f>
        <v>0.0066232347127597</v>
      </c>
      <c r="CJ185" s="0" t="n">
        <f aca="false">(CH185-CA185)/($CB185-$BU185)</f>
        <v>0.00957379575832759</v>
      </c>
      <c r="CK185" s="0" t="n">
        <f aca="false">IF(CI185&lt;&gt;CJ185,(CA185-BZ185)/(CI185-CJ185),0)</f>
        <v>1.19658231898696E-012</v>
      </c>
      <c r="CL185" s="0" t="str">
        <f aca="false">IF(AND(BU185&gt;0,CE185&gt;0,CE185&lt;$C$15,CF185&lt;$C$15,CG185&gt;0,ABS(CK185)&lt;0.1*BU185),B185,"")</f>
        <v/>
      </c>
      <c r="CM185" s="0" t="n">
        <f aca="false">CG185+BU185^2/$C$39</f>
        <v>-4.75919267409244E-005</v>
      </c>
      <c r="CN185" s="0" t="n">
        <f aca="false">-BU185*$C$15/$C$39</f>
        <v>0.00414266363050005</v>
      </c>
      <c r="CO185" s="0" t="n">
        <f aca="false">IF(CL185&lt;&gt;"",(-CM185+SQRT(CM185^2-4*$AC$60*CN185))/2/$AC$60,0)</f>
        <v>0</v>
      </c>
      <c r="CP185" s="0" t="n">
        <f aca="false">CO185*30/PI()</f>
        <v>0</v>
      </c>
      <c r="DB185" s="6"/>
    </row>
    <row r="186" customFormat="false" ht="12.75" hidden="false" customHeight="false" outlineLevel="0" collapsed="false">
      <c r="A186" s="0" t="n">
        <f aca="false">A185+0.01</f>
        <v>0.37</v>
      </c>
      <c r="B186" s="0" t="n">
        <f aca="false">A186*$AC$68</f>
        <v>0.727572811974494</v>
      </c>
      <c r="C186" s="0" t="n">
        <f aca="false">$C$39*($B186-$C$21)</f>
        <v>-13.634563128153</v>
      </c>
      <c r="D186" s="0" t="n">
        <f aca="false">$C$39*($B186-$C$27)</f>
        <v>-7.63456312815304</v>
      </c>
      <c r="E186" s="0" t="n">
        <f aca="false">$AC$71</f>
        <v>0.0474257507541105</v>
      </c>
      <c r="F186" s="0" t="n">
        <f aca="false">-E186*$AC$51</f>
        <v>-4.96641300533647</v>
      </c>
      <c r="G186" s="0" t="n">
        <f aca="false">-E186*$AD$51</f>
        <v>-2.48320650266823</v>
      </c>
      <c r="H186" s="0" t="n">
        <f aca="false">(-F186+SQRT(F186^2-4*$C186))/2</f>
        <v>6.9330242138837</v>
      </c>
      <c r="I186" s="0" t="n">
        <f aca="false">(-G186+SQRT(G186^2-4*$D186))/2</f>
        <v>4.27081796176263</v>
      </c>
      <c r="J186" s="0" t="n">
        <f aca="false">IF(H186&lt;&gt;0,($C$21-$B186)*$E186/H186/$AC$51-$AC$60*$AC$51,0)</f>
        <v>0.000123938519832971</v>
      </c>
      <c r="K186" s="0" t="n">
        <f aca="false">IF(I186&lt;&gt;0,($C$27-$B186)*$E186/I186/$AD$51-$AC$60*$AD$51,0)</f>
        <v>0.000257608284543921</v>
      </c>
      <c r="L186" s="0" t="n">
        <f aca="false">E186*1.001</f>
        <v>0.0474731765048646</v>
      </c>
      <c r="M186" s="0" t="n">
        <f aca="false">-L186*$AC$51</f>
        <v>-4.97137941834181</v>
      </c>
      <c r="N186" s="0" t="n">
        <f aca="false">-L186*$AD$51</f>
        <v>-2.4856897091709</v>
      </c>
      <c r="O186" s="0" t="n">
        <f aca="false">(-M186+SQRT(M186^2-4*$C186))/2</f>
        <v>6.93689364276361</v>
      </c>
      <c r="P186" s="0" t="n">
        <f aca="false">(-N186+SQRT(N186^2-4*$D186))/2</f>
        <v>4.27256868040235</v>
      </c>
      <c r="Q186" s="0" t="n">
        <f aca="false">IF(O186&lt;&gt;0,($C$21-$B186)*$L186/O186/$AC$51-$AC$60*$AC$51,0)</f>
        <v>0.000124004076855379</v>
      </c>
      <c r="R186" s="0" t="n">
        <f aca="false">IF(P186&lt;&gt;0,($C$27-$B186)*$L186/P186/$AD$51-$AC$60*$AD$51,0)</f>
        <v>0.000257767456325283</v>
      </c>
      <c r="S186" s="0" t="n">
        <f aca="false">(Q186-J186)/($L186-$E186)</f>
        <v>0.00138230858478729</v>
      </c>
      <c r="T186" s="0" t="n">
        <f aca="false">(R186-K186)/($L186-$E186)</f>
        <v>0.00335623113670454</v>
      </c>
      <c r="U186" s="0" t="n">
        <f aca="false">IF(S186&lt;&gt;T186,(K186-J186)/(S186-T186),0)</f>
        <v>-0.0677178365387827</v>
      </c>
      <c r="V186" s="0" t="n">
        <f aca="false">E186+U186</f>
        <v>-0.0202920857846722</v>
      </c>
      <c r="W186" s="0" t="n">
        <f aca="false">-V186*$AC$51</f>
        <v>2.124982254238</v>
      </c>
      <c r="X186" s="0" t="n">
        <f aca="false">-V186*$AD$51</f>
        <v>1.062491127119</v>
      </c>
      <c r="Y186" s="0" t="n">
        <f aca="false">(-W186+SQRT(W186^2-4*$C186))/2</f>
        <v>2.77983245677651</v>
      </c>
      <c r="Z186" s="0" t="n">
        <f aca="false">(-X186+SQRT(X186^2-4*$D186))/2</f>
        <v>2.28243263000754</v>
      </c>
      <c r="AA186" s="0" t="n">
        <f aca="false">IF(Y186&lt;&gt;0,($C$21-$B186)*$V186/Y186/$AC$51-$AC$60*$AC$51,0)</f>
        <v>-0.000182907330567664</v>
      </c>
      <c r="AB186" s="0" t="n">
        <f aca="false">IF(Z186&lt;&gt;0,($C$27-$B186)*$V186/Z186/$AD$51-$AC$60*$AD$51,0)</f>
        <v>-0.000228305429166128</v>
      </c>
      <c r="AC186" s="0" t="n">
        <f aca="false">V186*1.001</f>
        <v>-0.0203123778704569</v>
      </c>
      <c r="AD186" s="0" t="n">
        <f aca="false">-AC186*$AC$51</f>
        <v>2.12710723649224</v>
      </c>
      <c r="AE186" s="0" t="n">
        <f aca="false">-AC186*$AD$51</f>
        <v>1.06355361824612</v>
      </c>
      <c r="AF186" s="0" t="n">
        <f aca="false">(-AD186+SQRT(AD186^2-4*$C186))/2</f>
        <v>2.77906390461996</v>
      </c>
      <c r="AG186" s="0" t="n">
        <f aca="false">(-AE186+SQRT(AE186^2-4*$D186))/2</f>
        <v>2.28200173633394</v>
      </c>
      <c r="AH186" s="0" t="n">
        <f aca="false">IF(AF186&lt;&gt;0,($C$21-$B186)*$AC186/AF186/$AC$51-$AC$60*$AC$51,0)</f>
        <v>-0.00018310958664537</v>
      </c>
      <c r="AI186" s="0" t="n">
        <f aca="false">IF(AG186&lt;&gt;0,($C$27-$B186)*$AC186/AG186/$AD$51-$AC$60*$AD$51,0)</f>
        <v>-0.000228562320287479</v>
      </c>
      <c r="AJ186" s="0" t="n">
        <f aca="false">(AH186-AA186)/($AC186-$V186)</f>
        <v>0.00996723943768373</v>
      </c>
      <c r="AK186" s="0" t="n">
        <f aca="false">(AI186-AB186)/($AC186-$V186)</f>
        <v>0.0126596705768303</v>
      </c>
      <c r="AL186" s="0" t="n">
        <f aca="false">IF(AJ186&lt;&gt;AK186,(AB186-AA186)/(AJ186-AK186),0)</f>
        <v>0.0168613777854516</v>
      </c>
      <c r="AM186" s="0" t="n">
        <f aca="false">V186+AL186</f>
        <v>-0.00343070799922066</v>
      </c>
      <c r="AN186" s="0" t="n">
        <f aca="false">-AM186*$AC$51</f>
        <v>0.359262901565445</v>
      </c>
      <c r="AO186" s="0" t="n">
        <f aca="false">-AM186*$AD$51</f>
        <v>0.179631450782722</v>
      </c>
      <c r="AP186" s="0" t="n">
        <f aca="false">(-AN186+SQRT(AN186^2-4*$C186))/2</f>
        <v>3.5172362214857</v>
      </c>
      <c r="AQ186" s="0" t="n">
        <f aca="false">(-AO186+SQRT(AO186^2-4*$D186))/2</f>
        <v>2.67471497486874</v>
      </c>
      <c r="AR186" s="0" t="n">
        <f aca="false">IF(AP186&lt;&gt;0,($C$21-$B186)*$AM186/AP186/$AC$51-$AC$60*$AC$51,0)</f>
        <v>-4.5668366399484E-005</v>
      </c>
      <c r="AS186" s="0" t="n">
        <f aca="false">IF(AQ186&lt;&gt;0,($C$27-$B186)*$AM186/AQ186/$AD$51-$AC$60*$AD$51,0)</f>
        <v>-4.34213365661504E-005</v>
      </c>
      <c r="AT186" s="0" t="n">
        <f aca="false">AM186*1.001</f>
        <v>-0.00343413870721988</v>
      </c>
      <c r="AU186" s="0" t="n">
        <f aca="false">-AT186*$AC$51</f>
        <v>0.35962216446701</v>
      </c>
      <c r="AV186" s="0" t="n">
        <f aca="false">-AT186*$AD$51</f>
        <v>0.179811082233505</v>
      </c>
      <c r="AW186" s="0" t="n">
        <f aca="false">(-AU186+SQRT(AU186^2-4*$C186))/2</f>
        <v>3.51706532271257</v>
      </c>
      <c r="AX186" s="0" t="n">
        <f aca="false">(-AV186+SQRT(AV186^2-4*$D186))/2</f>
        <v>2.67462807858776</v>
      </c>
      <c r="AY186" s="0" t="n">
        <f aca="false">IF(AW186&lt;&gt;0,($C$21-$B186)*$AT186/AW186/$AC$51-$AC$60*$AC$51,0)</f>
        <v>-4.56905621559564E-005</v>
      </c>
      <c r="AZ186" s="0" t="n">
        <f aca="false">IF(AX186&lt;&gt;0,($C$27-$B186)*$AT186/AX186/$AD$51-$AC$60*$AD$51,0)</f>
        <v>-4.34535205430884E-005</v>
      </c>
      <c r="BA186" s="0" t="n">
        <f aca="false">(AY186-AR186)/($AT186-$AM186)</f>
        <v>0.00646973058548974</v>
      </c>
      <c r="BB186" s="0" t="n">
        <f aca="false">(AZ186-AS186)/($AT186-$AM186)</f>
        <v>0.00938114725744116</v>
      </c>
      <c r="BC186" s="0" t="n">
        <f aca="false">IF(BA186&lt;&gt;BB186,(AS186-AR186)/(BA186-BB186),0)</f>
        <v>-0.000771799466212256</v>
      </c>
      <c r="BD186" s="0" t="n">
        <f aca="false">AM186+BC186</f>
        <v>-0.00420250746543291</v>
      </c>
      <c r="BE186" s="0" t="n">
        <f aca="false">-BD186*$AC$51</f>
        <v>0.440085552668677</v>
      </c>
      <c r="BF186" s="0" t="n">
        <f aca="false">-BD186*$AD$51</f>
        <v>0.220042776334338</v>
      </c>
      <c r="BG186" s="0" t="n">
        <f aca="false">(-BE186+SQRT(BE186^2-4*$C186))/2</f>
        <v>3.47900871716639</v>
      </c>
      <c r="BH186" s="0" t="n">
        <f aca="false">(-BF186+SQRT(BF186^2-4*$D186))/2</f>
        <v>2.65523950983274</v>
      </c>
      <c r="BI186" s="0" t="n">
        <f aca="false">IF(BG186&lt;&gt;0,($C$21-$B186)*$BD186/BG186/$AC$51-$AC$60*$AC$51,0)</f>
        <v>-5.0714988807183E-005</v>
      </c>
      <c r="BJ186" s="0" t="n">
        <f aca="false">IF(BH186&lt;&gt;0,($C$27-$B186)*$BD186/BH186/$AD$51-$AC$60*$AD$51,0)</f>
        <v>-5.07137083355999E-005</v>
      </c>
      <c r="BK186" s="0" t="n">
        <f aca="false">BD186*1.001</f>
        <v>-0.00420670997289834</v>
      </c>
      <c r="BL186" s="0" t="n">
        <f aca="false">-BK186*$AC$51</f>
        <v>0.440525638221345</v>
      </c>
      <c r="BM186" s="0" t="n">
        <f aca="false">-BK186*$AD$51</f>
        <v>0.220262819110673</v>
      </c>
      <c r="BN186" s="0" t="n">
        <f aca="false">(-BL186+SQRT(BL186^2-4*$C186))/2</f>
        <v>3.47880177043567</v>
      </c>
      <c r="BO186" s="0" t="n">
        <f aca="false">(-BM186+SQRT(BM186^2-4*$D186))/2</f>
        <v>2.65513386804891</v>
      </c>
      <c r="BP186" s="0" t="n">
        <f aca="false">IF(BN186&lt;&gt;0,($C$21-$B186)*$BK186/BN186/$AC$51-$AC$60*$AC$51,0)</f>
        <v>-5.07427625707773E-005</v>
      </c>
      <c r="BQ186" s="0" t="n">
        <f aca="false">IF(BO186&lt;&gt;0,($C$27-$B186)*$BK186/BO186/$AD$51-$AC$60*$AD$51,0)</f>
        <v>-5.07537028493843E-005</v>
      </c>
      <c r="BR186" s="0" t="n">
        <f aca="false">(BP186-BI186)/($BK186-$BD186)</f>
        <v>0.00660885526622462</v>
      </c>
      <c r="BS186" s="0" t="n">
        <f aca="false">(BQ186-BJ186)/($BK186-$BD186)</f>
        <v>0.00951682159125672</v>
      </c>
      <c r="BT186" s="0" t="n">
        <f aca="false">IF(BR186&lt;&gt;BS186,(BJ186-BI186)/(BR186-BS186),0)</f>
        <v>-4.40332328525699E-007</v>
      </c>
      <c r="BU186" s="0" t="n">
        <f aca="false">BD186+BT186</f>
        <v>-0.00420294779776144</v>
      </c>
      <c r="BV186" s="0" t="n">
        <f aca="false">-BU186*$AC$51</f>
        <v>0.440131664162291</v>
      </c>
      <c r="BW186" s="0" t="n">
        <f aca="false">-BU186*$AD$51</f>
        <v>0.220065832081146</v>
      </c>
      <c r="BX186" s="0" t="n">
        <f aca="false">(-BV186+SQRT(BV186^2-4*$C186))/2</f>
        <v>3.47898703299156</v>
      </c>
      <c r="BY186" s="0" t="n">
        <f aca="false">(-BW186+SQRT(BW186^2-4*$D186))/2</f>
        <v>2.65522844064263</v>
      </c>
      <c r="BZ186" s="0" t="n">
        <f aca="false">IF(BX186&lt;&gt;0,($C$21-$B186)*$BU186/BX186/$AC$51-$AC$60*$AC$51,0)</f>
        <v>-5.07178987494526E-005</v>
      </c>
      <c r="CA186" s="0" t="n">
        <f aca="false">IF(BY186&lt;&gt;0,($C$27-$B186)*$BU186/BY186/$AD$51-$AC$60*$AD$51,0)</f>
        <v>-5.07178987535231E-005</v>
      </c>
      <c r="CB186" s="0" t="n">
        <f aca="false">BU186*1.001</f>
        <v>-0.0042071507455592</v>
      </c>
      <c r="CC186" s="0" t="n">
        <f aca="false">-CB186*$AC$51</f>
        <v>0.440571795826453</v>
      </c>
      <c r="CD186" s="0" t="n">
        <f aca="false">-CB186*$AD$51</f>
        <v>0.220285897913227</v>
      </c>
      <c r="CE186" s="0" t="n">
        <f aca="false">(-CC186+SQRT(CC186^2-4*$C186))/2</f>
        <v>3.47878006594474</v>
      </c>
      <c r="CF186" s="0" t="n">
        <f aca="false">(-CD186+SQRT(CD186^2-4*$D186))/2</f>
        <v>2.65512278824802</v>
      </c>
      <c r="CG186" s="0" t="n">
        <f aca="false">IF(CE186&lt;&gt;0,($C$21-$B186)*$CB186/CE186/$AC$51-$AC$60*$AC$51,0)</f>
        <v>-5.07456757592617E-005</v>
      </c>
      <c r="CH186" s="0" t="n">
        <f aca="false">IF(CF186&lt;&gt;0,($C$27-$B186)*$CB186/CF186/$AD$51-$AC$60*$AD$51,0)</f>
        <v>-5.0757897784893E-005</v>
      </c>
      <c r="CI186" s="0" t="n">
        <f aca="false">(CG186-BZ186)/($CB186-$BU186)</f>
        <v>0.00660893523921224</v>
      </c>
      <c r="CJ186" s="0" t="n">
        <f aca="false">(CH186-CA186)/($CB186-$BU186)</f>
        <v>0.0095168993988396</v>
      </c>
      <c r="CK186" s="0" t="n">
        <f aca="false">IF(CI186&lt;&gt;CJ186,(CA186-BZ186)/(CI186-CJ186),0)</f>
        <v>1.39978871444027E-012</v>
      </c>
      <c r="CL186" s="0" t="str">
        <f aca="false">IF(AND(BU186&gt;0,CE186&gt;0,CE186&lt;$C$15,CF186&lt;$C$15,CG186&gt;0,ABS(CK186)&lt;0.1*BU186),B186,"")</f>
        <v/>
      </c>
      <c r="CM186" s="0" t="n">
        <f aca="false">CG186+BU186^2/$C$39</f>
        <v>-4.78015473941438E-005</v>
      </c>
      <c r="CN186" s="0" t="n">
        <f aca="false">-BU186*$C$15/$C$39</f>
        <v>0.00420294779776144</v>
      </c>
      <c r="CO186" s="0" t="n">
        <f aca="false">IF(CL186&lt;&gt;"",(-CM186+SQRT(CM186^2-4*$AC$60*CN186))/2/$AC$60,0)</f>
        <v>0</v>
      </c>
      <c r="CP186" s="0" t="n">
        <f aca="false">CO186*30/PI()</f>
        <v>0</v>
      </c>
      <c r="DB186" s="6"/>
    </row>
    <row r="187" customFormat="false" ht="12.75" hidden="false" customHeight="false" outlineLevel="0" collapsed="false">
      <c r="A187" s="0" t="n">
        <f aca="false">A186+0.01</f>
        <v>0.38</v>
      </c>
      <c r="B187" s="0" t="n">
        <f aca="false">A187*$AC$68</f>
        <v>0.747236942027859</v>
      </c>
      <c r="C187" s="0" t="n">
        <f aca="false">$C$39*($B187-$C$21)</f>
        <v>-13.5165783478328</v>
      </c>
      <c r="D187" s="0" t="n">
        <f aca="false">$C$39*($B187-$C$27)</f>
        <v>-7.51657834783285</v>
      </c>
      <c r="E187" s="0" t="n">
        <f aca="false">$AC$71</f>
        <v>0.0474257507541105</v>
      </c>
      <c r="F187" s="0" t="n">
        <f aca="false">-E187*$AC$51</f>
        <v>-4.96641300533647</v>
      </c>
      <c r="G187" s="0" t="n">
        <f aca="false">-E187*$AD$51</f>
        <v>-2.48320650266823</v>
      </c>
      <c r="H187" s="0" t="n">
        <f aca="false">(-F187+SQRT(F187^2-4*$C187))/2</f>
        <v>6.91974714631466</v>
      </c>
      <c r="I187" s="0" t="n">
        <f aca="false">(-G187+SQRT(G187^2-4*$D187))/2</f>
        <v>4.25128047348873</v>
      </c>
      <c r="J187" s="0" t="n">
        <f aca="false">IF(H187&lt;&gt;0,($C$21-$B187)*$E187/H187/$AC$51-$AC$60*$AC$51,0)</f>
        <v>0.00012293636110855</v>
      </c>
      <c r="K187" s="0" t="n">
        <f aca="false">IF(I187&lt;&gt;0,($C$27-$B187)*$E187/I187/$AD$51-$AC$60*$AD$51,0)</f>
        <v>0.000254658888643785</v>
      </c>
      <c r="L187" s="0" t="n">
        <f aca="false">E187*1.001</f>
        <v>0.0474731765048646</v>
      </c>
      <c r="M187" s="0" t="n">
        <f aca="false">-L187*$AC$51</f>
        <v>-4.97137941834181</v>
      </c>
      <c r="N187" s="0" t="n">
        <f aca="false">-L187*$AD$51</f>
        <v>-2.4856897091709</v>
      </c>
      <c r="O187" s="0" t="n">
        <f aca="false">(-M187+SQRT(M187^2-4*$C187))/2</f>
        <v>6.92362072239215</v>
      </c>
      <c r="P187" s="0" t="n">
        <f aca="false">(-N187+SQRT(N187^2-4*$D187))/2</f>
        <v>4.25303449651873</v>
      </c>
      <c r="Q187" s="0" t="n">
        <f aca="false">IF(O187&lt;&gt;0,($C$21-$B187)*$L187/O187/$AC$51-$AC$60*$AC$51,0)</f>
        <v>0.000123001229317508</v>
      </c>
      <c r="R187" s="0" t="n">
        <f aca="false">IF(P187&lt;&gt;0,($C$27-$B187)*$L187/P187/$AD$51-$AC$60*$AD$51,0)</f>
        <v>0.000254815610361657</v>
      </c>
      <c r="S187" s="0" t="n">
        <f aca="false">(Q187-J187)/($L187-$E187)</f>
        <v>0.00136778454587564</v>
      </c>
      <c r="T187" s="0" t="n">
        <f aca="false">(R187-K187)/($L187-$E187)</f>
        <v>0.00330457009915388</v>
      </c>
      <c r="U187" s="0" t="n">
        <f aca="false">IF(S187&lt;&gt;T187,(K187-J187)/(S187-T187),0)</f>
        <v>-0.0680108994577532</v>
      </c>
      <c r="V187" s="0" t="n">
        <f aca="false">E187+U187</f>
        <v>-0.0205851487036427</v>
      </c>
      <c r="W187" s="0" t="n">
        <f aca="false">-V187*$AC$51</f>
        <v>2.15567173134725</v>
      </c>
      <c r="X187" s="0" t="n">
        <f aca="false">-V187*$AD$51</f>
        <v>1.07783586567362</v>
      </c>
      <c r="Y187" s="0" t="n">
        <f aca="false">(-W187+SQRT(W187^2-4*$C187))/2</f>
        <v>2.75339220129984</v>
      </c>
      <c r="Z187" s="0" t="n">
        <f aca="false">(-X187+SQRT(X187^2-4*$D187))/2</f>
        <v>2.25518494396747</v>
      </c>
      <c r="AA187" s="0" t="n">
        <f aca="false">IF(Y187&lt;&gt;0,($C$21-$B187)*$V187/Y187/$AC$51-$AC$60*$AC$51,0)</f>
        <v>-0.000185334268658537</v>
      </c>
      <c r="AB187" s="0" t="n">
        <f aca="false">IF(Z187&lt;&gt;0,($C$27-$B187)*$V187/Z187/$AD$51-$AC$60*$AD$51,0)</f>
        <v>-0.000230645799981413</v>
      </c>
      <c r="AC187" s="0" t="n">
        <f aca="false">V187*1.001</f>
        <v>-0.0206057338523463</v>
      </c>
      <c r="AD187" s="0" t="n">
        <f aca="false">-AC187*$AC$51</f>
        <v>2.15782740307859</v>
      </c>
      <c r="AE187" s="0" t="n">
        <f aca="false">-AC187*$AD$51</f>
        <v>1.0789137015393</v>
      </c>
      <c r="AF187" s="0" t="n">
        <f aca="false">(-AD187+SQRT(AD187^2-4*$C187))/2</f>
        <v>2.75261773160882</v>
      </c>
      <c r="AG187" s="0" t="n">
        <f aca="false">(-AE187+SQRT(AE187^2-4*$D187))/2</f>
        <v>2.25475002089808</v>
      </c>
      <c r="AH187" s="0" t="n">
        <f aca="false">IF(AF187&lt;&gt;0,($C$21-$B187)*$AC187/AF187/$AC$51-$AC$60*$AC$51,0)</f>
        <v>-0.000185540397375671</v>
      </c>
      <c r="AI187" s="0" t="n">
        <f aca="false">IF(AG187&lt;&gt;0,($C$27-$B187)*$AC187/AG187/$AD$51-$AC$60*$AD$51,0)</f>
        <v>-0.000230906363421666</v>
      </c>
      <c r="AJ187" s="0" t="n">
        <f aca="false">(AH187-AA187)/($AC187-$V187)</f>
        <v>0.0100134674809325</v>
      </c>
      <c r="AK187" s="0" t="n">
        <f aca="false">(AI187-AB187)/($AC187-$V187)</f>
        <v>0.0126578361907616</v>
      </c>
      <c r="AL187" s="0" t="n">
        <f aca="false">IF(AJ187&lt;&gt;AK187,(AB187-AA187)/(AJ187-AK187),0)</f>
        <v>0.0171351034197513</v>
      </c>
      <c r="AM187" s="0" t="n">
        <f aca="false">V187+AL187</f>
        <v>-0.00345004528389145</v>
      </c>
      <c r="AN187" s="0" t="n">
        <f aca="false">-AM187*$AC$51</f>
        <v>0.36128789728085</v>
      </c>
      <c r="AO187" s="0" t="n">
        <f aca="false">-AM187*$AD$51</f>
        <v>0.180643948640425</v>
      </c>
      <c r="AP187" s="0" t="n">
        <f aca="false">(-AN187+SQRT(AN187^2-4*$C187))/2</f>
        <v>3.50028128613591</v>
      </c>
      <c r="AQ187" s="0" t="n">
        <f aca="false">(-AO187+SQRT(AO187^2-4*$D187))/2</f>
        <v>2.65280332483729</v>
      </c>
      <c r="AR187" s="0" t="n">
        <f aca="false">IF(AP187&lt;&gt;0,($C$21-$B187)*$AM187/AP187/$AC$51-$AC$60*$AC$51,0)</f>
        <v>-4.5705691415535E-005</v>
      </c>
      <c r="AS187" s="0" t="n">
        <f aca="false">IF(AQ187&lt;&gt;0,($C$27-$B187)*$AM187/AQ187/$AD$51-$AC$60*$AD$51,0)</f>
        <v>-4.33675176472872E-005</v>
      </c>
      <c r="AT187" s="0" t="n">
        <f aca="false">AM187*1.001</f>
        <v>-0.00345349532917535</v>
      </c>
      <c r="AU187" s="0" t="n">
        <f aca="false">-AT187*$AC$51</f>
        <v>0.361649185178131</v>
      </c>
      <c r="AV187" s="0" t="n">
        <f aca="false">-AT187*$AD$51</f>
        <v>0.180824592589065</v>
      </c>
      <c r="AW187" s="0" t="n">
        <f aca="false">(-AU187+SQRT(AU187^2-4*$C187))/2</f>
        <v>3.50010951183577</v>
      </c>
      <c r="AX187" s="0" t="n">
        <f aca="false">(-AV187+SQRT(AV187^2-4*$D187))/2</f>
        <v>2.65271597834996</v>
      </c>
      <c r="AY187" s="0" t="n">
        <f aca="false">IF(AW187&lt;&gt;0,($C$21-$B187)*$AT187/AW187/$AC$51-$AC$60*$AC$51,0)</f>
        <v>-4.57279366179106E-005</v>
      </c>
      <c r="AZ187" s="0" t="n">
        <f aca="false">IF(AX187&lt;&gt;0,($C$27-$B187)*$AT187/AX187/$AD$51-$AC$60*$AD$51,0)</f>
        <v>-4.33996597002627E-005</v>
      </c>
      <c r="BA187" s="0" t="n">
        <f aca="false">(AY187-AR187)/($AT187-$AM187)</f>
        <v>0.00644780011424888</v>
      </c>
      <c r="BB187" s="0" t="n">
        <f aca="false">(AZ187-AS187)/($AT187-$AM187)</f>
        <v>0.0093164148092472</v>
      </c>
      <c r="BC187" s="0" t="n">
        <f aca="false">IF(BA187&lt;&gt;BB187,(AS187-AR187)/(BA187-BB187),0)</f>
        <v>-0.00081508812331071</v>
      </c>
      <c r="BD187" s="0" t="n">
        <f aca="false">AM187+BC187</f>
        <v>-0.00426513340720216</v>
      </c>
      <c r="BE187" s="0" t="n">
        <f aca="false">-BD187*$AC$51</f>
        <v>0.446643725954891</v>
      </c>
      <c r="BF187" s="0" t="n">
        <f aca="false">-BD187*$AD$51</f>
        <v>0.223321862977445</v>
      </c>
      <c r="BG187" s="0" t="n">
        <f aca="false">(-BE187+SQRT(BE187^2-4*$C187))/2</f>
        <v>3.45994448665254</v>
      </c>
      <c r="BH187" s="0" t="n">
        <f aca="false">(-BF187+SQRT(BF187^2-4*$D187))/2</f>
        <v>2.63224987454229</v>
      </c>
      <c r="BI187" s="0" t="n">
        <f aca="false">IF(BG187&lt;&gt;0,($C$21-$B187)*$BD187/BG187/$AC$51-$AC$60*$AC$51,0)</f>
        <v>-5.10207206257837E-005</v>
      </c>
      <c r="BJ187" s="0" t="n">
        <f aca="false">IF(BH187&lt;&gt;0,($C$27-$B187)*$BD187/BH187/$AD$51-$AC$60*$AD$51,0)</f>
        <v>-5.10192830936892E-005</v>
      </c>
      <c r="BK187" s="0" t="n">
        <f aca="false">BD187*1.001</f>
        <v>-0.00426939854060937</v>
      </c>
      <c r="BL187" s="0" t="n">
        <f aca="false">-BK187*$AC$51</f>
        <v>0.447090369680846</v>
      </c>
      <c r="BM187" s="0" t="n">
        <f aca="false">-BK187*$AD$51</f>
        <v>0.223545184840423</v>
      </c>
      <c r="BN187" s="0" t="n">
        <f aca="false">(-BL187+SQRT(BL187^2-4*$C187))/2</f>
        <v>3.45973471186824</v>
      </c>
      <c r="BO187" s="0" t="n">
        <f aca="false">(-BM187+SQRT(BM187^2-4*$D187))/2</f>
        <v>2.63214275981812</v>
      </c>
      <c r="BP187" s="0" t="n">
        <f aca="false">IF(BN187&lt;&gt;0,($C$21-$B187)*$BK187/BN187/$AC$51-$AC$60*$AC$51,0)</f>
        <v>-5.10488487279223E-005</v>
      </c>
      <c r="BQ187" s="0" t="n">
        <f aca="false">IF(BO187&lt;&gt;0,($C$27-$B187)*$BK187/BO187/$AD$51-$AC$60*$AD$51,0)</f>
        <v>-5.10596305556324E-005</v>
      </c>
      <c r="BR187" s="0" t="n">
        <f aca="false">(BP187-BI187)/($BK187-$BD187)</f>
        <v>0.00659489386454275</v>
      </c>
      <c r="BS187" s="0" t="n">
        <f aca="false">(BQ187-BJ187)/($BK187-$BD187)</f>
        <v>0.00945983585765948</v>
      </c>
      <c r="BT187" s="0" t="n">
        <f aca="false">IF(BR187&lt;&gt;BS187,(BJ187-BI187)/(BR187-BS187),0)</f>
        <v>-5.01766562097182E-007</v>
      </c>
      <c r="BU187" s="0" t="n">
        <f aca="false">BD187+BT187</f>
        <v>-0.00426563517376426</v>
      </c>
      <c r="BV187" s="0" t="n">
        <f aca="false">-BU187*$AC$51</f>
        <v>0.446696270826401</v>
      </c>
      <c r="BW187" s="0" t="n">
        <f aca="false">-BU187*$AD$51</f>
        <v>0.2233481354132</v>
      </c>
      <c r="BX187" s="0" t="n">
        <f aca="false">(-BV187+SQRT(BV187^2-4*$C187))/2</f>
        <v>3.45991980724661</v>
      </c>
      <c r="BY187" s="0" t="n">
        <f aca="false">(-BW187+SQRT(BW187^2-4*$D187))/2</f>
        <v>2.63223727292214</v>
      </c>
      <c r="BZ187" s="0" t="n">
        <f aca="false">IF(BX187&lt;&gt;0,($C$21-$B187)*$BU187/BX187/$AC$51-$AC$60*$AC$51,0)</f>
        <v>-5.10240295513453E-005</v>
      </c>
      <c r="CA187" s="0" t="n">
        <f aca="false">IF(BY187&lt;&gt;0,($C$27-$B187)*$BU187/BY187/$AD$51-$AC$60*$AD$51,0)</f>
        <v>-5.10240295560408E-005</v>
      </c>
      <c r="CB187" s="0" t="n">
        <f aca="false">BU187*1.001</f>
        <v>-0.00426990080893803</v>
      </c>
      <c r="CC187" s="0" t="n">
        <f aca="false">-CB187*$AC$51</f>
        <v>0.447142967097227</v>
      </c>
      <c r="CD187" s="0" t="n">
        <f aca="false">-CB187*$AD$51</f>
        <v>0.223571483548614</v>
      </c>
      <c r="CE187" s="0" t="n">
        <f aca="false">(-CC187+SQRT(CC187^2-4*$C187))/2</f>
        <v>3.45971000937166</v>
      </c>
      <c r="CF187" s="0" t="n">
        <f aca="false">(-CD187+SQRT(CD187^2-4*$D187))/2</f>
        <v>2.63213014613058</v>
      </c>
      <c r="CG187" s="0" t="n">
        <f aca="false">IF(CE187&lt;&gt;0,($C$21-$B187)*$CB187/CE187/$AC$51-$AC$60*$AC$51,0)</f>
        <v>-5.10521613519226E-005</v>
      </c>
      <c r="CH187" s="0" t="n">
        <f aca="false">IF(CF187&lt;&gt;0,($C$27-$B187)*$CB187/CF187/$AD$51-$AC$60*$AD$51,0)</f>
        <v>-5.10643821433031E-005</v>
      </c>
      <c r="CI187" s="0" t="n">
        <f aca="false">(CG187-BZ187)/($CB187-$BU187)</f>
        <v>0.00659498513852951</v>
      </c>
      <c r="CJ187" s="0" t="n">
        <f aca="false">(CH187-CA187)/($CB187-$BU187)</f>
        <v>0.00945992463454753</v>
      </c>
      <c r="CK187" s="0" t="n">
        <f aca="false">IF(CI187&lt;&gt;CJ187,(CA187-BZ187)/(CI187-CJ187),0)</f>
        <v>1.63896560957951E-012</v>
      </c>
      <c r="CL187" s="0" t="str">
        <f aca="false">IF(AND(BU187&gt;0,CE187&gt;0,CE187&lt;$C$15,CF187&lt;$C$15,CG187&gt;0,ABS(CK187)&lt;0.1*BU187),B187,"")</f>
        <v/>
      </c>
      <c r="CM187" s="0" t="n">
        <f aca="false">CG187+BU187^2/$C$39</f>
        <v>-4.80195541126468E-005</v>
      </c>
      <c r="CN187" s="0" t="n">
        <f aca="false">-BU187*$C$15/$C$39</f>
        <v>0.00426563517376426</v>
      </c>
      <c r="CO187" s="0" t="n">
        <f aca="false">IF(CL187&lt;&gt;"",(-CM187+SQRT(CM187^2-4*$AC$60*CN187))/2/$AC$60,0)</f>
        <v>0</v>
      </c>
      <c r="CP187" s="0" t="n">
        <f aca="false">CO187*30/PI()</f>
        <v>0</v>
      </c>
      <c r="DB187" s="6"/>
    </row>
    <row r="188" customFormat="false" ht="12.75" hidden="false" customHeight="false" outlineLevel="0" collapsed="false">
      <c r="A188" s="0" t="n">
        <f aca="false">A187+0.01</f>
        <v>0.39</v>
      </c>
      <c r="B188" s="0" t="n">
        <f aca="false">A188*$AC$68</f>
        <v>0.766901072081224</v>
      </c>
      <c r="C188" s="0" t="n">
        <f aca="false">$C$39*($B188-$C$21)</f>
        <v>-13.3985935675127</v>
      </c>
      <c r="D188" s="0" t="n">
        <f aca="false">$C$39*($B188-$C$27)</f>
        <v>-7.39859356751266</v>
      </c>
      <c r="E188" s="0" t="n">
        <f aca="false">$AC$71</f>
        <v>0.0474257507541105</v>
      </c>
      <c r="F188" s="0" t="n">
        <f aca="false">-E188*$AC$51</f>
        <v>-4.96641300533647</v>
      </c>
      <c r="G188" s="0" t="n">
        <f aca="false">-E188*$AD$51</f>
        <v>-2.48320650266823</v>
      </c>
      <c r="H188" s="0" t="n">
        <f aca="false">(-F188+SQRT(F188^2-4*$C188))/2</f>
        <v>6.90643022552089</v>
      </c>
      <c r="I188" s="0" t="n">
        <f aca="false">(-G188+SQRT(G188^2-4*$D188))/2</f>
        <v>4.23161532509504</v>
      </c>
      <c r="J188" s="0" t="n">
        <f aca="false">IF(H188&lt;&gt;0,($C$21-$B188)*$E188/H188/$AC$51-$AC$60*$AC$51,0)</f>
        <v>0.000121931194245723</v>
      </c>
      <c r="K188" s="0" t="n">
        <f aca="false">IF(I188&lt;&gt;0,($C$27-$B188)*$E188/I188/$AD$51-$AC$60*$AD$51,0)</f>
        <v>0.000251690221063041</v>
      </c>
      <c r="L188" s="0" t="n">
        <f aca="false">E188*1.001</f>
        <v>0.0474731765048646</v>
      </c>
      <c r="M188" s="0" t="n">
        <f aca="false">-L188*$AC$51</f>
        <v>-4.97137941834181</v>
      </c>
      <c r="N188" s="0" t="n">
        <f aca="false">-L188*$AD$51</f>
        <v>-2.4856897091709</v>
      </c>
      <c r="O188" s="0" t="n">
        <f aca="false">(-M188+SQRT(M188^2-4*$C188))/2</f>
        <v>6.91030798624191</v>
      </c>
      <c r="P188" s="0" t="n">
        <f aca="false">(-N188+SQRT(N188^2-4*$D188))/2</f>
        <v>4.23337271770296</v>
      </c>
      <c r="Q188" s="0" t="n">
        <f aca="false">IF(O188&lt;&gt;0,($C$21-$B188)*$L188/O188/$AC$51-$AC$60*$AC$51,0)</f>
        <v>0.000121995373462356</v>
      </c>
      <c r="R188" s="0" t="n">
        <f aca="false">IF(P188&lt;&gt;0,($C$27-$B188)*$L188/P188/$AD$51-$AC$60*$AD$51,0)</f>
        <v>0.000251844483296365</v>
      </c>
      <c r="S188" s="0" t="n">
        <f aca="false">(Q188-J188)/($L188-$E188)</f>
        <v>0.00135325673526495</v>
      </c>
      <c r="T188" s="0" t="n">
        <f aca="false">(R188-K188)/($L188-$E188)</f>
        <v>0.00325271041303422</v>
      </c>
      <c r="U188" s="0" t="n">
        <f aca="false">IF(S188&lt;&gt;T188,(K188-J188)/(S188-T188),0)</f>
        <v>-0.0683138674746247</v>
      </c>
      <c r="V188" s="0" t="n">
        <f aca="false">E188+U188</f>
        <v>-0.0208881167205142</v>
      </c>
      <c r="W188" s="0" t="n">
        <f aca="false">-V188*$AC$51</f>
        <v>2.18739846788312</v>
      </c>
      <c r="X188" s="0" t="n">
        <f aca="false">-V188*$AD$51</f>
        <v>1.09369923394156</v>
      </c>
      <c r="Y188" s="0" t="n">
        <f aca="false">(-W188+SQRT(W188^2-4*$C188))/2</f>
        <v>2.72661116991792</v>
      </c>
      <c r="Z188" s="0" t="n">
        <f aca="false">(-X188+SQRT(X188^2-4*$D188))/2</f>
        <v>2.22761214544256</v>
      </c>
      <c r="AA188" s="0" t="n">
        <f aca="false">IF(Y188&lt;&gt;0,($C$21-$B188)*$V188/Y188/$AC$51-$AC$60*$AC$51,0)</f>
        <v>-0.000187865780548013</v>
      </c>
      <c r="AB188" s="0" t="n">
        <f aca="false">IF(Z188&lt;&gt;0,($C$27-$B188)*$V188/Z188/$AD$51-$AC$60*$AD$51,0)</f>
        <v>-0.000233081541477294</v>
      </c>
      <c r="AC188" s="0" t="n">
        <f aca="false">V188*1.001</f>
        <v>-0.0209090048372347</v>
      </c>
      <c r="AD188" s="0" t="n">
        <f aca="false">-AC188*$AC$51</f>
        <v>2.189585866351</v>
      </c>
      <c r="AE188" s="0" t="n">
        <f aca="false">-AC188*$AD$51</f>
        <v>1.0947929331755</v>
      </c>
      <c r="AF188" s="0" t="n">
        <f aca="false">(-AD188+SQRT(AD188^2-4*$C188))/2</f>
        <v>2.72583072455941</v>
      </c>
      <c r="AG188" s="0" t="n">
        <f aca="false">(-AE188+SQRT(AE188^2-4*$D188))/2</f>
        <v>2.22717313231321</v>
      </c>
      <c r="AH188" s="0" t="n">
        <f aca="false">IF(AF188&lt;&gt;0,($C$21-$B188)*$AC188/AF188/$AC$51-$AC$60*$AC$51,0)</f>
        <v>-0.000188075964379609</v>
      </c>
      <c r="AI188" s="0" t="n">
        <f aca="false">IF(AG188&lt;&gt;0,($C$27-$B188)*$AC188/AG188/$AD$51-$AC$60*$AD$51,0)</f>
        <v>-0.000233345944867054</v>
      </c>
      <c r="AJ188" s="0" t="n">
        <f aca="false">(AH188-AA188)/($AC188-$V188)</f>
        <v>0.010062363898535</v>
      </c>
      <c r="AK188" s="0" t="n">
        <f aca="false">(AI188-AB188)/($AC188-$V188)</f>
        <v>0.0126580769964878</v>
      </c>
      <c r="AL188" s="0" t="n">
        <f aca="false">IF(AJ188&lt;&gt;AK188,(AB188-AA188)/(AJ188-AK188),0)</f>
        <v>0.0174193985325036</v>
      </c>
      <c r="AM188" s="0" t="n">
        <f aca="false">V188+AL188</f>
        <v>-0.00346871818801061</v>
      </c>
      <c r="AN188" s="0" t="n">
        <f aca="false">-AM188*$AC$51</f>
        <v>0.363243319227581</v>
      </c>
      <c r="AO188" s="0" t="n">
        <f aca="false">-AM188*$AD$51</f>
        <v>0.181621659613791</v>
      </c>
      <c r="AP188" s="0" t="n">
        <f aca="false">(-AN188+SQRT(AN188^2-4*$C188))/2</f>
        <v>3.48329034407109</v>
      </c>
      <c r="AQ188" s="0" t="n">
        <f aca="false">(-AO188+SQRT(AO188^2-4*$D188))/2</f>
        <v>2.63074023058548</v>
      </c>
      <c r="AR188" s="0" t="n">
        <f aca="false">IF(AP188&lt;&gt;0,($C$21-$B188)*$AM188/AP188/$AC$51-$AC$60*$AC$51,0)</f>
        <v>-4.57374471700387E-005</v>
      </c>
      <c r="AS188" s="0" t="n">
        <f aca="false">IF(AQ188&lt;&gt;0,($C$27-$B188)*$AM188/AQ188/$AD$51-$AC$60*$AD$51,0)</f>
        <v>-4.3303121764544E-005</v>
      </c>
      <c r="AT188" s="0" t="n">
        <f aca="false">AM188*1.001</f>
        <v>-0.00347218690619862</v>
      </c>
      <c r="AU188" s="0" t="n">
        <f aca="false">-AT188*$AC$51</f>
        <v>0.363606562546809</v>
      </c>
      <c r="AV188" s="0" t="n">
        <f aca="false">-AT188*$AD$51</f>
        <v>0.181803281273404</v>
      </c>
      <c r="AW188" s="0" t="n">
        <f aca="false">(-AU188+SQRT(AU188^2-4*$C188))/2</f>
        <v>3.48311772750624</v>
      </c>
      <c r="AX188" s="0" t="n">
        <f aca="false">(-AV188+SQRT(AV188^2-4*$D188))/2</f>
        <v>2.63065245138188</v>
      </c>
      <c r="AY188" s="0" t="n">
        <f aca="false">IF(AW188&lt;&gt;0,($C$21-$B188)*$AT188/AW188/$AC$51-$AC$60*$AC$51,0)</f>
        <v>-4.57597359174089E-005</v>
      </c>
      <c r="AZ188" s="0" t="n">
        <f aca="false">IF(AX188&lt;&gt;0,($C$27-$B188)*$AT188/AX188/$AD$51-$AC$60*$AD$51,0)</f>
        <v>-4.33352109960212E-005</v>
      </c>
      <c r="BA188" s="0" t="n">
        <f aca="false">(AY188-AR188)/($AT188-$AM188)</f>
        <v>0.00642564375718792</v>
      </c>
      <c r="BB188" s="0" t="n">
        <f aca="false">(AZ188-AS188)/($AT188-$AM188)</f>
        <v>0.00925103445651114</v>
      </c>
      <c r="BC188" s="0" t="n">
        <f aca="false">IF(BA188&lt;&gt;BB188,(AS188-AR188)/(BA188-BB188),0)</f>
        <v>-0.000861588949831892</v>
      </c>
      <c r="BD188" s="0" t="n">
        <f aca="false">AM188+BC188</f>
        <v>-0.00433030713784251</v>
      </c>
      <c r="BE188" s="0" t="n">
        <f aca="false">-BD188*$AC$51</f>
        <v>0.453468703067782</v>
      </c>
      <c r="BF188" s="0" t="n">
        <f aca="false">-BD188*$AD$51</f>
        <v>0.226734351533891</v>
      </c>
      <c r="BG188" s="0" t="n">
        <f aca="false">(-BE188+SQRT(BE188^2-4*$C188))/2</f>
        <v>3.44069008990702</v>
      </c>
      <c r="BH188" s="0" t="n">
        <f aca="false">(-BF188+SQRT(BF188^2-4*$D188))/2</f>
        <v>2.6090298716995</v>
      </c>
      <c r="BI188" s="0" t="n">
        <f aca="false">IF(BG188&lt;&gt;0,($C$21-$B188)*$BD188/BG188/$AC$51-$AC$60*$AC$51,0)</f>
        <v>-5.13402778463982E-005</v>
      </c>
      <c r="BJ188" s="0" t="n">
        <f aca="false">IF(BH188&lt;&gt;0,($C$27-$B188)*$BD188/BH188/$AD$51-$AC$60*$AD$51,0)</f>
        <v>-5.13386613639228E-005</v>
      </c>
      <c r="BK188" s="0" t="n">
        <f aca="false">BD188*1.001</f>
        <v>-0.00433463744498035</v>
      </c>
      <c r="BL188" s="0" t="n">
        <f aca="false">-BK188*$AC$51</f>
        <v>0.45392217177085</v>
      </c>
      <c r="BM188" s="0" t="n">
        <f aca="false">-BK188*$AD$51</f>
        <v>0.226961085885425</v>
      </c>
      <c r="BN188" s="0" t="n">
        <f aca="false">(-BL188+SQRT(BL188^2-4*$C188))/2</f>
        <v>3.44047738013128</v>
      </c>
      <c r="BO188" s="0" t="n">
        <f aca="false">(-BM188+SQRT(BM188^2-4*$D188))/2</f>
        <v>2.60892122776257</v>
      </c>
      <c r="BP188" s="0" t="n">
        <f aca="false">IF(BN188&lt;&gt;0,($C$21-$B188)*$BK188/BN188/$AC$51-$AC$60*$AC$51,0)</f>
        <v>-5.13687769362759E-005</v>
      </c>
      <c r="BQ188" s="0" t="n">
        <f aca="false">IF(BO188&lt;&gt;0,($C$27-$B188)*$BK188/BO188/$AD$51-$AC$60*$AD$51,0)</f>
        <v>-5.13793783205769E-005</v>
      </c>
      <c r="BR188" s="0" t="n">
        <f aca="false">(BP188-BI188)/($BK188-$BD188)</f>
        <v>0.00658130912438121</v>
      </c>
      <c r="BS188" s="0" t="n">
        <f aca="false">(BQ188-BJ188)/($BK188-$BD188)</f>
        <v>0.00940278722917268</v>
      </c>
      <c r="BT188" s="0" t="n">
        <f aca="false">IF(BR188&lt;&gt;BS188,(BJ188-BI188)/(BR188-BS188),0)</f>
        <v>-5.72920439333862E-007</v>
      </c>
      <c r="BU188" s="0" t="n">
        <f aca="false">BD188+BT188</f>
        <v>-0.00433088005828184</v>
      </c>
      <c r="BV188" s="0" t="n">
        <f aca="false">-BU188*$AC$51</f>
        <v>0.453528699155892</v>
      </c>
      <c r="BW188" s="0" t="n">
        <f aca="false">-BU188*$AD$51</f>
        <v>0.226764349577946</v>
      </c>
      <c r="BX188" s="0" t="n">
        <f aca="false">(-BV188+SQRT(BV188^2-4*$C188))/2</f>
        <v>3.44066194658019</v>
      </c>
      <c r="BY188" s="0" t="n">
        <f aca="false">(-BW188+SQRT(BW188^2-4*$D188))/2</f>
        <v>2.60901549731416</v>
      </c>
      <c r="BZ188" s="0" t="n">
        <f aca="false">IF(BX188&lt;&gt;0,($C$21-$B188)*$BU188/BX188/$AC$51-$AC$60*$AC$51,0)</f>
        <v>-5.13440482169019E-005</v>
      </c>
      <c r="CA188" s="0" t="n">
        <f aca="false">IF(BY188&lt;&gt;0,($C$27-$B188)*$BU188/BY188/$AD$51-$AC$60*$AD$51,0)</f>
        <v>-5.13440482223197E-005</v>
      </c>
      <c r="CB188" s="0" t="n">
        <f aca="false">BU188*1.001</f>
        <v>-0.00433521093834012</v>
      </c>
      <c r="CC188" s="0" t="n">
        <f aca="false">-CB188*$AC$51</f>
        <v>0.453982227855048</v>
      </c>
      <c r="CD188" s="0" t="n">
        <f aca="false">-CB188*$AD$51</f>
        <v>0.226991113927524</v>
      </c>
      <c r="CE188" s="0" t="n">
        <f aca="false">(-CC188+SQRT(CC188^2-4*$C188))/2</f>
        <v>3.44044921051059</v>
      </c>
      <c r="CF188" s="0" t="n">
        <f aca="false">(-CD188+SQRT(CD188^2-4*$D188))/2</f>
        <v>2.60890683962701</v>
      </c>
      <c r="CG188" s="0" t="n">
        <f aca="false">IF(CE188&lt;&gt;0,($C$21-$B188)*$CB188/CE188/$AC$51-$AC$60*$AC$51,0)</f>
        <v>-5.13725515294364E-005</v>
      </c>
      <c r="CH188" s="0" t="n">
        <f aca="false">IF(CF188&lt;&gt;0,($C$27-$B188)*$CB188/CF188/$AD$51-$AC$60*$AD$51,0)</f>
        <v>-5.13847710056151E-005</v>
      </c>
      <c r="CI188" s="0" t="n">
        <f aca="false">(CG188-BZ188)/($CB188-$BU188)</f>
        <v>0.00658141351202151</v>
      </c>
      <c r="CJ188" s="0" t="n">
        <f aca="false">(CH188-CA188)/($CB188-$BU188)</f>
        <v>0.00940288873100668</v>
      </c>
      <c r="CK188" s="0" t="n">
        <f aca="false">IF(CI188&lt;&gt;CJ188,(CA188-BZ188)/(CI188-CJ188),0)</f>
        <v>1.92021038571961E-012</v>
      </c>
      <c r="CL188" s="0" t="str">
        <f aca="false">IF(AND(BU188&gt;0,CE188&gt;0,CE188&lt;$C$15,CF188&lt;$C$15,CG188&gt;0,ABS(CK188)&lt;0.1*BU188),B188,"")</f>
        <v/>
      </c>
      <c r="CM188" s="0" t="n">
        <f aca="false">CG188+BU188^2/$C$39</f>
        <v>-4.82464645162325E-005</v>
      </c>
      <c r="CN188" s="0" t="n">
        <f aca="false">-BU188*$C$15/$C$39</f>
        <v>0.00433088005828184</v>
      </c>
      <c r="CO188" s="0" t="n">
        <f aca="false">IF(CL188&lt;&gt;"",(-CM188+SQRT(CM188^2-4*$AC$60*CN188))/2/$AC$60,0)</f>
        <v>0</v>
      </c>
      <c r="CP188" s="0" t="n">
        <f aca="false">CO188*30/PI()</f>
        <v>0</v>
      </c>
      <c r="DB188" s="6"/>
    </row>
    <row r="189" customFormat="false" ht="12.75" hidden="false" customHeight="false" outlineLevel="0" collapsed="false">
      <c r="A189" s="0" t="n">
        <f aca="false">A188+0.01</f>
        <v>0.4</v>
      </c>
      <c r="B189" s="0" t="n">
        <f aca="false">A189*$AC$68</f>
        <v>0.786565202134588</v>
      </c>
      <c r="C189" s="0" t="n">
        <f aca="false">$C$39*($B189-$C$21)</f>
        <v>-13.2806087871925</v>
      </c>
      <c r="D189" s="0" t="n">
        <f aca="false">$C$39*($B189-$C$27)</f>
        <v>-7.28060878719247</v>
      </c>
      <c r="E189" s="0" t="n">
        <f aca="false">$AC$71</f>
        <v>0.0474257507541105</v>
      </c>
      <c r="F189" s="0" t="n">
        <f aca="false">-E189*$AC$51</f>
        <v>-4.96641300533647</v>
      </c>
      <c r="G189" s="0" t="n">
        <f aca="false">-E189*$AD$51</f>
        <v>-2.48320650266823</v>
      </c>
      <c r="H189" s="0" t="n">
        <f aca="false">(-F189+SQRT(F189^2-4*$C189))/2</f>
        <v>6.89307309045593</v>
      </c>
      <c r="I189" s="0" t="n">
        <f aca="false">(-G189+SQRT(G189^2-4*$D189))/2</f>
        <v>4.21181998095435</v>
      </c>
      <c r="J189" s="0" t="n">
        <f aca="false">IF(H189&lt;&gt;0,($C$21-$B189)*$E189/H189/$AC$51-$AC$60*$AC$51,0)</f>
        <v>0.000120922991992551</v>
      </c>
      <c r="K189" s="0" t="n">
        <f aca="false">IF(I189&lt;&gt;0,($C$27-$B189)*$E189/I189/$AD$51-$AC$60*$AD$51,0)</f>
        <v>0.00024870189902124</v>
      </c>
      <c r="L189" s="0" t="n">
        <f aca="false">E189*1.001</f>
        <v>0.0474731765048646</v>
      </c>
      <c r="M189" s="0" t="n">
        <f aca="false">-L189*$AC$51</f>
        <v>-4.97137941834181</v>
      </c>
      <c r="N189" s="0" t="n">
        <f aca="false">-L189*$AD$51</f>
        <v>-2.4856897091709</v>
      </c>
      <c r="O189" s="0" t="n">
        <f aca="false">(-M189+SQRT(M189^2-4*$C189))/2</f>
        <v>6.89695507383336</v>
      </c>
      <c r="P189" s="0" t="n">
        <f aca="false">(-N189+SQRT(N189^2-4*$D189))/2</f>
        <v>4.21358081049974</v>
      </c>
      <c r="Q189" s="0" t="n">
        <f aca="false">IF(O189&lt;&gt;0,($C$21-$B189)*$L189/O189/$AC$51-$AC$60*$AC$51,0)</f>
        <v>0.000120986482053566</v>
      </c>
      <c r="R189" s="0" t="n">
        <f aca="false">IF(P189&lt;&gt;0,($C$27-$B189)*$L189/P189/$AD$51-$AC$60*$AD$51,0)</f>
        <v>0.000248853692294379</v>
      </c>
      <c r="S189" s="0" t="n">
        <f aca="false">(Q189-J189)/($L189-$E189)</f>
        <v>0.00133872548152613</v>
      </c>
      <c r="T189" s="0" t="n">
        <f aca="false">(R189-K189)/($L189-$E189)</f>
        <v>0.0032006509274943</v>
      </c>
      <c r="U189" s="0" t="n">
        <f aca="false">IF(S189&lt;&gt;T189,(K189-J189)/(S189-T189),0)</f>
        <v>-0.0686272950967952</v>
      </c>
      <c r="V189" s="0" t="n">
        <f aca="false">E189+U189</f>
        <v>-0.0212015443426847</v>
      </c>
      <c r="W189" s="0" t="n">
        <f aca="false">-V189*$AC$51</f>
        <v>2.22022053172455</v>
      </c>
      <c r="X189" s="0" t="n">
        <f aca="false">-V189*$AD$51</f>
        <v>1.11011026586228</v>
      </c>
      <c r="Y189" s="0" t="n">
        <f aca="false">(-W189+SQRT(W189^2-4*$C189))/2</f>
        <v>2.69947679700494</v>
      </c>
      <c r="Z189" s="0" t="n">
        <f aca="false">(-X189+SQRT(X189^2-4*$D189))/2</f>
        <v>2.19970347496642</v>
      </c>
      <c r="AA189" s="0" t="n">
        <f aca="false">IF(Y189&lt;&gt;0,($C$21-$B189)*$V189/Y189/$AC$51-$AC$60*$AC$51,0)</f>
        <v>-0.000190508984761055</v>
      </c>
      <c r="AB189" s="0" t="n">
        <f aca="false">IF(Z189&lt;&gt;0,($C$27-$B189)*$V189/Z189/$AD$51-$AC$60*$AD$51,0)</f>
        <v>-0.000235619181210912</v>
      </c>
      <c r="AC189" s="0" t="n">
        <f aca="false">V189*1.001</f>
        <v>-0.0212227458870274</v>
      </c>
      <c r="AD189" s="0" t="n">
        <f aca="false">-AC189*$AC$51</f>
        <v>2.22244075225628</v>
      </c>
      <c r="AE189" s="0" t="n">
        <f aca="false">-AC189*$AD$51</f>
        <v>1.11122037612814</v>
      </c>
      <c r="AF189" s="0" t="n">
        <f aca="false">(-AD189+SQRT(AD189^2-4*$C189))/2</f>
        <v>2.69869031987444</v>
      </c>
      <c r="AG189" s="0" t="n">
        <f aca="false">(-AE189+SQRT(AE189^2-4*$D189))/2</f>
        <v>2.1992603113012</v>
      </c>
      <c r="AH189" s="0" t="n">
        <f aca="false">IF(AF189&lt;&gt;0,($C$21-$B189)*$AC189/AF189/$AC$51-$AC$60*$AC$51,0)</f>
        <v>-0.000190723419233941</v>
      </c>
      <c r="AI189" s="0" t="n">
        <f aca="false">IF(AG189&lt;&gt;0,($C$27-$B189)*$AC189/AG189/$AD$51-$AC$60*$AD$51,0)</f>
        <v>-0.000235887604301734</v>
      </c>
      <c r="AJ189" s="0" t="n">
        <f aca="false">(AH189-AA189)/($AC189-$V189)</f>
        <v>0.0101140968516224</v>
      </c>
      <c r="AK189" s="0" t="n">
        <f aca="false">(AI189-AB189)/($AC189-$V189)</f>
        <v>0.0126605442737197</v>
      </c>
      <c r="AL189" s="0" t="n">
        <f aca="false">IF(AJ189&lt;&gt;AK189,(AB189-AA189)/(AJ189-AK189),0)</f>
        <v>0.017714953019805</v>
      </c>
      <c r="AM189" s="0" t="n">
        <f aca="false">V189+AL189</f>
        <v>-0.00348659132287974</v>
      </c>
      <c r="AN189" s="0" t="n">
        <f aca="false">-AM189*$AC$51</f>
        <v>0.365114989534297</v>
      </c>
      <c r="AO189" s="0" t="n">
        <f aca="false">-AM189*$AD$51</f>
        <v>0.182557494767148</v>
      </c>
      <c r="AP189" s="0" t="n">
        <f aca="false">(-AN189+SQRT(AN189^2-4*$C189))/2</f>
        <v>3.46626916953031</v>
      </c>
      <c r="AQ189" s="0" t="n">
        <f aca="false">(-AO189+SQRT(AO189^2-4*$D189))/2</f>
        <v>2.60852505973212</v>
      </c>
      <c r="AR189" s="0" t="n">
        <f aca="false">IF(AP189&lt;&gt;0,($C$21-$B189)*$AM189/AP189/$AC$51-$AC$60*$AC$51,0)</f>
        <v>-4.57627997327208E-005</v>
      </c>
      <c r="AS189" s="0" t="n">
        <f aca="false">IF(AQ189&lt;&gt;0,($C$27-$B189)*$AM189/AQ189/$AD$51-$AC$60*$AD$51,0)</f>
        <v>-4.32269609554186E-005</v>
      </c>
      <c r="AT189" s="0" t="n">
        <f aca="false">AM189*1.001</f>
        <v>-0.00349007791420262</v>
      </c>
      <c r="AU189" s="0" t="n">
        <f aca="false">-AT189*$AC$51</f>
        <v>0.365480104523831</v>
      </c>
      <c r="AV189" s="0" t="n">
        <f aca="false">-AT189*$AD$51</f>
        <v>0.182740052261915</v>
      </c>
      <c r="AW189" s="0" t="n">
        <f aca="false">(-AU189+SQRT(AU189^2-4*$C189))/2</f>
        <v>3.46609575027746</v>
      </c>
      <c r="AX189" s="0" t="n">
        <f aca="false">(-AV189+SQRT(AV189^2-4*$D189))/2</f>
        <v>2.60843686860571</v>
      </c>
      <c r="AY189" s="0" t="n">
        <f aca="false">IF(AW189&lt;&gt;0,($C$21-$B189)*$AT189/AW189/$AC$51-$AC$60*$AC$51,0)</f>
        <v>-4.57851251984434E-005</v>
      </c>
      <c r="AZ189" s="0" t="n">
        <f aca="false">IF(AX189&lt;&gt;0,($C$27-$B189)*$AT189/AX189/$AD$51-$AC$60*$AD$51,0)</f>
        <v>-4.32589851905864E-005</v>
      </c>
      <c r="BA189" s="0" t="n">
        <f aca="false">(AY189-AR189)/($AT189-$AM189)</f>
        <v>0.00640323561185701</v>
      </c>
      <c r="BB189" s="0" t="n">
        <f aca="false">(AZ189-AS189)/($AT189-$AM189)</f>
        <v>0.00918496955972035</v>
      </c>
      <c r="BC189" s="0" t="n">
        <f aca="false">IF(BA189&lt;&gt;BB189,(AS189-AR189)/(BA189-BB189),0)</f>
        <v>-0.000911603634578331</v>
      </c>
      <c r="BD189" s="0" t="n">
        <f aca="false">AM189+BC189</f>
        <v>-0.00439819495745807</v>
      </c>
      <c r="BE189" s="0" t="n">
        <f aca="false">-BD189*$AC$51</f>
        <v>0.460577898913531</v>
      </c>
      <c r="BF189" s="0" t="n">
        <f aca="false">-BD189*$AD$51</f>
        <v>0.230288949456766</v>
      </c>
      <c r="BG189" s="0" t="n">
        <f aca="false">(-BE189+SQRT(BE189^2-4*$C189))/2</f>
        <v>3.42123700381734</v>
      </c>
      <c r="BH189" s="0" t="n">
        <f aca="false">(-BF189+SQRT(BF189^2-4*$D189))/2</f>
        <v>2.58557154833901</v>
      </c>
      <c r="BI189" s="0" t="n">
        <f aca="false">IF(BG189&lt;&gt;0,($C$21-$B189)*$BD189/BG189/$AC$51-$AC$60*$AC$51,0)</f>
        <v>-5.16746227743212E-005</v>
      </c>
      <c r="BJ189" s="0" t="n">
        <f aca="false">IF(BH189&lt;&gt;0,($C$27-$B189)*$BD189/BH189/$AD$51-$AC$60*$AD$51,0)</f>
        <v>-5.16728020268914E-005</v>
      </c>
      <c r="BK189" s="0" t="n">
        <f aca="false">BD189*1.001</f>
        <v>-0.00440259315241553</v>
      </c>
      <c r="BL189" s="0" t="n">
        <f aca="false">-BK189*$AC$51</f>
        <v>0.461038476812445</v>
      </c>
      <c r="BM189" s="0" t="n">
        <f aca="false">-BK189*$AD$51</f>
        <v>0.230519238406222</v>
      </c>
      <c r="BN189" s="0" t="n">
        <f aca="false">(-BL189+SQRT(BL189^2-4*$C189))/2</f>
        <v>3.421021245618</v>
      </c>
      <c r="BO189" s="0" t="n">
        <f aca="false">(-BM189+SQRT(BM189^2-4*$D189))/2</f>
        <v>2.5854613154755</v>
      </c>
      <c r="BP189" s="0" t="n">
        <f aca="false">IF(BN189&lt;&gt;0,($C$21-$B189)*$BK189/BN189/$AC$51-$AC$60*$AC$51,0)</f>
        <v>-5.17035107019829E-005</v>
      </c>
      <c r="BQ189" s="0" t="n">
        <f aca="false">IF(BO189&lt;&gt;0,($C$27-$B189)*$BK189/BO189/$AD$51-$AC$60*$AD$51,0)</f>
        <v>-5.17139062150154E-005</v>
      </c>
      <c r="BR189" s="0" t="n">
        <f aca="false">(BP189-BI189)/($BK189-$BD189)</f>
        <v>0.00656813259556121</v>
      </c>
      <c r="BS189" s="0" t="n">
        <f aca="false">(BQ189-BJ189)/($BK189-$BD189)</f>
        <v>0.00934569488656184</v>
      </c>
      <c r="BT189" s="0" t="n">
        <f aca="false">IF(BR189&lt;&gt;BS189,(BJ189-BI189)/(BR189-BS189),0)</f>
        <v>-6.55519926843305E-007</v>
      </c>
      <c r="BU189" s="0" t="n">
        <f aca="false">BD189+BT189</f>
        <v>-0.00439885047738491</v>
      </c>
      <c r="BV189" s="0" t="n">
        <f aca="false">-BU189*$AC$51</f>
        <v>0.460646544799747</v>
      </c>
      <c r="BW189" s="0" t="n">
        <f aca="false">-BU189*$AD$51</f>
        <v>0.230323272399873</v>
      </c>
      <c r="BX189" s="0" t="n">
        <f aca="false">(-BV189+SQRT(BV189^2-4*$C189))/2</f>
        <v>3.42120484566268</v>
      </c>
      <c r="BY189" s="0" t="n">
        <f aca="false">(-BW189+SQRT(BW189^2-4*$D189))/2</f>
        <v>2.58555511859771</v>
      </c>
      <c r="BZ189" s="0" t="n">
        <f aca="false">IF(BX189&lt;&gt;0,($C$21-$B189)*$BU189/BX189/$AC$51-$AC$60*$AC$51,0)</f>
        <v>-5.16789280923473E-005</v>
      </c>
      <c r="CA189" s="0" t="n">
        <f aca="false">IF(BY189&lt;&gt;0,($C$27-$B189)*$BU189/BY189/$AD$51-$AC$60*$AD$51,0)</f>
        <v>-5.16789280985978E-005</v>
      </c>
      <c r="CB189" s="0" t="n">
        <f aca="false">BU189*1.001</f>
        <v>-0.0044032493278623</v>
      </c>
      <c r="CC189" s="0" t="n">
        <f aca="false">-CB189*$AC$51</f>
        <v>0.461107191344546</v>
      </c>
      <c r="CD189" s="0" t="n">
        <f aca="false">-CB189*$AD$51</f>
        <v>0.230553595672273</v>
      </c>
      <c r="CE189" s="0" t="n">
        <f aca="false">(-CC189+SQRT(CC189^2-4*$C189))/2</f>
        <v>3.42098905746351</v>
      </c>
      <c r="CF189" s="0" t="n">
        <f aca="false">(-CD189+SQRT(CD189^2-4*$D189))/2</f>
        <v>2.58544487003559</v>
      </c>
      <c r="CG189" s="0" t="n">
        <f aca="false">IF(CE189&lt;&gt;0,($C$21-$B189)*$CB189/CE189/$AC$51-$AC$60*$AC$51,0)</f>
        <v>-5.17078208518321E-005</v>
      </c>
      <c r="CH189" s="0" t="n">
        <f aca="false">IF(CF189&lt;&gt;0,($C$27-$B189)*$CB189/CF189/$AD$51-$AC$60*$AD$51,0)</f>
        <v>-5.17200389245894E-005</v>
      </c>
      <c r="CI189" s="0" t="n">
        <f aca="false">(CG189-BZ189)/($CB189-$BU189)</f>
        <v>0.00656825223619905</v>
      </c>
      <c r="CJ189" s="0" t="n">
        <f aca="false">(CH189-CA189)/($CB189-$BU189)</f>
        <v>0.00934581118475512</v>
      </c>
      <c r="CK189" s="0" t="n">
        <f aca="false">IF(CI189&lt;&gt;CJ189,(CA189-BZ189)/(CI189-CJ189),0)</f>
        <v>2.25036950083294E-012</v>
      </c>
      <c r="CL189" s="0" t="str">
        <f aca="false">IF(AND(BU189&gt;0,CE189&gt;0,CE189&lt;$C$15,CF189&lt;$C$15,CG189&gt;0,ABS(CK189)&lt;0.1*BU189),B189,"")</f>
        <v/>
      </c>
      <c r="CM189" s="0" t="n">
        <f aca="false">CG189+BU189^2/$C$39</f>
        <v>-4.84828399314338E-005</v>
      </c>
      <c r="CN189" s="0" t="n">
        <f aca="false">-BU189*$C$15/$C$39</f>
        <v>0.00439885047738491</v>
      </c>
      <c r="CO189" s="0" t="n">
        <f aca="false">IF(CL189&lt;&gt;"",(-CM189+SQRT(CM189^2-4*$AC$60*CN189))/2/$AC$60,0)</f>
        <v>0</v>
      </c>
      <c r="CP189" s="0" t="n">
        <f aca="false">CO189*30/PI()</f>
        <v>0</v>
      </c>
      <c r="DB189" s="6"/>
    </row>
    <row r="190" customFormat="false" ht="12.75" hidden="false" customHeight="false" outlineLevel="0" collapsed="false">
      <c r="A190" s="0" t="n">
        <f aca="false">A189+0.01</f>
        <v>0.41</v>
      </c>
      <c r="B190" s="0" t="n">
        <f aca="false">A190*$AC$68</f>
        <v>0.806229332187953</v>
      </c>
      <c r="C190" s="0" t="n">
        <f aca="false">$C$39*($B190-$C$21)</f>
        <v>-13.1626240068723</v>
      </c>
      <c r="D190" s="0" t="n">
        <f aca="false">$C$39*($B190-$C$27)</f>
        <v>-7.16262400687228</v>
      </c>
      <c r="E190" s="0" t="n">
        <f aca="false">$AC$71</f>
        <v>0.0474257507541105</v>
      </c>
      <c r="F190" s="0" t="n">
        <f aca="false">-E190*$AC$51</f>
        <v>-4.96641300533647</v>
      </c>
      <c r="G190" s="0" t="n">
        <f aca="false">-E190*$AD$51</f>
        <v>-2.48320650266823</v>
      </c>
      <c r="H190" s="0" t="n">
        <f aca="false">(-F190+SQRT(F190^2-4*$C190))/2</f>
        <v>6.87967537458876</v>
      </c>
      <c r="I190" s="0" t="n">
        <f aca="false">(-G190+SQRT(G190^2-4*$D190))/2</f>
        <v>4.19189182037202</v>
      </c>
      <c r="J190" s="0" t="n">
        <f aca="false">IF(H190&lt;&gt;0,($C$21-$B190)*$E190/H190/$AC$51-$AC$60*$AC$51,0)</f>
        <v>0.000119911726683115</v>
      </c>
      <c r="K190" s="0" t="n">
        <f aca="false">IF(I190&lt;&gt;0,($C$27-$B190)*$E190/I190/$AD$51-$AC$60*$AD$51,0)</f>
        <v>0.000245693526896084</v>
      </c>
      <c r="L190" s="0" t="n">
        <f aca="false">E190*1.001</f>
        <v>0.0474731765048646</v>
      </c>
      <c r="M190" s="0" t="n">
        <f aca="false">-L190*$AC$51</f>
        <v>-4.97137941834181</v>
      </c>
      <c r="N190" s="0" t="n">
        <f aca="false">-L190*$AD$51</f>
        <v>-2.4856897091709</v>
      </c>
      <c r="O190" s="0" t="n">
        <f aca="false">(-M190+SQRT(M190^2-4*$C190))/2</f>
        <v>6.88356161921449</v>
      </c>
      <c r="P190" s="0" t="n">
        <f aca="false">(-N190+SQRT(N190^2-4*$D190))/2</f>
        <v>4.19365615648902</v>
      </c>
      <c r="Q190" s="0" t="n">
        <f aca="false">IF(O190&lt;&gt;0,($C$21-$B190)*$L190/O190/$AC$51-$AC$60*$AC$51,0)</f>
        <v>0.000119974527441301</v>
      </c>
      <c r="R190" s="0" t="n">
        <f aca="false">IF(P190&lt;&gt;0,($C$27-$B190)*$L190/P190/$AD$51-$AC$60*$AD$51,0)</f>
        <v>0.000245842841681494</v>
      </c>
      <c r="S190" s="0" t="n">
        <f aca="false">(Q190-J190)/($L190-$E190)</f>
        <v>0.0013241911237582</v>
      </c>
      <c r="T190" s="0" t="n">
        <f aca="false">(R190-K190)/($L190-$E190)</f>
        <v>0.00314839054806623</v>
      </c>
      <c r="U190" s="0" t="n">
        <f aca="false">IF(S190&lt;&gt;T190,(K190-J190)/(S190-T190),0)</f>
        <v>-0.0689517815524378</v>
      </c>
      <c r="V190" s="0" t="n">
        <f aca="false">E190+U190</f>
        <v>-0.0215260307983274</v>
      </c>
      <c r="W190" s="0" t="n">
        <f aca="false">-V190*$AC$51</f>
        <v>2.25420067389909</v>
      </c>
      <c r="X190" s="0" t="n">
        <f aca="false">-V190*$AD$51</f>
        <v>1.12710033694955</v>
      </c>
      <c r="Y190" s="0" t="n">
        <f aca="false">(-W190+SQRT(W190^2-4*$C190))/2</f>
        <v>2.67197575815885</v>
      </c>
      <c r="Z190" s="0" t="n">
        <f aca="false">(-X190+SQRT(X190^2-4*$D190))/2</f>
        <v>2.17144760104173</v>
      </c>
      <c r="AA190" s="0" t="n">
        <f aca="false">IF(Y190&lt;&gt;0,($C$21-$B190)*$V190/Y190/$AC$51-$AC$60*$AC$51,0)</f>
        <v>-0.000193271667129891</v>
      </c>
      <c r="AB190" s="0" t="n">
        <f aca="false">IF(Z190&lt;&gt;0,($C$27-$B190)*$V190/Z190/$AD$51-$AC$60*$AD$51,0)</f>
        <v>-0.000238265869698047</v>
      </c>
      <c r="AC190" s="0" t="n">
        <f aca="false">V190*1.001</f>
        <v>-0.0215475568291257</v>
      </c>
      <c r="AD190" s="0" t="n">
        <f aca="false">-AC190*$AC$51</f>
        <v>2.25645487457299</v>
      </c>
      <c r="AE190" s="0" t="n">
        <f aca="false">-AC190*$AD$51</f>
        <v>1.1282274372865</v>
      </c>
      <c r="AF190" s="0" t="n">
        <f aca="false">(-AD190+SQRT(AD190^2-4*$C190))/2</f>
        <v>2.67118319557728</v>
      </c>
      <c r="AG190" s="0" t="n">
        <f aca="false">(-AE190+SQRT(AE190^2-4*$D190))/2</f>
        <v>2.17100022677727</v>
      </c>
      <c r="AH190" s="0" t="n">
        <f aca="false">IF(AF190&lt;&gt;0,($C$21-$B190)*$AC190/AF190/$AC$51-$AC$60*$AC$51,0)</f>
        <v>-0.000193490562083212</v>
      </c>
      <c r="AI190" s="0" t="n">
        <f aca="false">IF(AG190&lt;&gt;0,($C$27-$B190)*$AC190/AG190/$AD$51-$AC$60*$AD$51,0)</f>
        <v>-0.000238538505555469</v>
      </c>
      <c r="AJ190" s="0" t="n">
        <f aca="false">(AH190-AA190)/($AC190-$V190)</f>
        <v>0.0101688488403808</v>
      </c>
      <c r="AK190" s="0" t="n">
        <f aca="false">(AI190-AB190)/($AC190-$V190)</f>
        <v>0.0126654031101431</v>
      </c>
      <c r="AL190" s="0" t="n">
        <f aca="false">IF(AJ190&lt;&gt;AK190,(AB190-AA190)/(AJ190-AK190),0)</f>
        <v>0.0180225213259391</v>
      </c>
      <c r="AM190" s="0" t="n">
        <f aca="false">V190+AL190</f>
        <v>-0.00350350947238825</v>
      </c>
      <c r="AN190" s="0" t="n">
        <f aca="false">-AM190*$AC$51</f>
        <v>0.366886654007906</v>
      </c>
      <c r="AO190" s="0" t="n">
        <f aca="false">-AM190*$AD$51</f>
        <v>0.183443327003953</v>
      </c>
      <c r="AP190" s="0" t="n">
        <f aca="false">(-AN190+SQRT(AN190^2-4*$C190))/2</f>
        <v>3.4492244889537</v>
      </c>
      <c r="AQ190" s="0" t="n">
        <f aca="false">(-AO190+SQRT(AO190^2-4*$D190))/2</f>
        <v>2.58615751047654</v>
      </c>
      <c r="AR190" s="0" t="n">
        <f aca="false">IF(AP190&lt;&gt;0,($C$21-$B190)*$AM190/AP190/$AC$51-$AC$60*$AC$51,0)</f>
        <v>-4.57808013877505E-005</v>
      </c>
      <c r="AS190" s="0" t="n">
        <f aca="false">IF(AQ190&lt;&gt;0,($C$27-$B190)*$AM190/AQ190/$AD$51-$AC$60*$AD$51,0)</f>
        <v>-4.31377022570358E-005</v>
      </c>
      <c r="AT190" s="0" t="n">
        <f aca="false">AM190*1.001</f>
        <v>-0.00350701298186064</v>
      </c>
      <c r="AU190" s="0" t="n">
        <f aca="false">-AT190*$AC$51</f>
        <v>0.367253540661914</v>
      </c>
      <c r="AV190" s="0" t="n">
        <f aca="false">-AT190*$AD$51</f>
        <v>0.183626770330957</v>
      </c>
      <c r="AW190" s="0" t="n">
        <f aca="false">(-AU190+SQRT(AU190^2-4*$C190))/2</f>
        <v>3.4490503138116</v>
      </c>
      <c r="AX190" s="0" t="n">
        <f aca="false">(-AV190+SQRT(AV190^2-4*$D190))/2</f>
        <v>2.58606893199632</v>
      </c>
      <c r="AY190" s="0" t="n">
        <f aca="false">IF(AW190&lt;&gt;0,($C$21-$B190)*$AT190/AW190/$AC$51-$AC$60*$AC$51,0)</f>
        <v>-4.58031556915381E-005</v>
      </c>
      <c r="AZ190" s="0" t="n">
        <f aca="false">IF(AX190&lt;&gt;0,($C$27-$B190)*$AT190/AX190/$AD$51-$AC$60*$AD$51,0)</f>
        <v>-4.31696478850171E-005</v>
      </c>
      <c r="BA190" s="0" t="n">
        <f aca="false">(AY190-AR190)/($AT190-$AM190)</f>
        <v>0.00638054612490011</v>
      </c>
      <c r="BB190" s="0" t="n">
        <f aca="false">(AZ190-AS190)/($AT190-$AM190)</f>
        <v>0.00911817942353661</v>
      </c>
      <c r="BC190" s="0" t="n">
        <f aca="false">IF(BA190&lt;&gt;BB190,(AS190-AR190)/(BA190-BB190),0)</f>
        <v>-0.000965468652076635</v>
      </c>
      <c r="BD190" s="0" t="n">
        <f aca="false">AM190+BC190</f>
        <v>-0.00446897812446488</v>
      </c>
      <c r="BE190" s="0" t="n">
        <f aca="false">-BD190*$AC$51</f>
        <v>0.467990294829079</v>
      </c>
      <c r="BF190" s="0" t="n">
        <f aca="false">-BD190*$AD$51</f>
        <v>0.233995147414539</v>
      </c>
      <c r="BG190" s="0" t="n">
        <f aca="false">(-BE190+SQRT(BE190^2-4*$C190))/2</f>
        <v>3.40157602310129</v>
      </c>
      <c r="BH190" s="0" t="n">
        <f aca="false">(-BF190+SQRT(BF190^2-4*$D190))/2</f>
        <v>2.56186644656805</v>
      </c>
      <c r="BI190" s="0" t="n">
        <f aca="false">IF(BG190&lt;&gt;0,($C$21-$B190)*$BD190/BG190/$AC$51-$AC$60*$AC$51,0)</f>
        <v>-5.20248090003569E-005</v>
      </c>
      <c r="BJ190" s="0" t="n">
        <f aca="false">IF(BH190&lt;&gt;0,($C$27-$B190)*$BD190/BH190/$AD$51-$AC$60*$AD$51,0)</f>
        <v>-5.20227546539558E-005</v>
      </c>
      <c r="BK190" s="0" t="n">
        <f aca="false">BD190*1.001</f>
        <v>-0.00447344710258935</v>
      </c>
      <c r="BL190" s="0" t="n">
        <f aca="false">-BK190*$AC$51</f>
        <v>0.468458285123908</v>
      </c>
      <c r="BM190" s="0" t="n">
        <f aca="false">-BK190*$AD$51</f>
        <v>0.234229142561954</v>
      </c>
      <c r="BN190" s="0" t="n">
        <f aca="false">(-BL190+SQRT(BL190^2-4*$C190))/2</f>
        <v>3.40135709601053</v>
      </c>
      <c r="BO190" s="0" t="n">
        <f aca="false">(-BM190+SQRT(BM190^2-4*$D190))/2</f>
        <v>2.56175456133424</v>
      </c>
      <c r="BP190" s="0" t="n">
        <f aca="false">IF(BN190&lt;&gt;0,($C$21-$B190)*$BK190/BN190/$AC$51-$AC$60*$AC$51,0)</f>
        <v>-5.20541049344965E-005</v>
      </c>
      <c r="BQ190" s="0" t="n">
        <f aca="false">IF(BO190&lt;&gt;0,($C$27-$B190)*$BK190/BO190/$AD$51-$AC$60*$AD$51,0)</f>
        <v>-5.20642651168951E-005</v>
      </c>
      <c r="BR190" s="0" t="n">
        <f aca="false">(BP190-BI190)/($BK190-$BD190)</f>
        <v>0.00655539886829736</v>
      </c>
      <c r="BS190" s="0" t="n">
        <f aca="false">(BQ190-BJ190)/($BK190-$BD190)</f>
        <v>0.00928858047259306</v>
      </c>
      <c r="BT190" s="0" t="n">
        <f aca="false">IF(BR190&lt;&gt;BS190,(BJ190-BI190)/(BR190-BS190),0)</f>
        <v>-7.51631870320732E-007</v>
      </c>
      <c r="BU190" s="0" t="n">
        <f aca="false">BD190+BT190</f>
        <v>-0.0044697297563352</v>
      </c>
      <c r="BV190" s="0" t="n">
        <f aca="false">-BU190*$AC$51</f>
        <v>0.468069005534479</v>
      </c>
      <c r="BW190" s="0" t="n">
        <f aca="false">-BU190*$AD$51</f>
        <v>0.23403450276724</v>
      </c>
      <c r="BX190" s="0" t="n">
        <f aca="false">(-BV190+SQRT(BV190^2-4*$C190))/2</f>
        <v>3.40153920097716</v>
      </c>
      <c r="BY190" s="0" t="n">
        <f aca="false">(-BW190+SQRT(BW190^2-4*$D190))/2</f>
        <v>2.56184762837304</v>
      </c>
      <c r="BZ190" s="0" t="n">
        <f aca="false">IF(BX190&lt;&gt;0,($C$21-$B190)*$BU190/BX190/$AC$51-$AC$60*$AC$51,0)</f>
        <v>-5.20297359917724E-005</v>
      </c>
      <c r="CA190" s="0" t="n">
        <f aca="false">IF(BY190&lt;&gt;0,($C$27-$B190)*$BU190/BY190/$AD$51-$AC$60*$AD$51,0)</f>
        <v>-5.20297359989795E-005</v>
      </c>
      <c r="CB190" s="0" t="n">
        <f aca="false">BU190*1.001</f>
        <v>-0.00447419948609154</v>
      </c>
      <c r="CC190" s="0" t="n">
        <f aca="false">-CB190*$AC$51</f>
        <v>0.468537074540013</v>
      </c>
      <c r="CD190" s="0" t="n">
        <f aca="false">-CB190*$AD$51</f>
        <v>0.234268537270007</v>
      </c>
      <c r="CE190" s="0" t="n">
        <f aca="false">(-CC190+SQRT(CC190^2-4*$C190))/2</f>
        <v>3.40132023958951</v>
      </c>
      <c r="CF190" s="0" t="n">
        <f aca="false">(-CD190+SQRT(CD190^2-4*$D190))/2</f>
        <v>2.56173572517973</v>
      </c>
      <c r="CG190" s="0" t="n">
        <f aca="false">IF(CE190&lt;&gt;0,($C$21-$B190)*$CB190/CE190/$AC$51-$AC$60*$AC$51,0)</f>
        <v>-5.20590374674123E-005</v>
      </c>
      <c r="CH190" s="0" t="n">
        <f aca="false">IF(CF190&lt;&gt;0,($C$27-$B190)*$CB190/CF190/$AD$51-$AC$60*$AD$51,0)</f>
        <v>-5.20712540404221E-005</v>
      </c>
      <c r="CI190" s="0" t="n">
        <f aca="false">(CG190-BZ190)/($CB190-$BU190)</f>
        <v>0.0065555362935266</v>
      </c>
      <c r="CJ190" s="0" t="n">
        <f aca="false">(CH190-CA190)/($CB190-$BU190)</f>
        <v>0.00928871401762181</v>
      </c>
      <c r="CK190" s="0" t="n">
        <f aca="false">IF(CI190&lt;&gt;CJ190,(CA190-BZ190)/(CI190-CJ190),0)</f>
        <v>2.63687360784526E-012</v>
      </c>
      <c r="CL190" s="0" t="str">
        <f aca="false">IF(AND(BU190&gt;0,CE190&gt;0,CE190&lt;$C$15,CF190&lt;$C$15,CG190&gt;0,ABS(CK190)&lt;0.1*BU190),B190,"")</f>
        <v/>
      </c>
      <c r="CM190" s="0" t="n">
        <f aca="false">CG190+BU190^2/$C$39</f>
        <v>-4.87292901183009E-005</v>
      </c>
      <c r="CN190" s="0" t="n">
        <f aca="false">-BU190*$C$15/$C$39</f>
        <v>0.0044697297563352</v>
      </c>
      <c r="CO190" s="0" t="n">
        <f aca="false">IF(CL190&lt;&gt;"",(-CM190+SQRT(CM190^2-4*$AC$60*CN190))/2/$AC$60,0)</f>
        <v>0</v>
      </c>
      <c r="CP190" s="0" t="n">
        <f aca="false">CO190*30/PI()</f>
        <v>0</v>
      </c>
      <c r="DB190" s="6"/>
    </row>
    <row r="191" customFormat="false" ht="12.75" hidden="false" customHeight="false" outlineLevel="0" collapsed="false">
      <c r="A191" s="0" t="n">
        <f aca="false">A190+0.01</f>
        <v>0.42</v>
      </c>
      <c r="B191" s="0" t="n">
        <f aca="false">A191*$AC$68</f>
        <v>0.825893462241318</v>
      </c>
      <c r="C191" s="0" t="n">
        <f aca="false">$C$39*($B191-$C$21)</f>
        <v>-13.0446392265521</v>
      </c>
      <c r="D191" s="0" t="n">
        <f aca="false">$C$39*($B191-$C$27)</f>
        <v>-7.0446392265521</v>
      </c>
      <c r="E191" s="0" t="n">
        <f aca="false">$AC$71</f>
        <v>0.0474257507541105</v>
      </c>
      <c r="F191" s="0" t="n">
        <f aca="false">-E191*$AC$51</f>
        <v>-4.96641300533647</v>
      </c>
      <c r="G191" s="0" t="n">
        <f aca="false">-E191*$AD$51</f>
        <v>-2.48320650266823</v>
      </c>
      <c r="H191" s="0" t="n">
        <f aca="false">(-F191+SQRT(F191^2-4*$C191))/2</f>
        <v>6.86623670578638</v>
      </c>
      <c r="I191" s="0" t="n">
        <f aca="false">(-G191+SQRT(G191^2-4*$D191))/2</f>
        <v>4.17182813353609</v>
      </c>
      <c r="J191" s="0" t="n">
        <f aca="false">IF(H191&lt;&gt;0,($C$21-$B191)*$E191/H191/$AC$51-$AC$60*$AC$51,0)</f>
        <v>0.000118897370228658</v>
      </c>
      <c r="K191" s="0" t="n">
        <f aca="false">IF(I191&lt;&gt;0,($C$27-$B191)*$E191/I191/$AD$51-$AC$60*$AD$51,0)</f>
        <v>0.000242664695612047</v>
      </c>
      <c r="L191" s="0" t="n">
        <f aca="false">E191*1.001</f>
        <v>0.0474731765048646</v>
      </c>
      <c r="M191" s="0" t="n">
        <f aca="false">-L191*$AC$51</f>
        <v>-4.97137941834181</v>
      </c>
      <c r="N191" s="0" t="n">
        <f aca="false">-L191*$AD$51</f>
        <v>-2.4856897091709</v>
      </c>
      <c r="O191" s="0" t="n">
        <f aca="false">(-M191+SQRT(M191^2-4*$C191))/2</f>
        <v>6.87012725084375</v>
      </c>
      <c r="P191" s="0" t="n">
        <f aca="false">(-N191+SQRT(N191^2-4*$D191))/2</f>
        <v>4.1735960482424</v>
      </c>
      <c r="Q191" s="0" t="n">
        <f aca="false">IF(O191&lt;&gt;0,($C$21-$B191)*$L191/O191/$AC$51-$AC$60*$AC$51,0)</f>
        <v>0.000118959481553403</v>
      </c>
      <c r="R191" s="0" t="n">
        <f aca="false">IF(P191&lt;&gt;0,($C$27-$B191)*$L191/P191/$AD$51-$AC$60*$AD$51,0)</f>
        <v>0.000242811522333296</v>
      </c>
      <c r="S191" s="0" t="n">
        <f aca="false">(Q191-J191)/($L191-$E191)</f>
        <v>0.00130965401194317</v>
      </c>
      <c r="T191" s="0" t="n">
        <f aca="false">(R191-K191)/($L191-$E191)</f>
        <v>0.00309592824392724</v>
      </c>
      <c r="U191" s="0" t="n">
        <f aca="false">IF(S191&lt;&gt;T191,(K191-J191)/(S191-T191),0)</f>
        <v>-0.0692879755903529</v>
      </c>
      <c r="V191" s="0" t="n">
        <f aca="false">E191+U191</f>
        <v>-0.0218622248362424</v>
      </c>
      <c r="W191" s="0" t="n">
        <f aca="false">-V191*$AC$51</f>
        <v>2.28940683122225</v>
      </c>
      <c r="X191" s="0" t="n">
        <f aca="false">-V191*$AD$51</f>
        <v>1.14470341561113</v>
      </c>
      <c r="Y191" s="0" t="n">
        <f aca="false">(-W191+SQRT(W191^2-4*$C191))/2</f>
        <v>2.6440939049464</v>
      </c>
      <c r="Z191" s="0" t="n">
        <f aca="false">(-X191+SQRT(X191^2-4*$D191))/2</f>
        <v>2.14283257764912</v>
      </c>
      <c r="AA191" s="0" t="n">
        <f aca="false">IF(Y191&lt;&gt;0,($C$21-$B191)*$V191/Y191/$AC$51-$AC$60*$AC$51,0)</f>
        <v>-0.000196162361324979</v>
      </c>
      <c r="AB191" s="0" t="n">
        <f aca="false">IF(Z191&lt;&gt;0,($C$27-$B191)*$V191/Z191/$AD$51-$AC$60*$AD$51,0)</f>
        <v>-0.000241029456943974</v>
      </c>
      <c r="AC191" s="0" t="n">
        <f aca="false">V191*1.001</f>
        <v>-0.0218840870610787</v>
      </c>
      <c r="AD191" s="0" t="n">
        <f aca="false">-AC191*$AC$51</f>
        <v>2.29169623805347</v>
      </c>
      <c r="AE191" s="0" t="n">
        <f aca="false">-AC191*$AD$51</f>
        <v>1.14584811902674</v>
      </c>
      <c r="AF191" s="0" t="n">
        <f aca="false">(-AD191+SQRT(AD191^2-4*$C191))/2</f>
        <v>2.64329520611012</v>
      </c>
      <c r="AG191" s="0" t="n">
        <f aca="false">(-AE191+SQRT(AE191^2-4*$D191))/2</f>
        <v>2.14238093339652</v>
      </c>
      <c r="AH191" s="0" t="n">
        <f aca="false">IF(AF191&lt;&gt;0,($C$21-$B191)*$AC191/AF191/$AC$51-$AC$60*$AC$51,0)</f>
        <v>-0.000196385942325698</v>
      </c>
      <c r="AI191" s="0" t="n">
        <f aca="false">IF(AG191&lt;&gt;0,($C$27-$B191)*$AC191/AG191/$AD$51-$AC$60*$AD$51,0)</f>
        <v>-0.000241306513289914</v>
      </c>
      <c r="AJ191" s="0" t="n">
        <f aca="false">(AH191-AA191)/($AC191-$V191)</f>
        <v>0.0102268182855707</v>
      </c>
      <c r="AK191" s="0" t="n">
        <f aca="false">(AI191-AB191)/($AC191-$V191)</f>
        <v>0.0126728339872101</v>
      </c>
      <c r="AL191" s="0" t="n">
        <f aca="false">IF(AJ191&lt;&gt;AK191,(AB191-AA191)/(AJ191-AK191),0)</f>
        <v>0.018342930337251</v>
      </c>
      <c r="AM191" s="0" t="n">
        <f aca="false">V191+AL191</f>
        <v>-0.00351929449899147</v>
      </c>
      <c r="AN191" s="0" t="n">
        <f aca="false">-AM191*$AC$51</f>
        <v>0.368539658128353</v>
      </c>
      <c r="AO191" s="0" t="n">
        <f aca="false">-AM191*$AD$51</f>
        <v>0.184269829064176</v>
      </c>
      <c r="AP191" s="0" t="n">
        <f aca="false">(-AN191+SQRT(AN191^2-4*$C191))/2</f>
        <v>3.4321641322374</v>
      </c>
      <c r="AQ191" s="0" t="n">
        <f aca="false">(-AO191+SQRT(AO191^2-4*$D191))/2</f>
        <v>2.56363767908882</v>
      </c>
      <c r="AR191" s="0" t="n">
        <f aca="false">IF(AP191&lt;&gt;0,($C$21-$B191)*$AM191/AP191/$AC$51-$AC$60*$AC$51,0)</f>
        <v>-4.5790373610093E-005</v>
      </c>
      <c r="AS191" s="0" t="n">
        <f aca="false">IF(AQ191&lt;&gt;0,($C$27-$B191)*$AM191/AQ191/$AD$51-$AC$60*$AD$51,0)</f>
        <v>-4.3033847316995E-005</v>
      </c>
      <c r="AT191" s="0" t="n">
        <f aca="false">AM191*1.001</f>
        <v>-0.00352281379349046</v>
      </c>
      <c r="AU191" s="0" t="n">
        <f aca="false">-AT191*$AC$51</f>
        <v>0.368908197786481</v>
      </c>
      <c r="AV191" s="0" t="n">
        <f aca="false">-AT191*$AD$51</f>
        <v>0.184454098893241</v>
      </c>
      <c r="AW191" s="0" t="n">
        <f aca="false">(-AU191+SQRT(AU191^2-4*$C191))/2</f>
        <v>3.4319892562764</v>
      </c>
      <c r="AX191" s="0" t="n">
        <f aca="false">(-AV191+SQRT(AV191^2-4*$D191))/2</f>
        <v>2.56354874214455</v>
      </c>
      <c r="AY191" s="0" t="n">
        <f aca="false">IF(AW191&lt;&gt;0,($C$21-$B191)*$AT191/AW191/$AC$51-$AC$60*$AC$51,0)</f>
        <v>-4.58127476710158E-005</v>
      </c>
      <c r="AZ191" s="0" t="n">
        <f aca="false">IF(AX191&lt;&gt;0,($C$27-$B191)*$AT191/AX191/$AD$51-$AC$60*$AD$51,0)</f>
        <v>-4.30656991096432E-005</v>
      </c>
      <c r="BA191" s="0" t="n">
        <f aca="false">(AY191-AR191)/($AT191-$AM191)</f>
        <v>0.00635754152693647</v>
      </c>
      <c r="BB191" s="0" t="n">
        <f aca="false">(AZ191-AS191)/($AT191-$AM191)</f>
        <v>0.00905061871272555</v>
      </c>
      <c r="BC191" s="0" t="n">
        <f aca="false">IF(BA191&lt;&gt;BB191,(AS191-AR191)/(BA191-BB191),0)</f>
        <v>-0.00102356007753645</v>
      </c>
      <c r="BD191" s="0" t="n">
        <f aca="false">AM191+BC191</f>
        <v>-0.00454285457652792</v>
      </c>
      <c r="BE191" s="0" t="n">
        <f aca="false">-BD191*$AC$51</f>
        <v>0.47572661879823</v>
      </c>
      <c r="BF191" s="0" t="n">
        <f aca="false">-BD191*$AD$51</f>
        <v>0.237863309399115</v>
      </c>
      <c r="BG191" s="0" t="n">
        <f aca="false">(-BE191+SQRT(BE191^2-4*$C191))/2</f>
        <v>3.38169718609069</v>
      </c>
      <c r="BH191" s="0" t="n">
        <f aca="false">(-BF191+SQRT(BF191^2-4*$D191))/2</f>
        <v>2.53790555616634</v>
      </c>
      <c r="BI191" s="0" t="n">
        <f aca="false">IF(BG191&lt;&gt;0,($C$21-$B191)*$BD191/BG191/$AC$51-$AC$60*$AC$51,0)</f>
        <v>-5.23919924405569E-005</v>
      </c>
      <c r="BJ191" s="0" t="n">
        <f aca="false">IF(BH191&lt;&gt;0,($C$27-$B191)*$BD191/BH191/$AD$51-$AC$60*$AD$51,0)</f>
        <v>-5.23896704335884E-005</v>
      </c>
      <c r="BK191" s="0" t="n">
        <f aca="false">BD191*1.001</f>
        <v>-0.00454739743110445</v>
      </c>
      <c r="BL191" s="0" t="n">
        <f aca="false">-BK191*$AC$51</f>
        <v>0.476202345417028</v>
      </c>
      <c r="BM191" s="0" t="n">
        <f aca="false">-BK191*$AD$51</f>
        <v>0.238101172708514</v>
      </c>
      <c r="BN191" s="0" t="n">
        <f aca="false">(-BL191+SQRT(BL191^2-4*$C191))/2</f>
        <v>3.38147496200633</v>
      </c>
      <c r="BO191" s="0" t="n">
        <f aca="false">(-BM191+SQRT(BM191^2-4*$D191))/2</f>
        <v>2.53779195106933</v>
      </c>
      <c r="BP191" s="0" t="n">
        <f aca="false">IF(BN191&lt;&gt;0,($C$21-$B191)*$BK191/BN191/$AC$51-$AC$60*$AC$51,0)</f>
        <v>-5.2421717001025E-005</v>
      </c>
      <c r="BQ191" s="0" t="n">
        <f aca="false">IF(BO191&lt;&gt;0,($C$27-$B191)*$BK191/BO191/$AD$51-$AC$60*$AD$51,0)</f>
        <v>-5.2431607652136E-005</v>
      </c>
      <c r="BR191" s="0" t="n">
        <f aca="false">(BP191-BI191)/($BK191-$BD191)</f>
        <v>0.00654314593772731</v>
      </c>
      <c r="BS191" s="0" t="n">
        <f aca="false">(BQ191-BJ191)/($BK191-$BD191)</f>
        <v>0.00923146841730558</v>
      </c>
      <c r="BT191" s="0" t="n">
        <f aca="false">IF(BR191&lt;&gt;BS191,(BJ191-BI191)/(BR191-BS191),0)</f>
        <v>-8.63738255420326E-007</v>
      </c>
      <c r="BU191" s="0" t="n">
        <f aca="false">BD191+BT191</f>
        <v>-0.00454371831478334</v>
      </c>
      <c r="BV191" s="0" t="n">
        <f aca="false">-BU191*$AC$51</f>
        <v>0.475817069256825</v>
      </c>
      <c r="BW191" s="0" t="n">
        <f aca="false">-BU191*$AD$51</f>
        <v>0.237908534628412</v>
      </c>
      <c r="BX191" s="0" t="n">
        <f aca="false">(-BV191+SQRT(BV191^2-4*$C191))/2</f>
        <v>3.38165493316727</v>
      </c>
      <c r="BY191" s="0" t="n">
        <f aca="false">(-BW191+SQRT(BW191^2-4*$D191))/2</f>
        <v>2.53788395588727</v>
      </c>
      <c r="BZ191" s="0" t="n">
        <f aca="false">IF(BX191&lt;&gt;0,($C$21-$B191)*$BU191/BX191/$AC$51-$AC$60*$AC$51,0)</f>
        <v>-5.23976437151213E-005</v>
      </c>
      <c r="CA191" s="0" t="n">
        <f aca="false">IF(BY191&lt;&gt;0,($C$27-$B191)*$BU191/BY191/$AD$51-$AC$60*$AD$51,0)</f>
        <v>-5.23976437234214E-005</v>
      </c>
      <c r="CB191" s="0" t="n">
        <f aca="false">BU191*1.001</f>
        <v>-0.00454826203309813</v>
      </c>
      <c r="CC191" s="0" t="n">
        <f aca="false">-CB191*$AC$51</f>
        <v>0.476292886326082</v>
      </c>
      <c r="CD191" s="0" t="n">
        <f aca="false">-CB191*$AD$51</f>
        <v>0.238146443163041</v>
      </c>
      <c r="CE191" s="0" t="n">
        <f aca="false">(-CC191+SQRT(CC191^2-4*$C191))/2</f>
        <v>3.3814326697924</v>
      </c>
      <c r="CF191" s="0" t="n">
        <f aca="false">(-CD191+SQRT(CD191^2-4*$D191))/2</f>
        <v>2.53777033020129</v>
      </c>
      <c r="CG191" s="0" t="n">
        <f aca="false">IF(CE191&lt;&gt;0,($C$21-$B191)*$CB191/CE191/$AC$51-$AC$60*$AC$51,0)</f>
        <v>-5.24273746460336E-005</v>
      </c>
      <c r="CH191" s="0" t="n">
        <f aca="false">IF(CF191&lt;&gt;0,($C$27-$B191)*$CB191/CF191/$AD$51-$AC$60*$AD$51,0)</f>
        <v>-5.24395896139048E-005</v>
      </c>
      <c r="CI191" s="0" t="n">
        <f aca="false">(CG191-BZ191)/($CB191-$BU191)</f>
        <v>0.00654330415148625</v>
      </c>
      <c r="CJ191" s="0" t="n">
        <f aca="false">(CH191-CA191)/($CB191-$BU191)</f>
        <v>0.00923162211594352</v>
      </c>
      <c r="CK191" s="0" t="n">
        <f aca="false">IF(CI191&lt;&gt;CJ191,(CA191-BZ191)/(CI191-CJ191),0)</f>
        <v>3.0874555790477E-012</v>
      </c>
      <c r="CL191" s="0" t="str">
        <f aca="false">IF(AND(BU191&gt;0,CE191&gt;0,CE191&lt;$C$15,CF191&lt;$C$15,CG191&gt;0,ABS(CK191)&lt;0.1*BU191),B191,"")</f>
        <v/>
      </c>
      <c r="CM191" s="0" t="n">
        <f aca="false">CG191+BU191^2/$C$39</f>
        <v>-4.89864786253507E-005</v>
      </c>
      <c r="CN191" s="0" t="n">
        <f aca="false">-BU191*$C$15/$C$39</f>
        <v>0.00454371831478334</v>
      </c>
      <c r="CO191" s="0" t="n">
        <f aca="false">IF(CL191&lt;&gt;"",(-CM191+SQRT(CM191^2-4*$AC$60*CN191))/2/$AC$60,0)</f>
        <v>0</v>
      </c>
      <c r="CP191" s="0" t="n">
        <f aca="false">CO191*30/PI()</f>
        <v>0</v>
      </c>
      <c r="DB191" s="6"/>
    </row>
    <row r="192" customFormat="false" ht="12.75" hidden="false" customHeight="false" outlineLevel="0" collapsed="false">
      <c r="A192" s="0" t="n">
        <f aca="false">A191+0.01</f>
        <v>0.43</v>
      </c>
      <c r="B192" s="0" t="n">
        <f aca="false">A192*$AC$68</f>
        <v>0.845557592294682</v>
      </c>
      <c r="C192" s="0" t="n">
        <f aca="false">$C$39*($B192-$C$21)</f>
        <v>-12.9266544462319</v>
      </c>
      <c r="D192" s="0" t="n">
        <f aca="false">$C$39*($B192-$C$27)</f>
        <v>-6.92665444623191</v>
      </c>
      <c r="E192" s="0" t="n">
        <f aca="false">$AC$71</f>
        <v>0.0474257507541105</v>
      </c>
      <c r="F192" s="0" t="n">
        <f aca="false">-E192*$AC$51</f>
        <v>-4.96641300533647</v>
      </c>
      <c r="G192" s="0" t="n">
        <f aca="false">-E192*$AD$51</f>
        <v>-2.48320650266823</v>
      </c>
      <c r="H192" s="0" t="n">
        <f aca="false">(-F192+SQRT(F192^2-4*$C192))/2</f>
        <v>6.85275670619327</v>
      </c>
      <c r="I192" s="0" t="n">
        <f aca="false">(-G192+SQRT(G192^2-4*$D192))/2</f>
        <v>4.15162611721599</v>
      </c>
      <c r="J192" s="0" t="n">
        <f aca="false">IF(H192&lt;&gt;0,($C$21-$B192)*$E192/H192/$AC$51-$AC$60*$AC$51,0)</f>
        <v>0.000117879894108484</v>
      </c>
      <c r="K192" s="0" t="n">
        <f aca="false">IF(I192&lt;&gt;0,($C$27-$B192)*$E192/I192/$AD$51-$AC$60*$AD$51,0)</f>
        <v>0.000239614981991051</v>
      </c>
      <c r="L192" s="0" t="n">
        <f aca="false">E192*1.001</f>
        <v>0.0474731765048646</v>
      </c>
      <c r="M192" s="0" t="n">
        <f aca="false">-L192*$AC$51</f>
        <v>-4.97137941834181</v>
      </c>
      <c r="N192" s="0" t="n">
        <f aca="false">-L192*$AD$51</f>
        <v>-2.4856897091709</v>
      </c>
      <c r="O192" s="0" t="n">
        <f aca="false">(-M192+SQRT(M192^2-4*$C192))/2</f>
        <v>6.85665159146981</v>
      </c>
      <c r="P192" s="0" t="n">
        <f aca="false">(-N192+SQRT(N192^2-4*$D192))/2</f>
        <v>4.15339768502874</v>
      </c>
      <c r="Q192" s="0" t="n">
        <f aca="false">IF(O192&lt;&gt;0,($C$21-$B192)*$L192/O192/$AC$51-$AC$60*$AC$51,0)</f>
        <v>0.000117941315886305</v>
      </c>
      <c r="R192" s="0" t="n">
        <f aca="false">IF(P192&lt;&gt;0,($C$27-$B192)*$L192/P192/$AD$51-$AC$60*$AD$51,0)</f>
        <v>0.000239759311026219</v>
      </c>
      <c r="S192" s="0" t="n">
        <f aca="false">(Q192-J192)/($L192-$E192)</f>
        <v>0.00129511450728839</v>
      </c>
      <c r="T192" s="0" t="n">
        <f aca="false">(R192-K192)/($L192-$E192)</f>
        <v>0.0030432630559068</v>
      </c>
      <c r="U192" s="0" t="n">
        <f aca="false">IF(S192&lt;&gt;T192,(K192-J192)/(S192-T192),0)</f>
        <v>-0.0696365809294499</v>
      </c>
      <c r="V192" s="0" t="n">
        <f aca="false">E192+U192</f>
        <v>-0.0222108301753394</v>
      </c>
      <c r="W192" s="0" t="n">
        <f aca="false">-V192*$AC$51</f>
        <v>2.32591269696589</v>
      </c>
      <c r="X192" s="0" t="n">
        <f aca="false">-V192*$AD$51</f>
        <v>1.16295634848295</v>
      </c>
      <c r="Y192" s="0" t="n">
        <f aca="false">(-W192+SQRT(W192^2-4*$C192))/2</f>
        <v>2.61581619226474</v>
      </c>
      <c r="Z192" s="0" t="n">
        <f aca="false">(-X192+SQRT(X192^2-4*$D192))/2</f>
        <v>2.11384579763113</v>
      </c>
      <c r="AA192" s="0" t="n">
        <f aca="false">IF(Y192&lt;&gt;0,($C$21-$B192)*$V192/Y192/$AC$51-$AC$60*$AC$51,0)</f>
        <v>-0.000199190441374138</v>
      </c>
      <c r="AB192" s="0" t="n">
        <f aca="false">IF(Z192&lt;&gt;0,($C$27-$B192)*$V192/Z192/$AD$51-$AC$60*$AD$51,0)</f>
        <v>-0.000243918580531003</v>
      </c>
      <c r="AC192" s="0" t="n">
        <f aca="false">V192*1.001</f>
        <v>-0.0222330410055148</v>
      </c>
      <c r="AD192" s="0" t="n">
        <f aca="false">-AC192*$AC$51</f>
        <v>2.32823860966286</v>
      </c>
      <c r="AE192" s="0" t="n">
        <f aca="false">-AC192*$AD$51</f>
        <v>1.16411930483143</v>
      </c>
      <c r="AF192" s="0" t="n">
        <f aca="false">(-AD192+SQRT(AD192^2-4*$C192))/2</f>
        <v>2.61501130975615</v>
      </c>
      <c r="AG192" s="0" t="n">
        <f aca="false">(-AE192+SQRT(AE192^2-4*$D192))/2</f>
        <v>2.11338982498174</v>
      </c>
      <c r="AH192" s="0" t="n">
        <f aca="false">IF(AF192&lt;&gt;0,($C$21-$B192)*$AC192/AF192/$AC$51-$AC$60*$AC$51,0)</f>
        <v>-0.000199418951310835</v>
      </c>
      <c r="AI192" s="0" t="n">
        <f aca="false">IF(AG192&lt;&gt;0,($C$27-$B192)*$AC192/AG192/$AD$51-$AC$60*$AD$51,0)</f>
        <v>-0.00024420028125836</v>
      </c>
      <c r="AJ192" s="0" t="n">
        <f aca="false">(AH192-AA192)/($AC192-$V192)</f>
        <v>0.0102882213268719</v>
      </c>
      <c r="AK192" s="0" t="n">
        <f aca="false">(AI192-AB192)/($AC192-$V192)</f>
        <v>0.0126830345886909</v>
      </c>
      <c r="AL192" s="0" t="n">
        <f aca="false">IF(AJ192&lt;&gt;AK192,(AB192-AA192)/(AJ192-AK192),0)</f>
        <v>0.0186770884686403</v>
      </c>
      <c r="AM192" s="0" t="n">
        <f aca="false">V192+AL192</f>
        <v>-0.00353374170669908</v>
      </c>
      <c r="AN192" s="0" t="n">
        <f aca="false">-AM192*$AC$51</f>
        <v>0.370052566181656</v>
      </c>
      <c r="AO192" s="0" t="n">
        <f aca="false">-AM192*$AD$51</f>
        <v>0.185026283090828</v>
      </c>
      <c r="AP192" s="0" t="n">
        <f aca="false">(-AN192+SQRT(AN192^2-4*$C192))/2</f>
        <v>3.41509721085578</v>
      </c>
      <c r="AQ192" s="0" t="n">
        <f aca="false">(-AO192+SQRT(AO192^2-4*$D192))/2</f>
        <v>2.54096614023952</v>
      </c>
      <c r="AR192" s="0" t="n">
        <f aca="false">IF(AP192&lt;&gt;0,($C$21-$B192)*$AM192/AP192/$AC$51-$AC$60*$AC$51,0)</f>
        <v>-4.57902871754142E-005</v>
      </c>
      <c r="AS192" s="0" t="n">
        <f aca="false">IF(AQ192&lt;&gt;0,($C$27-$B192)*$AM192/AQ192/$AD$51-$AC$60*$AD$51,0)</f>
        <v>-4.2913708703006E-005</v>
      </c>
      <c r="AT192" s="0" t="n">
        <f aca="false">AM192*1.001</f>
        <v>-0.00353727544840578</v>
      </c>
      <c r="AU192" s="0" t="n">
        <f aca="false">-AT192*$AC$51</f>
        <v>0.370422618747838</v>
      </c>
      <c r="AV192" s="0" t="n">
        <f aca="false">-AT192*$AD$51</f>
        <v>0.185211309373919</v>
      </c>
      <c r="AW192" s="0" t="n">
        <f aca="false">(-AU192+SQRT(AU192^2-4*$C192))/2</f>
        <v>3.41492169863452</v>
      </c>
      <c r="AX192" s="0" t="n">
        <f aca="false">(-AV192+SQRT(AV192^2-4*$D192))/2</f>
        <v>2.54087687867298</v>
      </c>
      <c r="AY192" s="0" t="n">
        <f aca="false">IF(AW192&lt;&gt;0,($C$21-$B192)*$AT192/AW192/$AC$51-$AC$60*$AC$51,0)</f>
        <v>-4.58126705426579E-005</v>
      </c>
      <c r="AZ192" s="0" t="n">
        <f aca="false">IF(AX192&lt;&gt;0,($C$27-$B192)*$AT192/AX192/$AD$51-$AC$60*$AD$51,0)</f>
        <v>-4.29454496076957E-005</v>
      </c>
      <c r="BA192" s="0" t="n">
        <f aca="false">(AY192-AR192)/($AT192-$AM192)</f>
        <v>0.00633418316942104</v>
      </c>
      <c r="BB192" s="0" t="n">
        <f aca="false">(AZ192-AS192)/($AT192-$AM192)</f>
        <v>0.00898223676890412</v>
      </c>
      <c r="BC192" s="0" t="n">
        <f aca="false">IF(BA192&lt;&gt;BB192,(AS192-AR192)/(BA192-BB192),0)</f>
        <v>-0.00108629918705943</v>
      </c>
      <c r="BD192" s="0" t="n">
        <f aca="false">AM192+BC192</f>
        <v>-0.00462004089375851</v>
      </c>
      <c r="BE192" s="0" t="n">
        <f aca="false">-BD192*$AC$51</f>
        <v>0.483809551037205</v>
      </c>
      <c r="BF192" s="0" t="n">
        <f aca="false">-BD192*$AD$51</f>
        <v>0.241904775518602</v>
      </c>
      <c r="BG192" s="0" t="n">
        <f aca="false">(-BE192+SQRT(BE192^2-4*$C192))/2</f>
        <v>3.36158969050332</v>
      </c>
      <c r="BH192" s="0" t="n">
        <f aca="false">(-BF192+SQRT(BF192^2-4*$D192))/2</f>
        <v>2.51367926132119</v>
      </c>
      <c r="BI192" s="0" t="n">
        <f aca="false">IF(BG192&lt;&gt;0,($C$21-$B192)*$BD192/BG192/$AC$51-$AC$60*$AC$51,0)</f>
        <v>-5.27774440089215E-005</v>
      </c>
      <c r="BJ192" s="0" t="n">
        <f aca="false">IF(BH192&lt;&gt;0,($C$27-$B192)*$BD192/BH192/$AD$51-$AC$60*$AD$51,0)</f>
        <v>-5.27748147072484E-005</v>
      </c>
      <c r="BK192" s="0" t="n">
        <f aca="false">BD192*1.001</f>
        <v>-0.00462466093465226</v>
      </c>
      <c r="BL192" s="0" t="n">
        <f aca="false">-BK192*$AC$51</f>
        <v>0.484293360588242</v>
      </c>
      <c r="BM192" s="0" t="n">
        <f aca="false">-BK192*$AD$51</f>
        <v>0.242146680294121</v>
      </c>
      <c r="BN192" s="0" t="n">
        <f aca="false">(-BL192+SQRT(BL192^2-4*$C192))/2</f>
        <v>3.36136403302551</v>
      </c>
      <c r="BO192" s="0" t="n">
        <f aca="false">(-BM192+SQRT(BM192^2-4*$D192))/2</f>
        <v>2.51356386446504</v>
      </c>
      <c r="BP192" s="0" t="n">
        <f aca="false">IF(BN192&lt;&gt;0,($C$21-$B192)*$BK192/BN192/$AC$51-$AC$60*$AC$51,0)</f>
        <v>-5.28076194161873E-005</v>
      </c>
      <c r="BQ192" s="0" t="n">
        <f aca="false">IF(BO192&lt;&gt;0,($C$27-$B192)*$BK192/BO192/$AD$51-$AC$60*$AD$51,0)</f>
        <v>-5.28172007471884E-005</v>
      </c>
      <c r="BR192" s="0" t="n">
        <f aca="false">(BP192-BI192)/($BK192-$BD192)</f>
        <v>0.00653141562155508</v>
      </c>
      <c r="BS192" s="0" t="n">
        <f aca="false">(BQ192-BJ192)/($BK192-$BD192)</f>
        <v>0.00917438631273999</v>
      </c>
      <c r="BT192" s="0" t="n">
        <f aca="false">IF(BR192&lt;&gt;BS192,(BJ192-BI192)/(BR192-BS192),0)</f>
        <v>-9.94828161319862E-007</v>
      </c>
      <c r="BU192" s="0" t="n">
        <f aca="false">BD192+BT192</f>
        <v>-0.00462103572191983</v>
      </c>
      <c r="BV192" s="0" t="n">
        <f aca="false">-BU192*$AC$51</f>
        <v>0.483913729198644</v>
      </c>
      <c r="BW192" s="0" t="n">
        <f aca="false">-BU192*$AD$51</f>
        <v>0.241956864599322</v>
      </c>
      <c r="BX192" s="0" t="n">
        <f aca="false">(-BV192+SQRT(BV192^2-4*$C192))/2</f>
        <v>3.36154109856905</v>
      </c>
      <c r="BY192" s="0" t="n">
        <f aca="false">(-BW192+SQRT(BW192^2-4*$D192))/2</f>
        <v>2.51365441257903</v>
      </c>
      <c r="BZ192" s="0" t="n">
        <f aca="false">IF(BX192&lt;&gt;0,($C$21-$B192)*$BU192/BX192/$AC$51-$AC$60*$AC$51,0)</f>
        <v>-5.27839413143468E-005</v>
      </c>
      <c r="CA192" s="0" t="n">
        <f aca="false">IF(BY192&lt;&gt;0,($C$27-$B192)*$BU192/BY192/$AD$51-$AC$60*$AD$51,0)</f>
        <v>-5.27839413238867E-005</v>
      </c>
      <c r="CB192" s="0" t="n">
        <f aca="false">BU192*1.001</f>
        <v>-0.00462565675764174</v>
      </c>
      <c r="CC192" s="0" t="n">
        <f aca="false">-CB192*$AC$51</f>
        <v>0.484397642927843</v>
      </c>
      <c r="CD192" s="0" t="n">
        <f aca="false">-CB192*$AD$51</f>
        <v>0.242198821463921</v>
      </c>
      <c r="CE192" s="0" t="n">
        <f aca="false">(-CC192+SQRT(CC192^2-4*$C192))/2</f>
        <v>3.36131539598415</v>
      </c>
      <c r="CF192" s="0" t="n">
        <f aca="false">(-CD192+SQRT(CD192^2-4*$D192))/2</f>
        <v>2.51353899206861</v>
      </c>
      <c r="CG192" s="0" t="n">
        <f aca="false">IF(CE192&lt;&gt;0,($C$21-$B192)*$CB192/CE192/$AC$51-$AC$60*$AC$51,0)</f>
        <v>-5.28141240629425E-005</v>
      </c>
      <c r="CH192" s="0" t="n">
        <f aca="false">IF(CF192&lt;&gt;0,($C$27-$B192)*$CB192/CF192/$AD$51-$AC$60*$AD$51,0)</f>
        <v>-5.28263373101204E-005</v>
      </c>
      <c r="CI192" s="0" t="n">
        <f aca="false">(CG192-BZ192)/($CB192-$BU192)</f>
        <v>0.00653159819832299</v>
      </c>
      <c r="CJ192" s="0" t="n">
        <f aca="false">(CH192-CA192)/($CB192-$BU192)</f>
        <v>0.00917456362274026</v>
      </c>
      <c r="CK192" s="0" t="n">
        <f aca="false">IF(CI192&lt;&gt;CJ192,(CA192-BZ192)/(CI192-CJ192),0)</f>
        <v>3.60954720787938E-012</v>
      </c>
      <c r="CL192" s="0" t="str">
        <f aca="false">IF(AND(BU192&gt;0,CE192&gt;0,CE192&lt;$C$15,CF192&lt;$C$15,CG192&gt;0,ABS(CK192)&lt;0.1*BU192),B192,"")</f>
        <v/>
      </c>
      <c r="CM192" s="0" t="n">
        <f aca="false">CG192+BU192^2/$C$39</f>
        <v>-4.92551288723993E-005</v>
      </c>
      <c r="CN192" s="0" t="n">
        <f aca="false">-BU192*$C$15/$C$39</f>
        <v>0.00462103572191983</v>
      </c>
      <c r="CO192" s="0" t="n">
        <f aca="false">IF(CL192&lt;&gt;"",(-CM192+SQRT(CM192^2-4*$AC$60*CN192))/2/$AC$60,0)</f>
        <v>0</v>
      </c>
      <c r="CP192" s="0" t="n">
        <f aca="false">CO192*30/PI()</f>
        <v>0</v>
      </c>
      <c r="DB192" s="6"/>
    </row>
    <row r="193" customFormat="false" ht="12.75" hidden="false" customHeight="false" outlineLevel="0" collapsed="false">
      <c r="A193" s="0" t="n">
        <f aca="false">A192+0.01</f>
        <v>0.44</v>
      </c>
      <c r="B193" s="0" t="n">
        <f aca="false">A193*$AC$68</f>
        <v>0.865221722348047</v>
      </c>
      <c r="C193" s="0" t="n">
        <f aca="false">$C$39*($B193-$C$21)</f>
        <v>-12.8086696659117</v>
      </c>
      <c r="D193" s="0" t="n">
        <f aca="false">$C$39*($B193-$C$27)</f>
        <v>-6.80866966591172</v>
      </c>
      <c r="E193" s="0" t="n">
        <f aca="false">$AC$71</f>
        <v>0.0474257507541105</v>
      </c>
      <c r="F193" s="0" t="n">
        <f aca="false">-E193*$AC$51</f>
        <v>-4.96641300533647</v>
      </c>
      <c r="G193" s="0" t="n">
        <f aca="false">-E193*$AD$51</f>
        <v>-2.48320650266823</v>
      </c>
      <c r="H193" s="0" t="n">
        <f aca="false">(-F193+SQRT(F193^2-4*$C193))/2</f>
        <v>6.83923499210738</v>
      </c>
      <c r="I193" s="0" t="n">
        <f aca="false">(-G193+SQRT(G193^2-4*$D193))/2</f>
        <v>4.13128287019071</v>
      </c>
      <c r="J193" s="0" t="n">
        <f aca="false">IF(H193&lt;&gt;0,($C$21-$B193)*$E193/H193/$AC$51-$AC$60*$AC$51,0)</f>
        <v>0.000116859269360599</v>
      </c>
      <c r="K193" s="0" t="n">
        <f aca="false">IF(I193&lt;&gt;0,($C$27-$B193)*$E193/I193/$AD$51-$AC$60*$AD$51,0)</f>
        <v>0.000236543948062295</v>
      </c>
      <c r="L193" s="0" t="n">
        <f aca="false">E193*1.001</f>
        <v>0.0474731765048646</v>
      </c>
      <c r="M193" s="0" t="n">
        <f aca="false">-L193*$AC$51</f>
        <v>-4.97137941834181</v>
      </c>
      <c r="N193" s="0" t="n">
        <f aca="false">-L193*$AD$51</f>
        <v>-2.4856897091709</v>
      </c>
      <c r="O193" s="0" t="n">
        <f aca="false">(-M193+SQRT(M193^2-4*$C193))/2</f>
        <v>6.84313425800797</v>
      </c>
      <c r="P193" s="0" t="n">
        <f aca="false">(-N193+SQRT(N193^2-4*$D193))/2</f>
        <v>4.13305816824956</v>
      </c>
      <c r="Q193" s="0" t="n">
        <f aca="false">IF(O193&lt;&gt;0,($C$21-$B193)*$L193/O193/$AC$51-$AC$60*$AC$51,0)</f>
        <v>0.000116920001495695</v>
      </c>
      <c r="R193" s="0" t="n">
        <f aca="false">IF(P193&lt;&gt;0,($C$27-$B193)*$L193/P193/$AD$51-$AC$60*$AD$51,0)</f>
        <v>0.00023668576974779</v>
      </c>
      <c r="S193" s="0" t="n">
        <f aca="false">(Q193-J193)/($L193-$E193)</f>
        <v>0.00128057298261233</v>
      </c>
      <c r="T193" s="0" t="n">
        <f aca="false">(R193-K193)/($L193-$E193)</f>
        <v>0.00299039410531668</v>
      </c>
      <c r="U193" s="0" t="n">
        <f aca="false">IF(S193&lt;&gt;T193,(K193-J193)/(S193-T193),0)</f>
        <v>-0.0699983624675286</v>
      </c>
      <c r="V193" s="0" t="n">
        <f aca="false">E193+U193</f>
        <v>-0.0225726117134181</v>
      </c>
      <c r="W193" s="0" t="n">
        <f aca="false">-V193*$AC$51</f>
        <v>2.36379837104031</v>
      </c>
      <c r="X193" s="0" t="n">
        <f aca="false">-V193*$AD$51</f>
        <v>1.18189918552015</v>
      </c>
      <c r="Y193" s="0" t="n">
        <f aca="false">(-W193+SQRT(W193^2-4*$C193))/2</f>
        <v>2.5871265971782</v>
      </c>
      <c r="Z193" s="0" t="n">
        <f aca="false">(-X193+SQRT(X193^2-4*$D193))/2</f>
        <v>2.08447394139204</v>
      </c>
      <c r="AA193" s="0" t="n">
        <f aca="false">IF(Y193&lt;&gt;0,($C$21-$B193)*$V193/Y193/$AC$51-$AC$60*$AC$51,0)</f>
        <v>-0.000202366228337341</v>
      </c>
      <c r="AB193" s="0" t="n">
        <f aca="false">IF(Z193&lt;&gt;0,($C$27-$B193)*$V193/Z193/$AD$51-$AC$60*$AD$51,0)</f>
        <v>-0.00024694276738196</v>
      </c>
      <c r="AC193" s="0" t="n">
        <f aca="false">V193*1.001</f>
        <v>-0.0225951843251315</v>
      </c>
      <c r="AD193" s="0" t="n">
        <f aca="false">-AC193*$AC$51</f>
        <v>2.36616216941135</v>
      </c>
      <c r="AE193" s="0" t="n">
        <f aca="false">-AC193*$AD$51</f>
        <v>1.18308108470567</v>
      </c>
      <c r="AF193" s="0" t="n">
        <f aca="false">(-AD193+SQRT(AD193^2-4*$C193))/2</f>
        <v>2.58631548754565</v>
      </c>
      <c r="AG193" s="0" t="n">
        <f aca="false">(-AE193+SQRT(AE193^2-4*$D193))/2</f>
        <v>2.084013583274</v>
      </c>
      <c r="AH193" s="0" t="n">
        <f aca="false">IF(AF193&lt;&gt;0,($C$21-$B193)*$AC193/AF193/$AC$51-$AC$60*$AC$51,0)</f>
        <v>-0.00020259992921993</v>
      </c>
      <c r="AI193" s="0" t="n">
        <f aca="false">IF(AG193&lt;&gt;0,($C$27-$B193)*$AC193/AG193/$AD$51-$AC$60*$AD$51,0)</f>
        <v>-0.000247229354268455</v>
      </c>
      <c r="AJ193" s="0" t="n">
        <f aca="false">(AH193-AA193)/($AC193-$V193)</f>
        <v>0.0103532938747176</v>
      </c>
      <c r="AK193" s="0" t="n">
        <f aca="false">(AI193-AB193)/($AC193-$V193)</f>
        <v>0.0126962218698297</v>
      </c>
      <c r="AL193" s="0" t="n">
        <f aca="false">IF(AJ193&lt;&gt;AK193,(AB193-AA193)/(AJ193-AK193),0)</f>
        <v>0.0190259961627577</v>
      </c>
      <c r="AM193" s="0" t="n">
        <f aca="false">V193+AL193</f>
        <v>-0.00354661555066047</v>
      </c>
      <c r="AN193" s="0" t="n">
        <f aca="false">-AM193*$AC$51</f>
        <v>0.371400711968741</v>
      </c>
      <c r="AO193" s="0" t="n">
        <f aca="false">-AM193*$AD$51</f>
        <v>0.185700355984371</v>
      </c>
      <c r="AP193" s="0" t="n">
        <f aca="false">(-AN193+SQRT(AN193^2-4*$C193))/2</f>
        <v>3.39803432840905</v>
      </c>
      <c r="AQ193" s="0" t="n">
        <f aca="false">(-AO193+SQRT(AO193^2-4*$D193))/2</f>
        <v>2.51814404288708</v>
      </c>
      <c r="AR193" s="0" t="n">
        <f aca="false">IF(AP193&lt;&gt;0,($C$21-$B193)*$AM193/AP193/$AC$51-$AC$60*$AC$51,0)</f>
        <v>-4.57791388462323E-005</v>
      </c>
      <c r="AS193" s="0" t="n">
        <f aca="false">IF(AQ193&lt;&gt;0,($C$27-$B193)*$AM193/AQ193/$AD$51-$AC$60*$AD$51,0)</f>
        <v>-4.27753822818042E-005</v>
      </c>
      <c r="AT193" s="0" t="n">
        <f aca="false">AM193*1.001</f>
        <v>-0.00355016216621113</v>
      </c>
      <c r="AU193" s="0" t="n">
        <f aca="false">-AT193*$AC$51</f>
        <v>0.37177211268071</v>
      </c>
      <c r="AV193" s="0" t="n">
        <f aca="false">-AT193*$AD$51</f>
        <v>0.185886056340355</v>
      </c>
      <c r="AW193" s="0" t="n">
        <f aca="false">(-AU193+SQRT(AU193^2-4*$C193))/2</f>
        <v>3.39785825538914</v>
      </c>
      <c r="AX193" s="0" t="n">
        <f aca="false">(-AV193+SQRT(AV193^2-4*$D193))/2</f>
        <v>2.51805449622489</v>
      </c>
      <c r="AY193" s="0" t="n">
        <f aca="false">IF(AW193&lt;&gt;0,($C$21-$B193)*$AT193/AW193/$AC$51-$AC$60*$AC$51,0)</f>
        <v>-4.58015195038546E-005</v>
      </c>
      <c r="AZ193" s="0" t="n">
        <f aca="false">IF(AX193&lt;&gt;0,($C$27-$B193)*$AT193/AX193/$AD$51-$AC$60*$AD$51,0)</f>
        <v>-4.28069931839564E-005</v>
      </c>
      <c r="BA193" s="0" t="n">
        <f aca="false">(AY193-AR193)/($AT193-$AM193)</f>
        <v>0.00631042674420339</v>
      </c>
      <c r="BB193" s="0" t="n">
        <f aca="false">(AZ193-AS193)/($AT193-$AM193)</f>
        <v>0.00891297680863638</v>
      </c>
      <c r="BC193" s="0" t="n">
        <f aca="false">IF(BA193&lt;&gt;BB193,(AS193-AR193)/(BA193-BB193),0)</f>
        <v>-0.00115415899408741</v>
      </c>
      <c r="BD193" s="0" t="n">
        <f aca="false">AM193+BC193</f>
        <v>-0.00470077454474788</v>
      </c>
      <c r="BE193" s="0" t="n">
        <f aca="false">-BD193*$AC$51</f>
        <v>0.492263959198728</v>
      </c>
      <c r="BF193" s="0" t="n">
        <f aca="false">-BD193*$AD$51</f>
        <v>0.246131979599364</v>
      </c>
      <c r="BG193" s="0" t="n">
        <f aca="false">(-BE193+SQRT(BE193^2-4*$C193))/2</f>
        <v>3.34124179759381</v>
      </c>
      <c r="BH193" s="0" t="n">
        <f aca="false">(-BF193+SQRT(BF193^2-4*$D193))/2</f>
        <v>2.48917728060166</v>
      </c>
      <c r="BI193" s="0" t="n">
        <f aca="false">IF(BG193&lt;&gt;0,($C$21-$B193)*$BD193/BG193/$AC$51-$AC$60*$AC$51,0)</f>
        <v>-5.31825642106746E-005</v>
      </c>
      <c r="BJ193" s="0" t="n">
        <f aca="false">IF(BH193&lt;&gt;0,($C$27-$B193)*$BD193/BH193/$AD$51-$AC$60*$AD$51,0)</f>
        <v>-5.31795813972674E-005</v>
      </c>
      <c r="BK193" s="0" t="n">
        <f aca="false">BD193*1.001</f>
        <v>-0.00470547531929263</v>
      </c>
      <c r="BL193" s="0" t="n">
        <f aca="false">-BK193*$AC$51</f>
        <v>0.492756223157927</v>
      </c>
      <c r="BM193" s="0" t="n">
        <f aca="false">-BK193*$AD$51</f>
        <v>0.246378111578963</v>
      </c>
      <c r="BN193" s="0" t="n">
        <f aca="false">(-BL193+SQRT(BL193^2-4*$C193))/2</f>
        <v>3.34101256128856</v>
      </c>
      <c r="BO193" s="0" t="n">
        <f aca="false">(-BM193+SQRT(BM193^2-4*$D193))/2</f>
        <v>2.48906001529429</v>
      </c>
      <c r="BP193" s="0" t="n">
        <f aca="false">IF(BN193&lt;&gt;0,($C$21-$B193)*$BK193/BN193/$AC$51-$AC$60*$AC$51,0)</f>
        <v>-5.32132144548917E-005</v>
      </c>
      <c r="BQ193" s="0" t="n">
        <f aca="false">IF(BO193&lt;&gt;0,($C$27-$B193)*$BK193/BO193/$AD$51-$AC$60*$AD$51,0)</f>
        <v>-5.32224400762009E-005</v>
      </c>
      <c r="BR193" s="0" t="n">
        <f aca="false">(BP193-BI193)/($BK193-$BD193)</f>
        <v>0.00652025404012728</v>
      </c>
      <c r="BS193" s="0" t="n">
        <f aca="false">(BQ193-BJ193)/($BK193-$BD193)</f>
        <v>0.00911736534597796</v>
      </c>
      <c r="BT193" s="0" t="n">
        <f aca="false">IF(BR193&lt;&gt;BS193,(BJ193-BI193)/(BR193-BS193),0)</f>
        <v>-1.1485119642458E-006</v>
      </c>
      <c r="BU193" s="0" t="n">
        <f aca="false">BD193+BT193</f>
        <v>-0.00470192305671212</v>
      </c>
      <c r="BV193" s="0" t="n">
        <f aca="false">-BU193*$AC$51</f>
        <v>0.492384231090376</v>
      </c>
      <c r="BW193" s="0" t="n">
        <f aca="false">-BU193*$AD$51</f>
        <v>0.246192115545188</v>
      </c>
      <c r="BX193" s="0" t="n">
        <f aca="false">(-BV193+SQRT(BV193^2-4*$C193))/2</f>
        <v>3.34118578811486</v>
      </c>
      <c r="BY193" s="0" t="n">
        <f aca="false">(-BW193+SQRT(BW193^2-4*$D193))/2</f>
        <v>2.48914862934055</v>
      </c>
      <c r="BZ193" s="0" t="n">
        <f aca="false">IF(BX193&lt;&gt;0,($C$21-$B193)*$BU193/BX193/$AC$51-$AC$60*$AC$51,0)</f>
        <v>-5.31900524255156E-005</v>
      </c>
      <c r="CA193" s="0" t="n">
        <f aca="false">IF(BY193&lt;&gt;0,($C$27-$B193)*$BU193/BY193/$AD$51-$AC$60*$AD$51,0)</f>
        <v>-5.31900524364472E-005</v>
      </c>
      <c r="CB193" s="0" t="n">
        <f aca="false">BU193*1.001</f>
        <v>-0.00470662497976883</v>
      </c>
      <c r="CC193" s="0" t="n">
        <f aca="false">-CB193*$AC$51</f>
        <v>0.492876615321466</v>
      </c>
      <c r="CD193" s="0" t="n">
        <f aca="false">-CB193*$AD$51</f>
        <v>0.246438307660733</v>
      </c>
      <c r="CE193" s="0" t="n">
        <f aca="false">(-CC193+SQRT(CC193^2-4*$C193))/2</f>
        <v>3.34095649991125</v>
      </c>
      <c r="CF193" s="0" t="n">
        <f aca="false">(-CD193+SQRT(CD193^2-4*$D193))/2</f>
        <v>2.4890313367969</v>
      </c>
      <c r="CG193" s="0" t="n">
        <f aca="false">IF(CE193&lt;&gt;0,($C$21-$B193)*$CB193/CE193/$AC$51-$AC$60*$AC$51,0)</f>
        <v>-5.32207111513944E-005</v>
      </c>
      <c r="CH193" s="0" t="n">
        <f aca="false">IF(CF193&lt;&gt;0,($C$27-$B193)*$CB193/CF193/$AD$51-$AC$60*$AD$51,0)</f>
        <v>-5.32329225508965E-005</v>
      </c>
      <c r="CI193" s="0" t="n">
        <f aca="false">(CG193-BZ193)/($CB193-$BU193)</f>
        <v>0.00652046524560095</v>
      </c>
      <c r="CJ193" s="0" t="n">
        <f aca="false">(CH193-CA193)/($CB193-$BU193)</f>
        <v>0.00911757039243718</v>
      </c>
      <c r="CK193" s="0" t="n">
        <f aca="false">IF(CI193&lt;&gt;CJ193,(CA193-BZ193)/(CI193-CJ193),0)</f>
        <v>4.20911822823592E-012</v>
      </c>
      <c r="CL193" s="0" t="str">
        <f aca="false">IF(AND(BU193&gt;0,CE193&gt;0,CE193&lt;$C$15,CF193&lt;$C$15,CG193&gt;0,ABS(CK193)&lt;0.1*BU193),B193,"")</f>
        <v/>
      </c>
      <c r="CM193" s="0" t="n">
        <f aca="false">CG193+BU193^2/$C$39</f>
        <v>-4.95360310795209E-005</v>
      </c>
      <c r="CN193" s="0" t="n">
        <f aca="false">-BU193*$C$15/$C$39</f>
        <v>0.00470192305671212</v>
      </c>
      <c r="CO193" s="0" t="n">
        <f aca="false">IF(CL193&lt;&gt;"",(-CM193+SQRT(CM193^2-4*$AC$60*CN193))/2/$AC$60,0)</f>
        <v>0</v>
      </c>
      <c r="CP193" s="0" t="n">
        <f aca="false">CO193*30/PI()</f>
        <v>0</v>
      </c>
      <c r="DB193" s="6"/>
    </row>
    <row r="194" customFormat="false" ht="12.75" hidden="false" customHeight="false" outlineLevel="0" collapsed="false">
      <c r="A194" s="0" t="n">
        <f aca="false">A193+0.01</f>
        <v>0.45</v>
      </c>
      <c r="B194" s="0" t="n">
        <f aca="false">A194*$AC$68</f>
        <v>0.884885852401412</v>
      </c>
      <c r="C194" s="0" t="n">
        <f aca="false">$C$39*($B194-$C$21)</f>
        <v>-12.6906848855915</v>
      </c>
      <c r="D194" s="0" t="n">
        <f aca="false">$C$39*($B194-$C$27)</f>
        <v>-6.69068488559153</v>
      </c>
      <c r="E194" s="0" t="n">
        <f aca="false">$AC$71</f>
        <v>0.0474257507541105</v>
      </c>
      <c r="F194" s="0" t="n">
        <f aca="false">-E194*$AC$51</f>
        <v>-4.96641300533647</v>
      </c>
      <c r="G194" s="0" t="n">
        <f aca="false">-E194*$AD$51</f>
        <v>-2.48320650266823</v>
      </c>
      <c r="H194" s="0" t="n">
        <f aca="false">(-F194+SQRT(F194^2-4*$C194))/2</f>
        <v>6.82567117385272</v>
      </c>
      <c r="I194" s="0" t="n">
        <f aca="false">(-G194+SQRT(G194^2-4*$D194))/2</f>
        <v>4.11079538838506</v>
      </c>
      <c r="J194" s="0" t="n">
        <f aca="false">IF(H194&lt;&gt;0,($C$21-$B194)*$E194/H194/$AC$51-$AC$60*$AC$51,0)</f>
        <v>0.000115835466572091</v>
      </c>
      <c r="K194" s="0" t="n">
        <f aca="false">IF(I194&lt;&gt;0,($C$27-$B194)*$E194/I194/$AD$51-$AC$60*$AD$51,0)</f>
        <v>0.000233451140328028</v>
      </c>
      <c r="L194" s="0" t="n">
        <f aca="false">E194*1.001</f>
        <v>0.0474731765048646</v>
      </c>
      <c r="M194" s="0" t="n">
        <f aca="false">-L194*$AC$51</f>
        <v>-4.97137941834181</v>
      </c>
      <c r="N194" s="0" t="n">
        <f aca="false">-L194*$AD$51</f>
        <v>-2.4856897091709</v>
      </c>
      <c r="O194" s="0" t="n">
        <f aca="false">(-M194+SQRT(M194^2-4*$C194))/2</f>
        <v>6.82957486141304</v>
      </c>
      <c r="P194" s="0" t="n">
        <f aca="false">(-N194+SQRT(N194^2-4*$D194))/2</f>
        <v>4.11257449658329</v>
      </c>
      <c r="Q194" s="0" t="n">
        <f aca="false">IF(O194&lt;&gt;0,($C$21-$B194)*$L194/O194/$AC$51-$AC$60*$AC$51,0)</f>
        <v>0.000115895508986911</v>
      </c>
      <c r="R194" s="0" t="n">
        <f aca="false">IF(P194&lt;&gt;0,($C$27-$B194)*$L194/P194/$AD$51-$AC$60*$AD$51,0)</f>
        <v>0.000233590444962863</v>
      </c>
      <c r="S194" s="0" t="n">
        <f aca="false">(Q194-J194)/($L194-$E194)</f>
        <v>0.00126602982271837</v>
      </c>
      <c r="T194" s="0" t="n">
        <f aca="false">(R194-K194)/($L194-$E194)</f>
        <v>0.00293732060367034</v>
      </c>
      <c r="U194" s="0" t="n">
        <f aca="false">IF(S194&lt;&gt;T194,(K194-J194)/(S194-T194),0)</f>
        <v>-0.070374153376795</v>
      </c>
      <c r="V194" s="0" t="n">
        <f aca="false">E194+U194</f>
        <v>-0.0229484026226845</v>
      </c>
      <c r="W194" s="0" t="n">
        <f aca="false">-V194*$AC$51</f>
        <v>2.40315110303488</v>
      </c>
      <c r="X194" s="0" t="n">
        <f aca="false">-V194*$AD$51</f>
        <v>1.20157555151744</v>
      </c>
      <c r="Y194" s="0" t="n">
        <f aca="false">(-W194+SQRT(W194^2-4*$C194))/2</f>
        <v>2.5580080280291</v>
      </c>
      <c r="Z194" s="0" t="n">
        <f aca="false">(-X194+SQRT(X194^2-4*$D194))/2</f>
        <v>2.05470292034485</v>
      </c>
      <c r="AA194" s="0" t="n">
        <f aca="false">IF(Y194&lt;&gt;0,($C$21-$B194)*$V194/Y194/$AC$51-$AC$60*$AC$51,0)</f>
        <v>-0.000205701113721998</v>
      </c>
      <c r="AB194" s="0" t="n">
        <f aca="false">IF(Z194&lt;&gt;0,($C$27-$B194)*$V194/Z194/$AD$51-$AC$60*$AD$51,0)</f>
        <v>-0.000250112551719867</v>
      </c>
      <c r="AC194" s="0" t="n">
        <f aca="false">V194*1.001</f>
        <v>-0.0229713510253072</v>
      </c>
      <c r="AD194" s="0" t="n">
        <f aca="false">-AC194*$AC$51</f>
        <v>2.40555425413791</v>
      </c>
      <c r="AE194" s="0" t="n">
        <f aca="false">-AC194*$AD$51</f>
        <v>1.20277712706896</v>
      </c>
      <c r="AF194" s="0" t="n">
        <f aca="false">(-AD194+SQRT(AD194^2-4*$C194))/2</f>
        <v>2.55719065244615</v>
      </c>
      <c r="AG194" s="0" t="n">
        <f aca="false">(-AE194+SQRT(AE194^2-4*$D194))/2</f>
        <v>2.05423812143869</v>
      </c>
      <c r="AH194" s="0" t="n">
        <f aca="false">IF(AF194&lt;&gt;0,($C$21-$B194)*$AC194/AF194/$AC$51-$AC$60*$AC$51,0)</f>
        <v>-0.000205940288720008</v>
      </c>
      <c r="AI194" s="0" t="n">
        <f aca="false">IF(AG194&lt;&gt;0,($C$27-$B194)*$AC194/AG194/$AD$51-$AC$60*$AD$51,0)</f>
        <v>-0.000250404286373203</v>
      </c>
      <c r="AJ194" s="0" t="n">
        <f aca="false">(AH194-AA194)/($AC194-$V194)</f>
        <v>0.0104222939584307</v>
      </c>
      <c r="AK194" s="0" t="n">
        <f aca="false">(AI194-AB194)/($AC194-$V194)</f>
        <v>0.0127126344317755</v>
      </c>
      <c r="AL194" s="0" t="n">
        <f aca="false">IF(AJ194&lt;&gt;AK194,(AB194-AA194)/(AJ194-AK194),0)</f>
        <v>0.0193907580618401</v>
      </c>
      <c r="AM194" s="0" t="n">
        <f aca="false">V194+AL194</f>
        <v>-0.00355764456084439</v>
      </c>
      <c r="AN194" s="0" t="n">
        <f aca="false">-AM194*$AC$51</f>
        <v>0.372555667214414</v>
      </c>
      <c r="AO194" s="0" t="n">
        <f aca="false">-AM194*$AD$51</f>
        <v>0.186277833607207</v>
      </c>
      <c r="AP194" s="0" t="n">
        <f aca="false">(-AN194+SQRT(AN194^2-4*$C194))/2</f>
        <v>3.3809878302991</v>
      </c>
      <c r="AQ194" s="0" t="n">
        <f aca="false">(-AO194+SQRT(AO194^2-4*$D194))/2</f>
        <v>2.49517322500134</v>
      </c>
      <c r="AR194" s="0" t="n">
        <f aca="false">IF(AP194&lt;&gt;0,($C$21-$B194)*$AM194/AP194/$AC$51-$AC$60*$AC$51,0)</f>
        <v>-4.57553239770935E-005</v>
      </c>
      <c r="AS194" s="0" t="n">
        <f aca="false">IF(AQ194&lt;&gt;0,($C$27-$B194)*$AM194/AQ194/$AD$51-$AC$60*$AD$51,0)</f>
        <v>-4.26167149328798E-005</v>
      </c>
      <c r="AT194" s="0" t="n">
        <f aca="false">AM194*1.001</f>
        <v>-0.00356120220540524</v>
      </c>
      <c r="AU194" s="0" t="n">
        <f aca="false">-AT194*$AC$51</f>
        <v>0.372928222881629</v>
      </c>
      <c r="AV194" s="0" t="n">
        <f aca="false">-AT194*$AD$51</f>
        <v>0.186464111440814</v>
      </c>
      <c r="AW194" s="0" t="n">
        <f aca="false">(-AU194+SQRT(AU194^2-4*$C194))/2</f>
        <v>3.38081128449471</v>
      </c>
      <c r="AX194" s="0" t="n">
        <f aca="false">(-AV194+SQRT(AV194^2-4*$D194))/2</f>
        <v>2.49508343930824</v>
      </c>
      <c r="AY194" s="0" t="n">
        <f aca="false">IF(AW194&lt;&gt;0,($C$21-$B194)*$AT194/AW194/$AC$51-$AC$60*$AC$51,0)</f>
        <v>-4.57776881183317E-005</v>
      </c>
      <c r="AZ194" s="0" t="n">
        <f aca="false">IF(AX194&lt;&gt;0,($C$27-$B194)*$AT194/AX194/$AD$51-$AC$60*$AD$51,0)</f>
        <v>-4.2648174383188E-005</v>
      </c>
      <c r="BA194" s="0" t="n">
        <f aca="false">(AY194-AR194)/($AT194-$AM194)</f>
        <v>0.00628622136240876</v>
      </c>
      <c r="BB194" s="0" t="n">
        <f aca="false">(AZ194-AS194)/($AT194-$AM194)</f>
        <v>0.00884277497938506</v>
      </c>
      <c r="BC194" s="0" t="n">
        <f aca="false">IF(BA194&lt;&gt;BB194,(AS194-AR194)/(BA194-BB194),0)</f>
        <v>-0.00122767190305431</v>
      </c>
      <c r="BD194" s="0" t="n">
        <f aca="false">AM194+BC194</f>
        <v>-0.0047853164638987</v>
      </c>
      <c r="BE194" s="0" t="n">
        <f aca="false">-BD194*$AC$51</f>
        <v>0.501117168269548</v>
      </c>
      <c r="BF194" s="0" t="n">
        <f aca="false">-BD194*$AD$51</f>
        <v>0.250558584134774</v>
      </c>
      <c r="BG194" s="0" t="n">
        <f aca="false">(-BE194+SQRT(BE194^2-4*$C194))/2</f>
        <v>3.32064072277532</v>
      </c>
      <c r="BH194" s="0" t="n">
        <f aca="false">(-BF194+SQRT(BF194^2-4*$D194))/2</f>
        <v>2.46438859911334</v>
      </c>
      <c r="BI194" s="0" t="n">
        <f aca="false">IF(BG194&lt;&gt;0,($C$21-$B194)*$BD194/BG194/$AC$51-$AC$60*$AC$51,0)</f>
        <v>-5.36089000026031E-005</v>
      </c>
      <c r="BJ194" s="0" t="n">
        <f aca="false">IF(BH194&lt;&gt;0,($C$27-$B194)*$BD194/BH194/$AD$51-$AC$60*$AD$51,0)</f>
        <v>-5.36055096667825E-005</v>
      </c>
      <c r="BK194" s="0" t="n">
        <f aca="false">BD194*1.001</f>
        <v>-0.0047901017803626</v>
      </c>
      <c r="BL194" s="0" t="n">
        <f aca="false">-BK194*$AC$51</f>
        <v>0.501618285437818</v>
      </c>
      <c r="BM194" s="0" t="n">
        <f aca="false">-BK194*$AD$51</f>
        <v>0.250809142718909</v>
      </c>
      <c r="BN194" s="0" t="n">
        <f aca="false">(-BL194+SQRT(BL194^2-4*$C194))/2</f>
        <v>3.32040775235522</v>
      </c>
      <c r="BO194" s="0" t="n">
        <f aca="false">(-BM194+SQRT(BM194^2-4*$D194))/2</f>
        <v>2.46426938342894</v>
      </c>
      <c r="BP194" s="0" t="n">
        <f aca="false">IF(BN194&lt;&gt;0,($C$21-$B194)*$BK194/BN194/$AC$51-$AC$60*$AC$51,0)</f>
        <v>-5.36400510354248E-005</v>
      </c>
      <c r="BQ194" s="0" t="n">
        <f aca="false">IF(BO194&lt;&gt;0,($C$27-$B194)*$BK194/BO194/$AD$51-$AC$60*$AD$51,0)</f>
        <v>-5.36488667433179E-005</v>
      </c>
      <c r="BR194" s="0" t="n">
        <f aca="false">(BP194-BI194)/($BK194-$BD194)</f>
        <v>0.0065097121698612</v>
      </c>
      <c r="BS194" s="0" t="n">
        <f aca="false">(BQ194-BJ194)/($BK194-$BD194)</f>
        <v>0.00906044080104797</v>
      </c>
      <c r="BT194" s="0" t="n">
        <f aca="false">IF(BR194&lt;&gt;BS194,(BJ194-BI194)/(BR194-BS194),0)</f>
        <v>-1.32916366688053E-006</v>
      </c>
      <c r="BU194" s="0" t="n">
        <f aca="false">BD194+BT194</f>
        <v>-0.00478664562756558</v>
      </c>
      <c r="BV194" s="0" t="n">
        <f aca="false">-BU194*$AC$51</f>
        <v>0.501256357963258</v>
      </c>
      <c r="BW194" s="0" t="n">
        <f aca="false">-BU194*$AD$51</f>
        <v>0.250628178981629</v>
      </c>
      <c r="BX194" s="0" t="n">
        <f aca="false">(-BV194+SQRT(BV194^2-4*$C194))/2</f>
        <v>3.32057601144086</v>
      </c>
      <c r="BY194" s="0" t="n">
        <f aca="false">(-BW194+SQRT(BW194^2-4*$D194))/2</f>
        <v>2.46435548530371</v>
      </c>
      <c r="BZ194" s="0" t="n">
        <f aca="false">IF(BX194&lt;&gt;0,($C$21-$B194)*$BU194/BX194/$AC$51-$AC$60*$AC$51,0)</f>
        <v>-5.36175520524461E-005</v>
      </c>
      <c r="CA194" s="0" t="n">
        <f aca="false">IF(BY194&lt;&gt;0,($C$27-$B194)*$BU194/BY194/$AD$51-$AC$60*$AD$51,0)</f>
        <v>-5.3617552064916E-005</v>
      </c>
      <c r="CB194" s="0" t="n">
        <f aca="false">BU194*1.001</f>
        <v>-0.00479143227319315</v>
      </c>
      <c r="CC194" s="0" t="n">
        <f aca="false">-CB194*$AC$51</f>
        <v>0.501757614321221</v>
      </c>
      <c r="CD194" s="0" t="n">
        <f aca="false">-CB194*$AD$51</f>
        <v>0.250878807160611</v>
      </c>
      <c r="CE194" s="0" t="n">
        <f aca="false">(-CC194+SQRT(CC194^2-4*$C194))/2</f>
        <v>3.32034298117372</v>
      </c>
      <c r="CF194" s="0" t="n">
        <f aca="false">(-CD194+SQRT(CD194^2-4*$D194))/2</f>
        <v>2.46423623818685</v>
      </c>
      <c r="CG194" s="0" t="n">
        <f aca="false">IF(CE194&lt;&gt;0,($C$21-$B194)*$CB194/CE194/$AC$51-$AC$60*$AC$51,0)</f>
        <v>-5.36487129101817E-005</v>
      </c>
      <c r="CH194" s="0" t="n">
        <f aca="false">IF(CF194&lt;&gt;0,($C$27-$B194)*$CB194/CF194/$AD$51-$AC$60*$AD$51,0)</f>
        <v>-5.36609223221361E-005</v>
      </c>
      <c r="CI194" s="0" t="n">
        <f aca="false">(CG194-BZ194)/($CB194-$BU194)</f>
        <v>0.00650995710987663</v>
      </c>
      <c r="CJ194" s="0" t="n">
        <f aca="false">(CH194-CA194)/($CB194-$BU194)</f>
        <v>0.00906067851990862</v>
      </c>
      <c r="CK194" s="0" t="n">
        <f aca="false">IF(CI194&lt;&gt;CJ194,(CA194-BZ194)/(CI194-CJ194),0)</f>
        <v>4.88875937073001E-012</v>
      </c>
      <c r="CL194" s="0" t="str">
        <f aca="false">IF(AND(BU194&gt;0,CE194&gt;0,CE194&lt;$C$15,CF194&lt;$C$15,CG194&gt;0,ABS(CK194)&lt;0.1*BU194),B194,"")</f>
        <v/>
      </c>
      <c r="CM194" s="0" t="n">
        <f aca="false">CG194+BU194^2/$C$39</f>
        <v>-4.98300501828663E-005</v>
      </c>
      <c r="CN194" s="0" t="n">
        <f aca="false">-BU194*$C$15/$C$39</f>
        <v>0.00478664562756558</v>
      </c>
      <c r="CO194" s="0" t="n">
        <f aca="false">IF(CL194&lt;&gt;"",(-CM194+SQRT(CM194^2-4*$AC$60*CN194))/2/$AC$60,0)</f>
        <v>0</v>
      </c>
      <c r="CP194" s="0" t="n">
        <f aca="false">CO194*30/PI()</f>
        <v>0</v>
      </c>
      <c r="DB194" s="6"/>
    </row>
    <row r="195" customFormat="false" ht="12.75" hidden="false" customHeight="false" outlineLevel="0" collapsed="false">
      <c r="A195" s="0" t="n">
        <f aca="false">A194+0.01</f>
        <v>0.46</v>
      </c>
      <c r="B195" s="0" t="n">
        <f aca="false">A195*$AC$68</f>
        <v>0.904549982454777</v>
      </c>
      <c r="C195" s="0" t="n">
        <f aca="false">$C$39*($B195-$C$21)</f>
        <v>-12.5727001052713</v>
      </c>
      <c r="D195" s="0" t="n">
        <f aca="false">$C$39*($B195-$C$27)</f>
        <v>-6.57270010527134</v>
      </c>
      <c r="E195" s="0" t="n">
        <f aca="false">$AC$71</f>
        <v>0.0474257507541105</v>
      </c>
      <c r="F195" s="0" t="n">
        <f aca="false">-E195*$AC$51</f>
        <v>-4.96641300533647</v>
      </c>
      <c r="G195" s="0" t="n">
        <f aca="false">-E195*$AD$51</f>
        <v>-2.48320650266823</v>
      </c>
      <c r="H195" s="0" t="n">
        <f aca="false">(-F195+SQRT(F195^2-4*$C195))/2</f>
        <v>6.81206485564828</v>
      </c>
      <c r="I195" s="0" t="n">
        <f aca="false">(-G195+SQRT(G195^2-4*$D195))/2</f>
        <v>4.09016055969124</v>
      </c>
      <c r="J195" s="0" t="n">
        <f aca="false">IF(H195&lt;&gt;0,($C$21-$B195)*$E195/H195/$AC$51-$AC$60*$AC$51,0)</f>
        <v>0.000114808455869244</v>
      </c>
      <c r="K195" s="0" t="n">
        <f aca="false">IF(I195&lt;&gt;0,($C$27-$B195)*$E195/I195/$AD$51-$AC$60*$AD$51,0)</f>
        <v>0.000230336088981799</v>
      </c>
      <c r="L195" s="0" t="n">
        <f aca="false">E195*1.001</f>
        <v>0.0474731765048646</v>
      </c>
      <c r="M195" s="0" t="n">
        <f aca="false">-L195*$AC$51</f>
        <v>-4.97137941834181</v>
      </c>
      <c r="N195" s="0" t="n">
        <f aca="false">-L195*$AD$51</f>
        <v>-2.4856897091709</v>
      </c>
      <c r="O195" s="0" t="n">
        <f aca="false">(-M195+SQRT(M195^2-4*$C195))/2</f>
        <v>6.81597300654874</v>
      </c>
      <c r="P195" s="0" t="n">
        <f aca="false">(-N195+SQRT(N195^2-4*$D195))/2</f>
        <v>4.09194356081535</v>
      </c>
      <c r="Q195" s="0" t="n">
        <f aca="false">IF(O195&lt;&gt;0,($C$21-$B195)*$L195/O195/$AC$51-$AC$60*$AC$51,0)</f>
        <v>0.000114867808505073</v>
      </c>
      <c r="R195" s="0" t="n">
        <f aca="false">IF(P195&lt;&gt;0,($C$27-$B195)*$L195/P195/$AD$51-$AC$60*$AD$51,0)</f>
        <v>0.000230472866832379</v>
      </c>
      <c r="S195" s="0" t="n">
        <f aca="false">(Q195-J195)/($L195-$E195)</f>
        <v>0.00125148542480058</v>
      </c>
      <c r="T195" s="0" t="n">
        <f aca="false">(R195-K195)/($L195-$E195)</f>
        <v>0.00288404186343615</v>
      </c>
      <c r="U195" s="0" t="n">
        <f aca="false">IF(S195&lt;&gt;T195,(K195-J195)/(S195-T195),0)</f>
        <v>-0.0707648632405679</v>
      </c>
      <c r="V195" s="0" t="n">
        <f aca="false">E195+U195</f>
        <v>-0.0233391124864574</v>
      </c>
      <c r="W195" s="0" t="n">
        <f aca="false">-V195*$AC$51</f>
        <v>2.44406614429201</v>
      </c>
      <c r="X195" s="0" t="n">
        <f aca="false">-V195*$AD$51</f>
        <v>1.22203307214601</v>
      </c>
      <c r="Y195" s="0" t="n">
        <f aca="false">(-W195+SQRT(W195^2-4*$C195))/2</f>
        <v>2.52844222235867</v>
      </c>
      <c r="Z195" s="0" t="n">
        <f aca="false">(-X195+SQRT(X195^2-4*$D195))/2</f>
        <v>2.02451781441951</v>
      </c>
      <c r="AA195" s="0" t="n">
        <f aca="false">IF(Y195&lt;&gt;0,($C$21-$B195)*$V195/Y195/$AC$51-$AC$60*$AC$51,0)</f>
        <v>-0.000209207702795107</v>
      </c>
      <c r="AB195" s="0" t="n">
        <f aca="false">IF(Z195&lt;&gt;0,($C$27-$B195)*$V195/Z195/$AD$51-$AC$60*$AD$51,0)</f>
        <v>-0.000253439612309631</v>
      </c>
      <c r="AC195" s="0" t="n">
        <f aca="false">V195*1.001</f>
        <v>-0.0233624515989439</v>
      </c>
      <c r="AD195" s="0" t="n">
        <f aca="false">-AC195*$AC$51</f>
        <v>2.44651021043631</v>
      </c>
      <c r="AE195" s="0" t="n">
        <f aca="false">-AC195*$AD$51</f>
        <v>1.22325510521815</v>
      </c>
      <c r="AF195" s="0" t="n">
        <f aca="false">(-AD195+SQRT(AD195^2-4*$C195))/2</f>
        <v>2.52761854737448</v>
      </c>
      <c r="AG195" s="0" t="n">
        <f aca="false">(-AE195+SQRT(AE195^2-4*$D195))/2</f>
        <v>2.02404852164244</v>
      </c>
      <c r="AH195" s="0" t="n">
        <f aca="false">IF(AF195&lt;&gt;0,($C$21-$B195)*$AC195/AF195/$AC$51-$AC$60*$AC$51,0)</f>
        <v>-0.000209452658553426</v>
      </c>
      <c r="AI195" s="0" t="n">
        <f aca="false">IF(AG195&lt;&gt;0,($C$27-$B195)*$AC195/AG195/$AD$51-$AC$60*$AD$51,0)</f>
        <v>-0.00025373677838219</v>
      </c>
      <c r="AJ195" s="0" t="n">
        <f aca="false">(AH195-AA195)/($AC195-$V195)</f>
        <v>0.0104955044225381</v>
      </c>
      <c r="AK195" s="0" t="n">
        <f aca="false">(AI195-AB195)/($AC195-$V195)</f>
        <v>0.012732535255233</v>
      </c>
      <c r="AL195" s="0" t="n">
        <f aca="false">IF(AJ195&lt;&gt;AK195,(AB195-AA195)/(AJ195-AK195),0)</f>
        <v>0.0197725971712423</v>
      </c>
      <c r="AM195" s="0" t="n">
        <f aca="false">V195+AL195</f>
        <v>-0.00356651531521516</v>
      </c>
      <c r="AN195" s="0" t="n">
        <f aca="false">-AM195*$AC$51</f>
        <v>0.373484610439848</v>
      </c>
      <c r="AO195" s="0" t="n">
        <f aca="false">-AM195*$AD$51</f>
        <v>0.186742305219924</v>
      </c>
      <c r="AP195" s="0" t="n">
        <f aca="false">(-AN195+SQRT(AN195^2-4*$C195))/2</f>
        <v>3.36397210090037</v>
      </c>
      <c r="AQ195" s="0" t="n">
        <f aca="false">(-AO195+SQRT(AO195^2-4*$D195))/2</f>
        <v>2.47205635122075</v>
      </c>
      <c r="AR195" s="0" t="n">
        <f aca="false">IF(AP195&lt;&gt;0,($C$21-$B195)*$AM195/AP195/$AC$51-$AC$60*$AC$51,0)</f>
        <v>-4.57170042305061E-005</v>
      </c>
      <c r="AS195" s="0" t="n">
        <f aca="false">IF(AQ195&lt;&gt;0,($C$27-$B195)*$AM195/AQ195/$AD$51-$AC$60*$AD$51,0)</f>
        <v>-4.24352666935772E-005</v>
      </c>
      <c r="AT195" s="0" t="n">
        <f aca="false">AM195*1.001</f>
        <v>-0.00357008183053037</v>
      </c>
      <c r="AU195" s="0" t="n">
        <f aca="false">-AT195*$AC$51</f>
        <v>0.373858095050287</v>
      </c>
      <c r="AV195" s="0" t="n">
        <f aca="false">-AT195*$AD$51</f>
        <v>0.186929047525144</v>
      </c>
      <c r="AW195" s="0" t="n">
        <f aca="false">(-AU195+SQRT(AU195^2-4*$C195))/2</f>
        <v>3.36379518480831</v>
      </c>
      <c r="AX195" s="0" t="n">
        <f aca="false">(-AV195+SQRT(AV195^2-4*$D195))/2</f>
        <v>2.47196638009617</v>
      </c>
      <c r="AY195" s="0" t="n">
        <f aca="false">IF(AW195&lt;&gt;0,($C$21-$B195)*$AT195/AW195/$AC$51-$AC$60*$AC$51,0)</f>
        <v>-4.57393359963397E-005</v>
      </c>
      <c r="AZ195" s="0" t="n">
        <f aca="false">IF(AX195&lt;&gt;0,($C$27-$B195)*$AT195/AX195/$AD$51-$AC$60*$AD$51,0)</f>
        <v>-4.24665505939606E-005</v>
      </c>
      <c r="BA195" s="0" t="n">
        <f aca="false">(AY195-AR195)/($AT195-$AM195)</f>
        <v>0.00626150846409686</v>
      </c>
      <c r="BB195" s="0" t="n">
        <f aca="false">(AZ195-AS195)/($AT195-$AM195)</f>
        <v>0.00877155924439227</v>
      </c>
      <c r="BC195" s="0" t="n">
        <f aca="false">IF(BA195&lt;&gt;BB195,(AS195-AR195)/(BA195-BB195),0)</f>
        <v>-0.00130743870310971</v>
      </c>
      <c r="BD195" s="0" t="n">
        <f aca="false">AM195+BC195</f>
        <v>-0.00487395401832487</v>
      </c>
      <c r="BE195" s="0" t="n">
        <f aca="false">-BD195*$AC$51</f>
        <v>0.510399271263462</v>
      </c>
      <c r="BF195" s="0" t="n">
        <f aca="false">-BD195*$AD$51</f>
        <v>0.255199635631731</v>
      </c>
      <c r="BG195" s="0" t="n">
        <f aca="false">(-BE195+SQRT(BE195^2-4*$C195))/2</f>
        <v>3.29977251043326</v>
      </c>
      <c r="BH195" s="0" t="n">
        <f aca="false">(-BF195+SQRT(BF195^2-4*$D195))/2</f>
        <v>2.43930139157611</v>
      </c>
      <c r="BI195" s="0" t="n">
        <f aca="false">IF(BG195&lt;&gt;0,($C$21-$B195)*$BD195/BG195/$AC$51-$AC$60*$AC$51,0)</f>
        <v>-5.40581643407636E-005</v>
      </c>
      <c r="BJ195" s="0" t="n">
        <f aca="false">IF(BH195&lt;&gt;0,($C$27-$B195)*$BD195/BH195/$AD$51-$AC$60*$AD$51,0)</f>
        <v>-5.40543032242999E-005</v>
      </c>
      <c r="BK195" s="0" t="n">
        <f aca="false">BD195*1.001</f>
        <v>-0.00487882797234319</v>
      </c>
      <c r="BL195" s="0" t="n">
        <f aca="false">-BK195*$AC$51</f>
        <v>0.510909670534725</v>
      </c>
      <c r="BM195" s="0" t="n">
        <f aca="false">-BK195*$AD$51</f>
        <v>0.255454835267363</v>
      </c>
      <c r="BN195" s="0" t="n">
        <f aca="false">(-BL195+SQRT(BL195^2-4*$C195))/2</f>
        <v>3.29953563984404</v>
      </c>
      <c r="BO195" s="0" t="n">
        <f aca="false">(-BM195+SQRT(BM195^2-4*$D195))/2</f>
        <v>2.43918013786704</v>
      </c>
      <c r="BP195" s="0" t="n">
        <f aca="false">IF(BN195&lt;&gt;0,($C$21-$B195)*$BK195/BN195/$AC$51-$AC$60*$AC$51,0)</f>
        <v>-5.40898442936505E-005</v>
      </c>
      <c r="BQ195" s="0" t="n">
        <f aca="false">IF(BO195&lt;&gt;0,($C$27-$B195)*$BK195/BO195/$AD$51-$AC$60*$AD$51,0)</f>
        <v>-5.40981866132762E-005</v>
      </c>
      <c r="BR195" s="0" t="n">
        <f aca="false">(BP195-BI195)/($BK195-$BD195)</f>
        <v>0.00649984648353505</v>
      </c>
      <c r="BS195" s="0" t="n">
        <f aca="false">(BQ195-BJ195)/($BK195-$BD195)</f>
        <v>0.00900365264245463</v>
      </c>
      <c r="BT195" s="0" t="n">
        <f aca="false">IF(BR195&lt;&gt;BS195,(BJ195-BI195)/(BR195-BS195),0)</f>
        <v>-1.54209879621419E-006</v>
      </c>
      <c r="BU195" s="0" t="n">
        <f aca="false">BD195+BT195</f>
        <v>-0.00487549611712108</v>
      </c>
      <c r="BV195" s="0" t="n">
        <f aca="false">-BU195*$AC$51</f>
        <v>0.510560759471772</v>
      </c>
      <c r="BW195" s="0" t="n">
        <f aca="false">-BU195*$AD$51</f>
        <v>0.255280379735886</v>
      </c>
      <c r="BX195" s="0" t="n">
        <f aca="false">(-BV195+SQRT(BV195^2-4*$C195))/2</f>
        <v>3.29969756359224</v>
      </c>
      <c r="BY195" s="0" t="n">
        <f aca="false">(-BW195+SQRT(BW195^2-4*$D195))/2</f>
        <v>2.43926302672221</v>
      </c>
      <c r="BZ195" s="0" t="n">
        <f aca="false">IF(BX195&lt;&gt;0,($C$21-$B195)*$BU195/BX195/$AC$51-$AC$60*$AC$51,0)</f>
        <v>-5.40681872719843E-005</v>
      </c>
      <c r="CA195" s="0" t="n">
        <f aca="false">IF(BY195&lt;&gt;0,($C$27-$B195)*$BU195/BY195/$AD$51-$AC$60*$AD$51,0)</f>
        <v>-5.40681872861166E-005</v>
      </c>
      <c r="CB195" s="0" t="n">
        <f aca="false">BU195*1.001</f>
        <v>-0.0048803716132382</v>
      </c>
      <c r="CC195" s="0" t="n">
        <f aca="false">-CB195*$AC$51</f>
        <v>0.511071320231243</v>
      </c>
      <c r="CD195" s="0" t="n">
        <f aca="false">-CB195*$AD$51</f>
        <v>0.255535660115622</v>
      </c>
      <c r="CE195" s="0" t="n">
        <f aca="false">(-CC195+SQRT(CC195^2-4*$C195))/2</f>
        <v>3.29946062382928</v>
      </c>
      <c r="CF195" s="0" t="n">
        <f aca="false">(-CD195+SQRT(CD195^2-4*$D195))/2</f>
        <v>2.43914173665252</v>
      </c>
      <c r="CG195" s="0" t="n">
        <f aca="false">IF(CE195&lt;&gt;0,($C$21-$B195)*$CB195/CE195/$AC$51-$AC$60*$AC$51,0)</f>
        <v>-5.40998786368415E-005</v>
      </c>
      <c r="CH195" s="0" t="n">
        <f aca="false">IF(CF195&lt;&gt;0,($C$27-$B195)*$CB195/CF195/$AD$51-$AC$60*$AD$51,0)</f>
        <v>-5.41120859067906E-005</v>
      </c>
      <c r="CI195" s="0" t="n">
        <f aca="false">(CG195-BZ195)/($CB195-$BU195)</f>
        <v>0.0065001312883639</v>
      </c>
      <c r="CJ195" s="0" t="n">
        <f aca="false">(CH195-CA195)/($CB195-$BU195)</f>
        <v>0.00900392895808291</v>
      </c>
      <c r="CK195" s="0" t="n">
        <f aca="false">IF(CI195&lt;&gt;CJ195,(CA195-BZ195)/(CI195-CJ195),0)</f>
        <v>5.64434485360305E-012</v>
      </c>
      <c r="CL195" s="0" t="str">
        <f aca="false">IF(AND(BU195&gt;0,CE195&gt;0,CE195&lt;$C$15,CF195&lt;$C$15,CG195&gt;0,ABS(CK195)&lt;0.1*BU195),B195,"")</f>
        <v/>
      </c>
      <c r="CM195" s="0" t="n">
        <f aca="false">CG195+BU195^2/$C$39</f>
        <v>-5.01381349054977E-005</v>
      </c>
      <c r="CN195" s="0" t="n">
        <f aca="false">-BU195*$C$15/$C$39</f>
        <v>0.00487549611712108</v>
      </c>
      <c r="CO195" s="0" t="n">
        <f aca="false">IF(CL195&lt;&gt;"",(-CM195+SQRT(CM195^2-4*$AC$60*CN195))/2/$AC$60,0)</f>
        <v>0</v>
      </c>
      <c r="CP195" s="0" t="n">
        <f aca="false">CO195*30/PI()</f>
        <v>0</v>
      </c>
      <c r="DB195" s="6"/>
    </row>
    <row r="196" customFormat="false" ht="12.75" hidden="false" customHeight="false" outlineLevel="0" collapsed="false">
      <c r="A196" s="0" t="n">
        <f aca="false">A195+0.01</f>
        <v>0.47</v>
      </c>
      <c r="B196" s="0" t="n">
        <f aca="false">A196*$AC$68</f>
        <v>0.924214112508141</v>
      </c>
      <c r="C196" s="0" t="n">
        <f aca="false">$C$39*($B196-$C$21)</f>
        <v>-12.4547153249512</v>
      </c>
      <c r="D196" s="0" t="n">
        <f aca="false">$C$39*($B196-$C$27)</f>
        <v>-6.45471532495115</v>
      </c>
      <c r="E196" s="0" t="n">
        <f aca="false">$AC$71</f>
        <v>0.0474257507541105</v>
      </c>
      <c r="F196" s="0" t="n">
        <f aca="false">-E196*$AC$51</f>
        <v>-4.96641300533647</v>
      </c>
      <c r="G196" s="0" t="n">
        <f aca="false">-E196*$AD$51</f>
        <v>-2.48320650266823</v>
      </c>
      <c r="H196" s="0" t="n">
        <f aca="false">(-F196+SQRT(F196^2-4*$C196))/2</f>
        <v>6.79841563547338</v>
      </c>
      <c r="I196" s="0" t="n">
        <f aca="false">(-G196+SQRT(G196^2-4*$D196))/2</f>
        <v>4.06937515845014</v>
      </c>
      <c r="J196" s="0" t="n">
        <f aca="false">IF(H196&lt;&gt;0,($C$21-$B196)*$E196/H196/$AC$51-$AC$60*$AC$51,0)</f>
        <v>0.000113778206907363</v>
      </c>
      <c r="K196" s="0" t="n">
        <f aca="false">IF(I196&lt;&gt;0,($C$27-$B196)*$E196/I196/$AD$51-$AC$60*$AD$51,0)</f>
        <v>0.000227198307075357</v>
      </c>
      <c r="L196" s="0" t="n">
        <f aca="false">E196*1.001</f>
        <v>0.0474731765048646</v>
      </c>
      <c r="M196" s="0" t="n">
        <f aca="false">-L196*$AC$51</f>
        <v>-4.97137941834181</v>
      </c>
      <c r="N196" s="0" t="n">
        <f aca="false">-L196*$AD$51</f>
        <v>-2.4856897091709</v>
      </c>
      <c r="O196" s="0" t="n">
        <f aca="false">(-M196+SQRT(M196^2-4*$C196))/2</f>
        <v>6.80232829205334</v>
      </c>
      <c r="P196" s="0" t="n">
        <f aca="false">(-N196+SQRT(N196^2-4*$D196))/2</f>
        <v>4.07116213832868</v>
      </c>
      <c r="Q196" s="0" t="n">
        <f aca="false">IF(O196&lt;&gt;0,($C$21-$B196)*$L196/O196/$AC$51-$AC$60*$AC$51,0)</f>
        <v>0.000113836869724932</v>
      </c>
      <c r="R196" s="0" t="n">
        <f aca="false">IF(P196&lt;&gt;0,($C$27-$B196)*$L196/P196/$AD$51-$AC$60*$AD$51,0)</f>
        <v>0.00022733254838083</v>
      </c>
      <c r="S196" s="0" t="n">
        <f aca="false">(Q196-J196)/($L196-$E196)</f>
        <v>0.00123694019885521</v>
      </c>
      <c r="T196" s="0" t="n">
        <f aca="false">(R196-K196)/($L196-$E196)</f>
        <v>0.00283055730988005</v>
      </c>
      <c r="U196" s="0" t="n">
        <f aca="false">IF(S196&lt;&gt;T196,(K196-J196)/(S196-T196),0)</f>
        <v>-0.0711714874189911</v>
      </c>
      <c r="V196" s="0" t="n">
        <f aca="false">E196+U196</f>
        <v>-0.0237457366648806</v>
      </c>
      <c r="W196" s="0" t="n">
        <f aca="false">-V196*$AC$51</f>
        <v>2.48664772868222</v>
      </c>
      <c r="X196" s="0" t="n">
        <f aca="false">-V196*$AD$51</f>
        <v>1.24332386434111</v>
      </c>
      <c r="Y196" s="0" t="n">
        <f aca="false">(-W196+SQRT(W196^2-4*$C196))/2</f>
        <v>2.49840963185972</v>
      </c>
      <c r="Z196" s="0" t="n">
        <f aca="false">(-X196+SQRT(X196^2-4*$D196))/2</f>
        <v>1.99390280280757</v>
      </c>
      <c r="AA196" s="0" t="n">
        <f aca="false">IF(Y196&lt;&gt;0,($C$21-$B196)*$V196/Y196/$AC$51-$AC$60*$AC$51,0)</f>
        <v>-0.000212899981663584</v>
      </c>
      <c r="AB196" s="0" t="n">
        <f aca="false">IF(Z196&lt;&gt;0,($C$27-$B196)*$V196/Z196/$AD$51-$AC$60*$AD$51,0)</f>
        <v>-0.000256936932774859</v>
      </c>
      <c r="AC196" s="0" t="n">
        <f aca="false">V196*1.001</f>
        <v>-0.0237694824015455</v>
      </c>
      <c r="AD196" s="0" t="n">
        <f aca="false">-AC196*$AC$51</f>
        <v>2.4891343764109</v>
      </c>
      <c r="AE196" s="0" t="n">
        <f aca="false">-AC196*$AD$51</f>
        <v>1.24456718820545</v>
      </c>
      <c r="AF196" s="0" t="n">
        <f aca="false">(-AD196+SQRT(AD196^2-4*$C196))/2</f>
        <v>2.49757963025434</v>
      </c>
      <c r="AG196" s="0" t="n">
        <f aca="false">(-AE196+SQRT(AE196^2-4*$D196))/2</f>
        <v>1.99342896587793</v>
      </c>
      <c r="AH196" s="0" t="n">
        <f aca="false">IF(AF196&lt;&gt;0,($C$21-$B196)*$AC196/AF196/$AC$51-$AC$60*$AC$51,0)</f>
        <v>-0.000213151050942149</v>
      </c>
      <c r="AI196" s="0" t="n">
        <f aca="false">IF(AG196&lt;&gt;0,($C$27-$B196)*$AC196/AG196/$AD$51-$AC$60*$AD$51,0)</f>
        <v>-0.000257239838493735</v>
      </c>
      <c r="AJ196" s="0" t="n">
        <f aca="false">(AH196-AA196)/($AC196-$V196)</f>
        <v>0.0105732360342514</v>
      </c>
      <c r="AK196" s="0" t="n">
        <f aca="false">(AI196-AB196)/($AC196-$V196)</f>
        <v>0.0127562148587517</v>
      </c>
      <c r="AL196" s="0" t="n">
        <f aca="false">IF(AJ196&lt;&gt;AK196,(AB196-AA196)/(AJ196-AK196),0)</f>
        <v>0.0201728714071945</v>
      </c>
      <c r="AM196" s="0" t="n">
        <f aca="false">V196+AL196</f>
        <v>-0.0035728652576861</v>
      </c>
      <c r="AN196" s="0" t="n">
        <f aca="false">-AM196*$AC$51</f>
        <v>0.374149574860428</v>
      </c>
      <c r="AO196" s="0" t="n">
        <f aca="false">-AM196*$AD$51</f>
        <v>0.187074787430214</v>
      </c>
      <c r="AP196" s="0" t="n">
        <f aca="false">(-AN196+SQRT(AN196^2-4*$C196))/2</f>
        <v>3.34700391868871</v>
      </c>
      <c r="AQ196" s="0" t="n">
        <f aca="false">(-AO196+SQRT(AO196^2-4*$D196))/2</f>
        <v>2.44879707857098</v>
      </c>
      <c r="AR196" s="0" t="n">
        <f aca="false">IF(AP196&lt;&gt;0,($C$21-$B196)*$AM196/AP196/$AC$51-$AC$60*$AC$51,0)</f>
        <v>-4.56620694105986E-005</v>
      </c>
      <c r="AS196" s="0" t="n">
        <f aca="false">IF(AQ196&lt;&gt;0,($C$27-$B196)*$AM196/AQ196/$AD$51-$AC$60*$AD$51,0)</f>
        <v>-4.22282662269606E-005</v>
      </c>
      <c r="AT196" s="0" t="n">
        <f aca="false">AM196*1.001</f>
        <v>-0.00357643812294379</v>
      </c>
      <c r="AU196" s="0" t="n">
        <f aca="false">-AT196*$AC$51</f>
        <v>0.374523724435289</v>
      </c>
      <c r="AV196" s="0" t="n">
        <f aca="false">-AT196*$AD$51</f>
        <v>0.187261862217644</v>
      </c>
      <c r="AW196" s="0" t="n">
        <f aca="false">(-AU196+SQRT(AU196^2-4*$C196))/2</f>
        <v>3.34682675155428</v>
      </c>
      <c r="AX196" s="0" t="n">
        <f aca="false">(-AV196+SQRT(AV196^2-4*$D196))/2</f>
        <v>2.44870698431695</v>
      </c>
      <c r="AY196" s="0" t="n">
        <f aca="false">IF(AW196&lt;&gt;0,($C$21-$B196)*$AT196/AW196/$AC$51-$AC$60*$AC$51,0)</f>
        <v>-4.56843505862454E-005</v>
      </c>
      <c r="AZ196" s="0" t="n">
        <f aca="false">IF(AX196&lt;&gt;0,($C$27-$B196)*$AT196/AX196/$AD$51-$AC$60*$AD$51,0)</f>
        <v>-4.22593474681248E-005</v>
      </c>
      <c r="BA196" s="0" t="n">
        <f aca="false">(AY196-AR196)/($AT196-$AM196)</f>
        <v>0.00623622052328016</v>
      </c>
      <c r="BB196" s="0" t="n">
        <f aca="false">(AZ196-AS196)/($AT196-$AM196)</f>
        <v>0.00869924806073422</v>
      </c>
      <c r="BC196" s="0" t="n">
        <f aca="false">IF(BA196&lt;&gt;BB196,(AS196-AR196)/(BA196-BB196),0)</f>
        <v>-0.00139413917685524</v>
      </c>
      <c r="BD196" s="0" t="n">
        <f aca="false">AM196+BC196</f>
        <v>-0.00496700443454134</v>
      </c>
      <c r="BE196" s="0" t="n">
        <f aca="false">-BD196*$AC$51</f>
        <v>0.520143488063433</v>
      </c>
      <c r="BF196" s="0" t="n">
        <f aca="false">-BD196*$AD$51</f>
        <v>0.260071744031717</v>
      </c>
      <c r="BG196" s="0" t="n">
        <f aca="false">(-BE196+SQRT(BE196^2-4*$C196))/2</f>
        <v>3.27862189020604</v>
      </c>
      <c r="BH196" s="0" t="n">
        <f aca="false">(-BF196+SQRT(BF196^2-4*$D196))/2</f>
        <v>2.4139029348272</v>
      </c>
      <c r="BI196" s="0" t="n">
        <f aca="false">IF(BG196&lt;&gt;0,($C$21-$B196)*$BD196/BG196/$AC$51-$AC$60*$AC$51,0)</f>
        <v>-5.45322589268288E-005</v>
      </c>
      <c r="BJ196" s="0" t="n">
        <f aca="false">IF(BH196&lt;&gt;0,($C$27-$B196)*$BD196/BH196/$AD$51-$AC$60*$AD$51,0)</f>
        <v>-5.45278527745045E-005</v>
      </c>
      <c r="BK196" s="0" t="n">
        <f aca="false">BD196*1.001</f>
        <v>-0.00497197143897588</v>
      </c>
      <c r="BL196" s="0" t="n">
        <f aca="false">-BK196*$AC$51</f>
        <v>0.520663631551497</v>
      </c>
      <c r="BM196" s="0" t="n">
        <f aca="false">-BK196*$AD$51</f>
        <v>0.260331815775748</v>
      </c>
      <c r="BN196" s="0" t="n">
        <f aca="false">(-BL196+SQRT(BL196^2-4*$C196))/2</f>
        <v>3.27838094160599</v>
      </c>
      <c r="BO196" s="0" t="n">
        <f aca="false">(-BM196+SQRT(BM196^2-4*$D196))/2</f>
        <v>2.41377954917826</v>
      </c>
      <c r="BP196" s="0" t="n">
        <f aca="false">IF(BN196&lt;&gt;0,($C$21-$B196)*$BK196/BN196/$AC$51-$AC$60*$AC$51,0)</f>
        <v>-5.45644983603301E-005</v>
      </c>
      <c r="BQ196" s="0" t="n">
        <f aca="false">IF(BO196&lt;&gt;0,($C$27-$B196)*$BK196/BO196/$AD$51-$AC$60*$AD$51,0)</f>
        <v>-5.45722927926358E-005</v>
      </c>
      <c r="BR196" s="0" t="n">
        <f aca="false">(BP196-BI196)/($BK196-$BD196)</f>
        <v>0.00649071969356779</v>
      </c>
      <c r="BS196" s="0" t="n">
        <f aca="false">(BQ196-BJ196)/($BK196-$BD196)</f>
        <v>0.00894704619593375</v>
      </c>
      <c r="BT196" s="0" t="n">
        <f aca="false">IF(BR196&lt;&gt;BS196,(BJ196-BI196)/(BR196-BS196),0)</f>
        <v>-1.793797493952E-006</v>
      </c>
      <c r="BU196" s="0" t="n">
        <f aca="false">BD196+BT196</f>
        <v>-0.00496879823203529</v>
      </c>
      <c r="BV196" s="0" t="n">
        <f aca="false">-BU196*$AC$51</f>
        <v>0.520331334097734</v>
      </c>
      <c r="BW196" s="0" t="n">
        <f aca="false">-BU196*$AD$51</f>
        <v>0.260165667048867</v>
      </c>
      <c r="BX196" s="0" t="n">
        <f aca="false">(-BV196+SQRT(BV196^2-4*$C196))/2</f>
        <v>3.27853487118012</v>
      </c>
      <c r="BY196" s="0" t="n">
        <f aca="false">(-BW196+SQRT(BW196^2-4*$D196))/2</f>
        <v>2.4138583742335</v>
      </c>
      <c r="BZ196" s="0" t="n">
        <f aca="false">IF(BX196&lt;&gt;0,($C$21-$B196)*$BU196/BX196/$AC$51-$AC$60*$AC$51,0)</f>
        <v>-5.45439014369873E-005</v>
      </c>
      <c r="CA196" s="0" t="n">
        <f aca="false">IF(BY196&lt;&gt;0,($C$27-$B196)*$BU196/BY196/$AD$51-$AC$60*$AD$51,0)</f>
        <v>-5.45439014528539E-005</v>
      </c>
      <c r="CB196" s="0" t="n">
        <f aca="false">BU196*1.001</f>
        <v>-0.00497376703026733</v>
      </c>
      <c r="CC196" s="0" t="n">
        <f aca="false">-CB196*$AC$51</f>
        <v>0.520851665431832</v>
      </c>
      <c r="CD196" s="0" t="n">
        <f aca="false">-CB196*$AD$51</f>
        <v>0.260425832715916</v>
      </c>
      <c r="CE196" s="0" t="n">
        <f aca="false">(-CC196+SQRT(CC196^2-4*$C196))/2</f>
        <v>3.27829384243454</v>
      </c>
      <c r="CF196" s="0" t="n">
        <f aca="false">(-CD196+SQRT(CD196^2-4*$D196))/2</f>
        <v>2.41373494642099</v>
      </c>
      <c r="CG196" s="0" t="n">
        <f aca="false">IF(CE196&lt;&gt;0,($C$21-$B196)*$CB196/CE196/$AC$51-$AC$60*$AC$51,0)</f>
        <v>-5.45761541634309E-005</v>
      </c>
      <c r="CH196" s="0" t="n">
        <f aca="false">IF(CF196&lt;&gt;0,($C$27-$B196)*$CB196/CF196/$AD$51-$AC$60*$AD$51,0)</f>
        <v>-5.45883591203541E-005</v>
      </c>
      <c r="CI196" s="0" t="n">
        <f aca="false">(CG196-BZ196)/($CB196-$BU196)</f>
        <v>0.00649105174682542</v>
      </c>
      <c r="CJ196" s="0" t="n">
        <f aca="false">(CH196-CA196)/($CB196-$BU196)</f>
        <v>0.00894736824160607</v>
      </c>
      <c r="CK196" s="0" t="n">
        <f aca="false">IF(CI196&lt;&gt;CJ196,(CA196-BZ196)/(CI196-CJ196),0)</f>
        <v>6.45950995032246E-012</v>
      </c>
      <c r="CL196" s="0" t="str">
        <f aca="false">IF(AND(BU196&gt;0,CE196&gt;0,CE196&lt;$C$15,CF196&lt;$C$15,CG196&gt;0,ABS(CK196)&lt;0.1*BU196),B196,"")</f>
        <v/>
      </c>
      <c r="CM196" s="0" t="n">
        <f aca="false">CG196+BU196^2/$C$39</f>
        <v>-5.04613281849848E-005</v>
      </c>
      <c r="CN196" s="0" t="n">
        <f aca="false">-BU196*$C$15/$C$39</f>
        <v>0.00496879823203529</v>
      </c>
      <c r="CO196" s="0" t="n">
        <f aca="false">IF(CL196&lt;&gt;"",(-CM196+SQRT(CM196^2-4*$AC$60*CN196))/2/$AC$60,0)</f>
        <v>0</v>
      </c>
      <c r="CP196" s="0" t="n">
        <f aca="false">CO196*30/PI()</f>
        <v>0</v>
      </c>
      <c r="DB196" s="6"/>
    </row>
    <row r="197" customFormat="false" ht="12.75" hidden="false" customHeight="false" outlineLevel="0" collapsed="false">
      <c r="A197" s="0" t="n">
        <f aca="false">A196+0.01</f>
        <v>0.48</v>
      </c>
      <c r="B197" s="0" t="n">
        <f aca="false">A197*$AC$68</f>
        <v>0.943878242561506</v>
      </c>
      <c r="C197" s="0" t="n">
        <f aca="false">$C$39*($B197-$C$21)</f>
        <v>-12.336730544631</v>
      </c>
      <c r="D197" s="0" t="n">
        <f aca="false">$C$39*($B197-$C$27)</f>
        <v>-6.33673054463097</v>
      </c>
      <c r="E197" s="0" t="n">
        <f aca="false">$AC$71</f>
        <v>0.0474257507541105</v>
      </c>
      <c r="F197" s="0" t="n">
        <f aca="false">-E197*$AC$51</f>
        <v>-4.96641300533647</v>
      </c>
      <c r="G197" s="0" t="n">
        <f aca="false">-E197*$AD$51</f>
        <v>-2.48320650266823</v>
      </c>
      <c r="H197" s="0" t="n">
        <f aca="false">(-F197+SQRT(F197^2-4*$C197))/2</f>
        <v>6.78472310492897</v>
      </c>
      <c r="I197" s="0" t="n">
        <f aca="false">(-G197+SQRT(G197^2-4*$D197))/2</f>
        <v>4.04843583956492</v>
      </c>
      <c r="J197" s="0" t="n">
        <f aca="false">IF(H197&lt;&gt;0,($C$21-$B197)*$E197/H197/$AC$51-$AC$60*$AC$51,0)</f>
        <v>0.000112744688860314</v>
      </c>
      <c r="K197" s="0" t="n">
        <f aca="false">IF(I197&lt;&gt;0,($C$27-$B197)*$E197/I197/$AD$51-$AC$60*$AD$51,0)</f>
        <v>0.000224037289630027</v>
      </c>
      <c r="L197" s="0" t="n">
        <f aca="false">E197*1.001</f>
        <v>0.0474731765048646</v>
      </c>
      <c r="M197" s="0" t="n">
        <f aca="false">-L197*$AC$51</f>
        <v>-4.97137941834181</v>
      </c>
      <c r="N197" s="0" t="n">
        <f aca="false">-L197*$AD$51</f>
        <v>-2.4856897091709</v>
      </c>
      <c r="O197" s="0" t="n">
        <f aca="false">(-M197+SQRT(M197^2-4*$C197))/2</f>
        <v>6.78864031020144</v>
      </c>
      <c r="P197" s="0" t="n">
        <f aca="false">(-N197+SQRT(N197^2-4*$D197))/2</f>
        <v>4.05022688722734</v>
      </c>
      <c r="Q197" s="0" t="n">
        <f aca="false">IF(O197&lt;&gt;0,($C$21-$B197)*$L197/O197/$AC$51-$AC$60*$AC$51,0)</f>
        <v>0.000112802661840425</v>
      </c>
      <c r="R197" s="0" t="n">
        <f aca="false">IF(P197&lt;&gt;0,($C$27-$B197)*$L197/P197/$AD$51-$AC$60*$AD$51,0)</f>
        <v>0.000224168984608258</v>
      </c>
      <c r="S197" s="0" t="n">
        <f aca="false">(Q197-J197)/($L197-$E197)</f>
        <v>0.00122239456811162</v>
      </c>
      <c r="T197" s="0" t="n">
        <f aca="false">(R197-K197)/($L197-$E197)</f>
        <v>0.00277686649417231</v>
      </c>
      <c r="U197" s="0" t="n">
        <f aca="false">IF(S197&lt;&gt;T197,(K197-J197)/(S197-T197),0)</f>
        <v>-0.0715951178685796</v>
      </c>
      <c r="V197" s="0" t="n">
        <f aca="false">E197+U197</f>
        <v>-0.0241693671144692</v>
      </c>
      <c r="W197" s="0" t="n">
        <f aca="false">-V197*$AC$51</f>
        <v>2.53101020562437</v>
      </c>
      <c r="X197" s="0" t="n">
        <f aca="false">-V197*$AD$51</f>
        <v>1.26550510281218</v>
      </c>
      <c r="Y197" s="0" t="n">
        <f aca="false">(-W197+SQRT(W197^2-4*$C197))/2</f>
        <v>2.46788929235619</v>
      </c>
      <c r="Z197" s="0" t="n">
        <f aca="false">(-X197+SQRT(X197^2-4*$D197))/2</f>
        <v>1.96284108704001</v>
      </c>
      <c r="AA197" s="0" t="n">
        <f aca="false">IF(Y197&lt;&gt;0,($C$21-$B197)*$V197/Y197/$AC$51-$AC$60*$AC$51,0)</f>
        <v>-0.00021679351284669</v>
      </c>
      <c r="AB197" s="0" t="n">
        <f aca="false">IF(Z197&lt;&gt;0,($C$27-$B197)*$V197/Z197/$AD$51-$AC$60*$AD$51,0)</f>
        <v>-0.000260618989616862</v>
      </c>
      <c r="AC197" s="0" t="n">
        <f aca="false">V197*1.001</f>
        <v>-0.0241935364815836</v>
      </c>
      <c r="AD197" s="0" t="n">
        <f aca="false">-AC197*$AC$51</f>
        <v>2.53354121582999</v>
      </c>
      <c r="AE197" s="0" t="n">
        <f aca="false">-AC197*$AD$51</f>
        <v>1.266770607915</v>
      </c>
      <c r="AF197" s="0" t="n">
        <f aca="false">(-AD197+SQRT(AD197^2-4*$C197))/2</f>
        <v>2.46705294411693</v>
      </c>
      <c r="AG197" s="0" t="n">
        <f aca="false">(-AE197+SQRT(AE197^2-4*$D197))/2</f>
        <v>1.96236265913528</v>
      </c>
      <c r="AH197" s="0" t="n">
        <f aca="false">IF(AF197&lt;&gt;0,($C$21-$B197)*$AC197/AF197/$AC$51-$AC$60*$AC$51,0)</f>
        <v>-0.000217051057539917</v>
      </c>
      <c r="AI197" s="0" t="n">
        <f aca="false">IF(AG197&lt;&gt;0,($C$27-$B197)*$AC197/AG197/$AD$51-$AC$60*$AD$51,0)</f>
        <v>-0.000260927970684251</v>
      </c>
      <c r="AJ197" s="0" t="n">
        <f aca="false">(AH197-AA197)/($AC197-$V197)</f>
        <v>0.0106558310776795</v>
      </c>
      <c r="AK197" s="0" t="n">
        <f aca="false">(AI197-AB197)/($AC197-$V197)</f>
        <v>0.0127839949604527</v>
      </c>
      <c r="AL197" s="0" t="n">
        <f aca="false">IF(AJ197&lt;&gt;AK197,(AB197-AA197)/(AJ197-AK197),0)</f>
        <v>0.0205930930061007</v>
      </c>
      <c r="AM197" s="0" t="n">
        <f aca="false">V197+AL197</f>
        <v>-0.00357627410836846</v>
      </c>
      <c r="AN197" s="0" t="n">
        <f aca="false">-AM197*$AC$51</f>
        <v>0.374506548869124</v>
      </c>
      <c r="AO197" s="0" t="n">
        <f aca="false">-AM197*$AD$51</f>
        <v>0.187253274434562</v>
      </c>
      <c r="AP197" s="0" t="n">
        <f aca="false">(-AN197+SQRT(AN197^2-4*$C197))/2</f>
        <v>3.33010288231406</v>
      </c>
      <c r="AQ197" s="0" t="n">
        <f aca="false">(-AO197+SQRT(AO197^2-4*$D197))/2</f>
        <v>2.42540025661049</v>
      </c>
      <c r="AR197" s="0" t="n">
        <f aca="false">IF(AP197&lt;&gt;0,($C$21-$B197)*$AM197/AP197/$AC$51-$AC$60*$AC$51,0)</f>
        <v>-4.55880922111551E-005</v>
      </c>
      <c r="AS197" s="0" t="n">
        <f aca="false">IF(AQ197&lt;&gt;0,($C$27-$B197)*$AM197/AQ197/$AD$51-$AC$60*$AD$51,0)</f>
        <v>-4.19925582765698E-005</v>
      </c>
      <c r="AT197" s="0" t="n">
        <f aca="false">AM197*1.001</f>
        <v>-0.00357985038247683</v>
      </c>
      <c r="AU197" s="0" t="n">
        <f aca="false">-AT197*$AC$51</f>
        <v>0.374881055417993</v>
      </c>
      <c r="AV197" s="0" t="n">
        <f aca="false">-AT197*$AD$51</f>
        <v>0.187440527708997</v>
      </c>
      <c r="AW197" s="0" t="n">
        <f aca="false">(-AU197+SQRT(AU197^2-4*$C197))/2</f>
        <v>3.32992560280099</v>
      </c>
      <c r="AX197" s="0" t="n">
        <f aca="false">(-AV197+SQRT(AV197^2-4*$D197))/2</f>
        <v>2.42531011160506</v>
      </c>
      <c r="AY197" s="0" t="n">
        <f aca="false">IF(AW197&lt;&gt;0,($C$21-$B197)*$AT197/AW197/$AC$51-$AC$60*$AC$51,0)</f>
        <v>-4.5610301872955E-005</v>
      </c>
      <c r="AZ197" s="0" t="n">
        <f aca="false">IF(AX197&lt;&gt;0,($C$27-$B197)*$AT197/AX197/$AD$51-$AC$60*$AD$51,0)</f>
        <v>-4.20234063186928E-005</v>
      </c>
      <c r="BA197" s="0" t="n">
        <f aca="false">(AY197-AR197)/($AT197-$AM197)</f>
        <v>0.00621027950513996</v>
      </c>
      <c r="BB197" s="0" t="n">
        <f aca="false">(AZ197-AS197)/($AT197-$AM197)</f>
        <v>0.00862574880681435</v>
      </c>
      <c r="BC197" s="0" t="n">
        <f aca="false">IF(BA197&lt;&gt;BB197,(AS197-AR197)/(BA197-BB197),0)</f>
        <v>-0.00148854466173216</v>
      </c>
      <c r="BD197" s="0" t="n">
        <f aca="false">AM197+BC197</f>
        <v>-0.00506481877010062</v>
      </c>
      <c r="BE197" s="0" t="n">
        <f aca="false">-BD197*$AC$51</f>
        <v>0.530386581330393</v>
      </c>
      <c r="BF197" s="0" t="n">
        <f aca="false">-BD197*$AD$51</f>
        <v>0.265193290665196</v>
      </c>
      <c r="BG197" s="0" t="n">
        <f aca="false">(-BE197+SQRT(BE197^2-4*$C197))/2</f>
        <v>3.25717211145378</v>
      </c>
      <c r="BH197" s="0" t="n">
        <f aca="false">(-BF197+SQRT(BF197^2-4*$D197))/2</f>
        <v>2.3881795079552</v>
      </c>
      <c r="BI197" s="0" t="n">
        <f aca="false">IF(BG197&lt;&gt;0,($C$21-$B197)*$BD197/BG197/$AC$51-$AC$60*$AC$51,0)</f>
        <v>-5.50333007790637E-005</v>
      </c>
      <c r="BJ197" s="0" t="n">
        <f aca="false">IF(BH197&lt;&gt;0,($C$27-$B197)*$BD197/BH197/$AD$51-$AC$60*$AD$51,0)</f>
        <v>-5.50282622295746E-005</v>
      </c>
      <c r="BK197" s="0" t="n">
        <f aca="false">BD197*1.001</f>
        <v>-0.00506988358887072</v>
      </c>
      <c r="BL197" s="0" t="n">
        <f aca="false">-BK197*$AC$51</f>
        <v>0.530916967911723</v>
      </c>
      <c r="BM197" s="0" t="n">
        <f aca="false">-BK197*$AD$51</f>
        <v>0.265458483955862</v>
      </c>
      <c r="BN197" s="0" t="n">
        <f aca="false">(-BL197+SQRT(BL197^2-4*$C197))/2</f>
        <v>3.25692689407067</v>
      </c>
      <c r="BO197" s="0" t="n">
        <f aca="false">(-BM197+SQRT(BM197^2-4*$D197))/2</f>
        <v>2.38805388957206</v>
      </c>
      <c r="BP197" s="0" t="n">
        <f aca="false">IF(BN197&lt;&gt;0,($C$21-$B197)*$BK197/BN197/$AC$51-$AC$60*$AC$51,0)</f>
        <v>-5.50661329684543E-005</v>
      </c>
      <c r="BQ197" s="0" t="n">
        <f aca="false">IF(BO197&lt;&gt;0,($C$27-$B197)*$BK197/BO197/$AD$51-$AC$60*$AD$51,0)</f>
        <v>-5.5073291876787E-005</v>
      </c>
      <c r="BR197" s="0" t="n">
        <f aca="false">(BP197-BI197)/($BK197-$BD197)</f>
        <v>0.00648240161808439</v>
      </c>
      <c r="BS197" s="0" t="n">
        <f aca="false">(BQ197-BJ197)/($BK197-$BD197)</f>
        <v>0.00889067294535108</v>
      </c>
      <c r="BT197" s="0" t="n">
        <f aca="false">IF(BR197&lt;&gt;BS197,(BJ197-BI197)/(BR197-BS197),0)</f>
        <v>-2.09218514213596E-006</v>
      </c>
      <c r="BU197" s="0" t="n">
        <f aca="false">BD197+BT197</f>
        <v>-0.00506691095524275</v>
      </c>
      <c r="BV197" s="0" t="n">
        <f aca="false">-BU197*$AC$51</f>
        <v>0.530605674446142</v>
      </c>
      <c r="BW197" s="0" t="n">
        <f aca="false">-BU197*$AD$51</f>
        <v>0.265302837223071</v>
      </c>
      <c r="BX197" s="0" t="n">
        <f aca="false">(-BV197+SQRT(BV197^2-4*$C197))/2</f>
        <v>3.25707081417588</v>
      </c>
      <c r="BY197" s="0" t="n">
        <f aca="false">(-BW197+SQRT(BW197^2-4*$D197))/2</f>
        <v>2.38812761642716</v>
      </c>
      <c r="BZ197" s="0" t="n">
        <f aca="false">IF(BX197&lt;&gt;0,($C$21-$B197)*$BU197/BX197/$AC$51-$AC$60*$AC$51,0)</f>
        <v>-5.50468625866926E-005</v>
      </c>
      <c r="CA197" s="0" t="n">
        <f aca="false">IF(BY197&lt;&gt;0,($C$27-$B197)*$BU197/BY197/$AD$51-$AC$60*$AD$51,0)</f>
        <v>-5.50468626042649E-005</v>
      </c>
      <c r="CB197" s="0" t="n">
        <f aca="false">BU197*1.001</f>
        <v>-0.00507197786619799</v>
      </c>
      <c r="CC197" s="0" t="n">
        <f aca="false">-CB197*$AC$51</f>
        <v>0.531136280120588</v>
      </c>
      <c r="CD197" s="0" t="n">
        <f aca="false">-CB197*$AD$51</f>
        <v>0.265568140060294</v>
      </c>
      <c r="CE197" s="0" t="n">
        <f aca="false">(-CC197+SQRT(CC197^2-4*$C197))/2</f>
        <v>3.25682550370612</v>
      </c>
      <c r="CF197" s="0" t="n">
        <f aca="false">(-CD197+SQRT(CD197^2-4*$D197))/2</f>
        <v>2.38800194902913</v>
      </c>
      <c r="CG197" s="0" t="n">
        <f aca="false">IF(CE197&lt;&gt;0,($C$21-$B197)*$CB197/CE197/$AC$51-$AC$60*$AC$51,0)</f>
        <v>-5.50797103055639E-005</v>
      </c>
      <c r="CH197" s="0" t="n">
        <f aca="false">IF(CF197&lt;&gt;0,($C$27-$B197)*$CB197/CF197/$AD$51-$AC$60*$AD$51,0)</f>
        <v>-5.50919127595591E-005</v>
      </c>
      <c r="CI197" s="0" t="n">
        <f aca="false">(CG197-BZ197)/($CB197-$BU197)</f>
        <v>0.00648278984205528</v>
      </c>
      <c r="CJ197" s="0" t="n">
        <f aca="false">(CH197-CA197)/($CB197-$BU197)</f>
        <v>0.00889104933796589</v>
      </c>
      <c r="CK197" s="0" t="n">
        <f aca="false">IF(CI197&lt;&gt;CJ197,(CA197-BZ197)/(CI197-CJ197),0)</f>
        <v>7.2966839264421E-012</v>
      </c>
      <c r="CL197" s="0" t="str">
        <f aca="false">IF(AND(BU197&gt;0,CE197&gt;0,CE197&lt;$C$15,CF197&lt;$C$15,CG197&gt;0,ABS(CK197)&lt;0.1*BU197),B197,"")</f>
        <v/>
      </c>
      <c r="CM197" s="0" t="n">
        <f aca="false">CG197+BU197^2/$C$39</f>
        <v>-5.08007792008374E-005</v>
      </c>
      <c r="CN197" s="0" t="n">
        <f aca="false">-BU197*$C$15/$C$39</f>
        <v>0.00506691095524275</v>
      </c>
      <c r="CO197" s="0" t="n">
        <f aca="false">IF(CL197&lt;&gt;"",(-CM197+SQRT(CM197^2-4*$AC$60*CN197))/2/$AC$60,0)</f>
        <v>0</v>
      </c>
      <c r="CP197" s="0" t="n">
        <f aca="false">CO197*30/PI()</f>
        <v>0</v>
      </c>
      <c r="DB197" s="6"/>
    </row>
    <row r="198" customFormat="false" ht="12.75" hidden="false" customHeight="false" outlineLevel="0" collapsed="false">
      <c r="A198" s="0" t="n">
        <f aca="false">A197+0.01</f>
        <v>0.49</v>
      </c>
      <c r="B198" s="0" t="n">
        <f aca="false">A198*$AC$68</f>
        <v>0.963542372614871</v>
      </c>
      <c r="C198" s="0" t="n">
        <f aca="false">$C$39*($B198-$C$21)</f>
        <v>-12.2187457643108</v>
      </c>
      <c r="D198" s="0" t="n">
        <f aca="false">$C$39*($B198-$C$27)</f>
        <v>-6.21874576431078</v>
      </c>
      <c r="E198" s="0" t="n">
        <f aca="false">$AC$71</f>
        <v>0.0474257507541105</v>
      </c>
      <c r="F198" s="0" t="n">
        <f aca="false">-E198*$AC$51</f>
        <v>-4.96641300533647</v>
      </c>
      <c r="G198" s="0" t="n">
        <f aca="false">-E198*$AD$51</f>
        <v>-2.48320650266823</v>
      </c>
      <c r="H198" s="0" t="n">
        <f aca="false">(-F198+SQRT(F198^2-4*$C198))/2</f>
        <v>6.77098684909511</v>
      </c>
      <c r="I198" s="0" t="n">
        <f aca="false">(-G198+SQRT(G198^2-4*$D198))/2</f>
        <v>4.02733913221626</v>
      </c>
      <c r="J198" s="0" t="n">
        <f aca="false">IF(H198&lt;&gt;0,($C$21-$B198)*$E198/H198/$AC$51-$AC$60*$AC$51,0)</f>
        <v>0.000111707870409763</v>
      </c>
      <c r="K198" s="0" t="n">
        <f aca="false">IF(I198&lt;&gt;0,($C$27-$B198)*$E198/I198/$AD$51-$AC$60*$AD$51,0)</f>
        <v>0.000220852512687968</v>
      </c>
      <c r="L198" s="0" t="n">
        <f aca="false">E198*1.001</f>
        <v>0.0474731765048646</v>
      </c>
      <c r="M198" s="0" t="n">
        <f aca="false">-L198*$AC$51</f>
        <v>-4.97137941834181</v>
      </c>
      <c r="N198" s="0" t="n">
        <f aca="false">-L198*$AD$51</f>
        <v>-2.4856897091709</v>
      </c>
      <c r="O198" s="0" t="n">
        <f aca="false">(-M198+SQRT(M198^2-4*$C198))/2</f>
        <v>6.77490864676186</v>
      </c>
      <c r="P198" s="0" t="n">
        <f aca="false">(-N198+SQRT(N198^2-4*$D198))/2</f>
        <v>4.02913434006256</v>
      </c>
      <c r="Q198" s="0" t="n">
        <f aca="false">IF(O198&lt;&gt;0,($C$21-$B198)*$L198/O198/$AC$51-$AC$60*$AC$51,0)</f>
        <v>0.000111765153553939</v>
      </c>
      <c r="R198" s="0" t="n">
        <f aca="false">IF(P198&lt;&gt;0,($C$27-$B198)*$L198/P198/$AD$51-$AC$60*$AD$51,0)</f>
        <v>0.000220981651542189</v>
      </c>
      <c r="S198" s="0" t="n">
        <f aca="false">(Q198-J198)/($L198-$E198)</f>
        <v>0.00120784896948151</v>
      </c>
      <c r="T198" s="0" t="n">
        <f aca="false">(R198-K198)/($L198-$E198)</f>
        <v>0.00272296910786886</v>
      </c>
      <c r="U198" s="0" t="n">
        <f aca="false">IF(S198&lt;&gt;T198,(K198-J198)/(S198-T198),0)</f>
        <v>-0.072036955692751</v>
      </c>
      <c r="V198" s="0" t="n">
        <f aca="false">E198+U198</f>
        <v>-0.0246112049386406</v>
      </c>
      <c r="W198" s="0" t="n">
        <f aca="false">-V198*$AC$51</f>
        <v>2.5772793543742</v>
      </c>
      <c r="X198" s="0" t="n">
        <f aca="false">-V198*$AD$51</f>
        <v>1.2886396771871</v>
      </c>
      <c r="Y198" s="0" t="n">
        <f aca="false">(-W198+SQRT(W198^2-4*$C198))/2</f>
        <v>2.43685867631296</v>
      </c>
      <c r="Z198" s="0" t="n">
        <f aca="false">(-X198+SQRT(X198^2-4*$D198))/2</f>
        <v>1.93131480527891</v>
      </c>
      <c r="AA198" s="0" t="n">
        <f aca="false">IF(Y198&lt;&gt;0,($C$21-$B198)*$V198/Y198/$AC$51-$AC$60*$AC$51,0)</f>
        <v>-0.000220905665206566</v>
      </c>
      <c r="AB198" s="0" t="n">
        <f aca="false">IF(Z198&lt;&gt;0,($C$27-$B198)*$V198/Z198/$AD$51-$AC$60*$AD$51,0)</f>
        <v>-0.000264501973696723</v>
      </c>
      <c r="AC198" s="0" t="n">
        <f aca="false">V198*1.001</f>
        <v>-0.0246358161435792</v>
      </c>
      <c r="AD198" s="0" t="n">
        <f aca="false">-AC198*$AC$51</f>
        <v>2.57985663372857</v>
      </c>
      <c r="AE198" s="0" t="n">
        <f aca="false">-AC198*$AD$51</f>
        <v>1.28992831686429</v>
      </c>
      <c r="AF198" s="0" t="n">
        <f aca="false">(-AD198+SQRT(AD198^2-4*$C198))/2</f>
        <v>2.43601596975073</v>
      </c>
      <c r="AG198" s="0" t="n">
        <f aca="false">(-AE198+SQRT(AE198^2-4*$D198))/2</f>
        <v>1.93083174380329</v>
      </c>
      <c r="AH198" s="0" t="n">
        <f aca="false">IF(AF198&lt;&gt;0,($C$21-$B198)*$AC198/AF198/$AC$51-$AC$60*$AC$51,0)</f>
        <v>-0.000221170079809887</v>
      </c>
      <c r="AI198" s="0" t="n">
        <f aca="false">IF(AG198&lt;&gt;0,($C$27-$B198)*$AC198/AG198/$AD$51-$AC$60*$AD$51,0)</f>
        <v>-0.000264817396627226</v>
      </c>
      <c r="AJ198" s="0" t="n">
        <f aca="false">(AH198-AA198)/($AC198-$V198)</f>
        <v>0.01074366752786</v>
      </c>
      <c r="AK198" s="0" t="n">
        <f aca="false">(AI198-AB198)/($AC198-$V198)</f>
        <v>0.0128162327399106</v>
      </c>
      <c r="AL198" s="0" t="n">
        <f aca="false">IF(AJ198&lt;&gt;AK198,(AB198-AA198)/(AJ198-AK198),0)</f>
        <v>0.0210349513909972</v>
      </c>
      <c r="AM198" s="0" t="n">
        <f aca="false">V198+AL198</f>
        <v>-0.00357625354764338</v>
      </c>
      <c r="AN198" s="0" t="n">
        <f aca="false">-AM198*$AC$51</f>
        <v>0.374504395755029</v>
      </c>
      <c r="AO198" s="0" t="n">
        <f aca="false">-AM198*$AD$51</f>
        <v>0.187252197877514</v>
      </c>
      <c r="AP198" s="0" t="n">
        <f aca="false">(-AN198+SQRT(AN198^2-4*$C198))/2</f>
        <v>3.31329192410134</v>
      </c>
      <c r="AQ198" s="0" t="n">
        <f aca="false">(-AO198+SQRT(AO198^2-4*$D198))/2</f>
        <v>2.40187217008754</v>
      </c>
      <c r="AR198" s="0" t="n">
        <f aca="false">IF(AP198&lt;&gt;0,($C$21-$B198)*$AM198/AP198/$AC$51-$AC$60*$AC$51,0)</f>
        <v>-4.54922743806405E-005</v>
      </c>
      <c r="AS198" s="0" t="n">
        <f aca="false">IF(AQ198&lt;&gt;0,($C$27-$B198)*$AM198/AQ198/$AD$51-$AC$60*$AD$51,0)</f>
        <v>-4.17245414447483E-005</v>
      </c>
      <c r="AT198" s="0" t="n">
        <f aca="false">AM198*1.001</f>
        <v>-0.00357982980119102</v>
      </c>
      <c r="AU198" s="0" t="n">
        <f aca="false">-AT198*$AC$51</f>
        <v>0.374878900150784</v>
      </c>
      <c r="AV198" s="0" t="n">
        <f aca="false">-AT198*$AD$51</f>
        <v>0.187439450075392</v>
      </c>
      <c r="AW198" s="0" t="n">
        <f aca="false">(-AU198+SQRT(AU198^2-4*$C198))/2</f>
        <v>3.31311469345036</v>
      </c>
      <c r="AX198" s="0" t="n">
        <f aca="false">(-AV198+SQRT(AV198^2-4*$D198))/2</f>
        <v>2.40178205840625</v>
      </c>
      <c r="AY198" s="0" t="n">
        <f aca="false">IF(AW198&lt;&gt;0,($C$21-$B198)*$AT198/AW198/$AC$51-$AC$60*$AC$51,0)</f>
        <v>-4.55143884842729E-005</v>
      </c>
      <c r="AZ198" s="0" t="n">
        <f aca="false">IF(AX198&lt;&gt;0,($C$27-$B198)*$AT198/AX198/$AD$51-$AC$60*$AD$51,0)</f>
        <v>-4.17551218311374E-005</v>
      </c>
      <c r="BA198" s="0" t="n">
        <f aca="false">(AY198-AR198)/($AT198-$AM198)</f>
        <v>0.0061835950213619</v>
      </c>
      <c r="BB198" s="0" t="n">
        <f aca="false">(AZ198-AS198)/($AT198-$AM198)</f>
        <v>0.00855095590447032</v>
      </c>
      <c r="BC198" s="0" t="n">
        <f aca="false">IF(BA198&lt;&gt;BB198,(AS198-AR198)/(BA198-BB198),0)</f>
        <v>-0.00159153298627843</v>
      </c>
      <c r="BD198" s="0" t="n">
        <f aca="false">AM198+BC198</f>
        <v>-0.0051677865339218</v>
      </c>
      <c r="BE198" s="0" t="n">
        <f aca="false">-BD198*$AC$51</f>
        <v>0.541169340342967</v>
      </c>
      <c r="BF198" s="0" t="n">
        <f aca="false">-BD198*$AD$51</f>
        <v>0.270584670171483</v>
      </c>
      <c r="BG198" s="0" t="n">
        <f aca="false">(-BE198+SQRT(BE198^2-4*$C198))/2</f>
        <v>3.23540475195212</v>
      </c>
      <c r="BH198" s="0" t="n">
        <f aca="false">(-BF198+SQRT(BF198^2-4*$D198))/2</f>
        <v>2.36211627790568</v>
      </c>
      <c r="BI198" s="0" t="n">
        <f aca="false">IF(BG198&lt;&gt;0,($C$21-$B198)*$BD198/BG198/$AC$51-$AC$60*$AC$51,0)</f>
        <v>-5.55636533982498E-005</v>
      </c>
      <c r="BJ198" s="0" t="n">
        <f aca="false">IF(BH198&lt;&gt;0,($C$27-$B198)*$BD198/BH198/$AD$51-$AC$60*$AD$51,0)</f>
        <v>-5.55578794369462E-005</v>
      </c>
      <c r="BK198" s="0" t="n">
        <f aca="false">BD198*1.001</f>
        <v>-0.00517295432045572</v>
      </c>
      <c r="BL198" s="0" t="n">
        <f aca="false">-BK198*$AC$51</f>
        <v>0.541710509683309</v>
      </c>
      <c r="BM198" s="0" t="n">
        <f aca="false">-BK198*$AD$51</f>
        <v>0.270855254841655</v>
      </c>
      <c r="BN198" s="0" t="n">
        <f aca="false">(-BL198+SQRT(BL198^2-4*$C198))/2</f>
        <v>3.23515506080006</v>
      </c>
      <c r="BO198" s="0" t="n">
        <f aca="false">(-BM198+SQRT(BM198^2-4*$D198))/2</f>
        <v>2.36198831842792</v>
      </c>
      <c r="BP198" s="0" t="n">
        <f aca="false">IF(BN198&lt;&gt;0,($C$21-$B198)*$BK198/BN198/$AC$51-$AC$60*$AC$51,0)</f>
        <v>-5.55971146620262E-005</v>
      </c>
      <c r="BQ198" s="0" t="n">
        <f aca="false">IF(BO198&lt;&gt;0,($C$27-$B198)*$BK198/BO198/$AD$51-$AC$60*$AD$51,0)</f>
        <v>-5.5603534719773E-005</v>
      </c>
      <c r="BR198" s="0" t="n">
        <f aca="false">(BP198-BI198)/($BK198-$BD198)</f>
        <v>0.00647497019404767</v>
      </c>
      <c r="BS198" s="0" t="n">
        <f aca="false">(BQ198-BJ198)/($BK198-$BD198)</f>
        <v>0.00883459146912269</v>
      </c>
      <c r="BT198" s="0" t="n">
        <f aca="false">IF(BR198&lt;&gt;BS198,(BJ198-BI198)/(BR198-BS198),0)</f>
        <v>-2.4469864569559E-006</v>
      </c>
      <c r="BU198" s="0" t="n">
        <f aca="false">BD198+BT198</f>
        <v>-0.00517023352037876</v>
      </c>
      <c r="BV198" s="0" t="n">
        <f aca="false">-BU198*$AC$51</f>
        <v>0.54142558816552</v>
      </c>
      <c r="BW198" s="0" t="n">
        <f aca="false">-BU198*$AD$51</f>
        <v>0.27071279408276</v>
      </c>
      <c r="BX198" s="0" t="n">
        <f aca="false">(-BV198+SQRT(BV198^2-4*$C198))/2</f>
        <v>3.23528651869397</v>
      </c>
      <c r="BY198" s="0" t="n">
        <f aca="false">(-BW198+SQRT(BW198^2-4*$D198))/2</f>
        <v>2.36205568720319</v>
      </c>
      <c r="BZ198" s="0" t="n">
        <f aca="false">IF(BX198&lt;&gt;0,($C$21-$B198)*$BU198/BX198/$AC$51-$AC$60*$AC$51,0)</f>
        <v>-5.55794969436779E-005</v>
      </c>
      <c r="CA198" s="0" t="n">
        <f aca="false">IF(BY198&lt;&gt;0,($C$27-$B198)*$BU198/BY198/$AD$51-$AC$60*$AD$51,0)</f>
        <v>-5.55794969627486E-005</v>
      </c>
      <c r="CB198" s="0" t="n">
        <f aca="false">BU198*1.001</f>
        <v>-0.00517540375389914</v>
      </c>
      <c r="CC198" s="0" t="n">
        <f aca="false">-CB198*$AC$51</f>
        <v>0.541967013753686</v>
      </c>
      <c r="CD198" s="0" t="n">
        <f aca="false">-CB198*$AD$51</f>
        <v>0.270983506876843</v>
      </c>
      <c r="CE198" s="0" t="n">
        <f aca="false">(-CC198+SQRT(CC198^2-4*$C198))/2</f>
        <v>3.2350367191501</v>
      </c>
      <c r="CF198" s="0" t="n">
        <f aca="false">(-CD198+SQRT(CD198^2-4*$D198))/2</f>
        <v>2.36192767059924</v>
      </c>
      <c r="CG198" s="0" t="n">
        <f aca="false">IF(CE198&lt;&gt;0,($C$21-$B198)*$CB198/CE198/$AC$51-$AC$60*$AC$51,0)</f>
        <v>-5.56129764051734E-005</v>
      </c>
      <c r="CH198" s="0" t="n">
        <f aca="false">IF(CF198&lt;&gt;0,($C$27-$B198)*$CB198/CF198/$AD$51-$AC$60*$AD$51,0)</f>
        <v>-5.56251761447235E-005</v>
      </c>
      <c r="CI198" s="0" t="n">
        <f aca="false">(CG198-BZ198)/($CB198-$BU198)</f>
        <v>0.00647542540653781</v>
      </c>
      <c r="CJ198" s="0" t="n">
        <f aca="false">(CH198-CA198)/($CB198-$BU198)</f>
        <v>0.00883503265274408</v>
      </c>
      <c r="CK198" s="0" t="n">
        <f aca="false">IF(CI198&lt;&gt;CJ198,(CA198-BZ198)/(CI198-CJ198),0)</f>
        <v>8.0821743121496E-012</v>
      </c>
      <c r="CL198" s="0" t="str">
        <f aca="false">IF(AND(BU198&gt;0,CE198&gt;0,CE198&lt;$C$15,CF198&lt;$C$15,CG198&gt;0,ABS(CK198)&lt;0.1*BU198),B198,"")</f>
        <v/>
      </c>
      <c r="CM198" s="0" t="n">
        <f aca="false">CG198+BU198^2/$C$39</f>
        <v>-5.11577572959654E-005</v>
      </c>
      <c r="CN198" s="0" t="n">
        <f aca="false">-BU198*$C$15/$C$39</f>
        <v>0.00517023352037876</v>
      </c>
      <c r="CO198" s="0" t="n">
        <f aca="false">IF(CL198&lt;&gt;"",(-CM198+SQRT(CM198^2-4*$AC$60*CN198))/2/$AC$60,0)</f>
        <v>0</v>
      </c>
      <c r="CP198" s="0" t="n">
        <f aca="false">CO198*30/PI()</f>
        <v>0</v>
      </c>
      <c r="DB198" s="6"/>
    </row>
    <row r="199" customFormat="false" ht="12.75" hidden="false" customHeight="false" outlineLevel="0" collapsed="false">
      <c r="A199" s="0" t="n">
        <f aca="false">A198+0.01</f>
        <v>0.5</v>
      </c>
      <c r="B199" s="0" t="n">
        <f aca="false">A199*$AC$68</f>
        <v>0.983206502668235</v>
      </c>
      <c r="C199" s="0" t="n">
        <f aca="false">$C$39*($B199-$C$21)</f>
        <v>-12.1007609839906</v>
      </c>
      <c r="D199" s="0" t="n">
        <f aca="false">$C$39*($B199-$C$27)</f>
        <v>-6.10076098399059</v>
      </c>
      <c r="E199" s="0" t="n">
        <f aca="false">$AC$71</f>
        <v>0.0474257507541105</v>
      </c>
      <c r="F199" s="0" t="n">
        <f aca="false">-E199*$AC$51</f>
        <v>-4.96641300533647</v>
      </c>
      <c r="G199" s="0" t="n">
        <f aca="false">-E199*$AD$51</f>
        <v>-2.48320650266823</v>
      </c>
      <c r="H199" s="0" t="n">
        <f aca="false">(-F199+SQRT(F199^2-4*$C199))/2</f>
        <v>6.75720644638424</v>
      </c>
      <c r="I199" s="0" t="n">
        <f aca="false">(-G199+SQRT(G199^2-4*$D199))/2</f>
        <v>4.00608143314602</v>
      </c>
      <c r="J199" s="0" t="n">
        <f aca="false">IF(H199&lt;&gt;0,($C$21-$B199)*$E199/H199/$AC$51-$AC$60*$AC$51,0)</f>
        <v>0.000110667719734102</v>
      </c>
      <c r="K199" s="0" t="n">
        <f aca="false">IF(I199&lt;&gt;0,($C$27-$B199)*$E199/I199/$AD$51-$AC$60*$AD$51,0)</f>
        <v>0.000217643432298251</v>
      </c>
      <c r="L199" s="0" t="n">
        <f aca="false">E199*1.001</f>
        <v>0.0474731765048646</v>
      </c>
      <c r="M199" s="0" t="n">
        <f aca="false">-L199*$AC$51</f>
        <v>-4.97137941834181</v>
      </c>
      <c r="N199" s="0" t="n">
        <f aca="false">-L199*$AD$51</f>
        <v>-2.4856897091709</v>
      </c>
      <c r="O199" s="0" t="n">
        <f aca="false">(-M199+SQRT(M199^2-4*$C199))/2</f>
        <v>6.76113288085132</v>
      </c>
      <c r="P199" s="0" t="n">
        <f aca="false">(-N199+SQRT(N199^2-4*$D199))/2</f>
        <v>4.00788089712814</v>
      </c>
      <c r="Q199" s="0" t="n">
        <f aca="false">IF(O199&lt;&gt;0,($C$21-$B199)*$L199/O199/$AC$51-$AC$60*$AC$51,0)</f>
        <v>0.000110724313065256</v>
      </c>
      <c r="R199" s="0" t="n">
        <f aca="false">IF(P199&lt;&gt;0,($C$27-$B199)*$L199/P199/$AD$51-$AC$60*$AD$51,0)</f>
        <v>0.000217770005224487</v>
      </c>
      <c r="S199" s="0" t="n">
        <f aca="false">(Q199-J199)/($L199-$E199)</f>
        <v>0.00119330385401956</v>
      </c>
      <c r="T199" s="0" t="n">
        <f aca="false">(R199-K199)/($L199-$E199)</f>
        <v>0.0026688649989329</v>
      </c>
      <c r="U199" s="0" t="n">
        <f aca="false">IF(S199&lt;&gt;T199,(K199-J199)/(S199-T199),0)</f>
        <v>-0.072498325760965</v>
      </c>
      <c r="V199" s="0" t="n">
        <f aca="false">E199+U199</f>
        <v>-0.0250725750068545</v>
      </c>
      <c r="W199" s="0" t="n">
        <f aca="false">-V199*$AC$51</f>
        <v>2.62559391493711</v>
      </c>
      <c r="X199" s="0" t="n">
        <f aca="false">-V199*$AD$51</f>
        <v>1.31279695746855</v>
      </c>
      <c r="Y199" s="0" t="n">
        <f aca="false">(-W199+SQRT(W199^2-4*$C199))/2</f>
        <v>2.40529352496047</v>
      </c>
      <c r="Z199" s="0" t="n">
        <f aca="false">(-X199+SQRT(X199^2-4*$D199))/2</f>
        <v>1.899304936546</v>
      </c>
      <c r="AA199" s="0" t="n">
        <f aca="false">IF(Y199&lt;&gt;0,($C$21-$B199)*$V199/Y199/$AC$51-$AC$60*$AC$51,0)</f>
        <v>-0.000225255885501483</v>
      </c>
      <c r="AB199" s="0" t="n">
        <f aca="false">IF(Z199&lt;&gt;0,($C$27-$B199)*$V199/Z199/$AD$51-$AC$60*$AD$51,0)</f>
        <v>-0.000268604052318538</v>
      </c>
      <c r="AC199" s="0" t="n">
        <f aca="false">V199*1.001</f>
        <v>-0.0250976475818614</v>
      </c>
      <c r="AD199" s="0" t="n">
        <f aca="false">-AC199*$AC$51</f>
        <v>2.62821950885205</v>
      </c>
      <c r="AE199" s="0" t="n">
        <f aca="false">-AC199*$AD$51</f>
        <v>1.31410975442602</v>
      </c>
      <c r="AF199" s="0" t="n">
        <f aca="false">(-AD199+SQRT(AD199^2-4*$C199))/2</f>
        <v>2.40444445798882</v>
      </c>
      <c r="AG199" s="0" t="n">
        <f aca="false">(-AE199+SQRT(AE199^2-4*$D199))/2</f>
        <v>1.89881720402658</v>
      </c>
      <c r="AH199" s="0" t="n">
        <f aca="false">IF(AF199&lt;&gt;0,($C$21-$B199)*$AC199/AF199/$AC$51-$AC$60*$AC$51,0)</f>
        <v>-0.000225527601106679</v>
      </c>
      <c r="AI199" s="0" t="n">
        <f aca="false">IF(AG199&lt;&gt;0,($C$27-$B199)*$AC199/AG199/$AD$51-$AC$60*$AD$51,0)</f>
        <v>-0.000268926318294206</v>
      </c>
      <c r="AJ199" s="0" t="n">
        <f aca="false">(AH199-AA199)/($AC199-$V199)</f>
        <v>0.0108371639180444</v>
      </c>
      <c r="AK199" s="0" t="n">
        <f aca="false">(AI199-AB199)/($AC199-$V199)</f>
        <v>0.0128533258183142</v>
      </c>
      <c r="AL199" s="0" t="n">
        <f aca="false">IF(AJ199&lt;&gt;AK199,(AB199-AA199)/(AJ199-AK199),0)</f>
        <v>0.021500340231236</v>
      </c>
      <c r="AM199" s="0" t="n">
        <f aca="false">V199+AL199</f>
        <v>-0.00357223477561852</v>
      </c>
      <c r="AN199" s="0" t="n">
        <f aca="false">-AM199*$AC$51</f>
        <v>0.374083550932705</v>
      </c>
      <c r="AO199" s="0" t="n">
        <f aca="false">-AM199*$AD$51</f>
        <v>0.187041775466352</v>
      </c>
      <c r="AP199" s="0" t="n">
        <f aca="false">(-AN199+SQRT(AN199^2-4*$C199))/2</f>
        <v>3.29659793175944</v>
      </c>
      <c r="AQ199" s="0" t="n">
        <f aca="false">(-AO199+SQRT(AO199^2-4*$D199))/2</f>
        <v>2.37822083429868</v>
      </c>
      <c r="AR199" s="0" t="n">
        <f aca="false">IF(AP199&lt;&gt;0,($C$21-$B199)*$AM199/AP199/$AC$51-$AC$60*$AC$51,0)</f>
        <v>-4.53713824675946E-005</v>
      </c>
      <c r="AS199" s="0" t="n">
        <f aca="false">IF(AQ199&lt;&gt;0,($C$27-$B199)*$AM199/AQ199/$AD$51-$AC$60*$AD$51,0)</f>
        <v>-4.1420094262778E-005</v>
      </c>
      <c r="AT199" s="0" t="n">
        <f aca="false">AM199*1.001</f>
        <v>-0.00357580701039414</v>
      </c>
      <c r="AU199" s="0" t="n">
        <f aca="false">-AT199*$AC$51</f>
        <v>0.374457634483637</v>
      </c>
      <c r="AV199" s="0" t="n">
        <f aca="false">-AT199*$AD$51</f>
        <v>0.187228817241819</v>
      </c>
      <c r="AW199" s="0" t="n">
        <f aca="false">(-AU199+SQRT(AU199^2-4*$C199))/2</f>
        <v>3.29642093754071</v>
      </c>
      <c r="AX199" s="0" t="n">
        <f aca="false">(-AV199+SQRT(AV199^2-4*$D199))/2</f>
        <v>2.37813085363652</v>
      </c>
      <c r="AY199" s="0" t="n">
        <f aca="false">IF(AW199&lt;&gt;0,($C$21-$B199)*$AT199/AW199/$AC$51-$AC$60*$AC$51,0)</f>
        <v>-4.53933733667691E-005</v>
      </c>
      <c r="AZ199" s="0" t="n">
        <f aca="false">IF(AX199&lt;&gt;0,($C$27-$B199)*$AT199/AX199/$AD$51-$AC$60*$AD$51,0)</f>
        <v>-4.14503680543268E-005</v>
      </c>
      <c r="BA199" s="0" t="n">
        <f aca="false">(AY199-AR199)/($AT199-$AM199)</f>
        <v>0.00615606211678535</v>
      </c>
      <c r="BB199" s="0" t="n">
        <f aca="false">(AZ199-AS199)/($AT199-$AM199)</f>
        <v>0.00847474856786781</v>
      </c>
      <c r="BC199" s="0" t="n">
        <f aca="false">IF(BA199&lt;&gt;BB199,(AS199-AR199)/(BA199-BB199),0)</f>
        <v>-0.00170410630681522</v>
      </c>
      <c r="BD199" s="0" t="n">
        <f aca="false">AM199+BC199</f>
        <v>-0.00527634108243374</v>
      </c>
      <c r="BE199" s="0" t="n">
        <f aca="false">-BD199*$AC$51</f>
        <v>0.552537146080262</v>
      </c>
      <c r="BF199" s="0" t="n">
        <f aca="false">-BD199*$AD$51</f>
        <v>0.276268573040131</v>
      </c>
      <c r="BG199" s="0" t="n">
        <f aca="false">(-BE199+SQRT(BE199^2-4*$C199))/2</f>
        <v>3.21329949599653</v>
      </c>
      <c r="BH199" s="0" t="n">
        <f aca="false">(-BF199+SQRT(BF199^2-4*$D199))/2</f>
        <v>2.33569716794546</v>
      </c>
      <c r="BI199" s="0" t="n">
        <f aca="false">IF(BG199&lt;&gt;0,($C$21-$B199)*$BD199/BG199/$AC$51-$AC$60*$AC$51,0)</f>
        <v>-5.61259634822766E-005</v>
      </c>
      <c r="BJ199" s="0" t="n">
        <f aca="false">IF(BH199&lt;&gt;0,($C$27-$B199)*$BD199/BH199/$AD$51-$AC$60*$AD$51,0)</f>
        <v>-5.611933235973E-005</v>
      </c>
      <c r="BK199" s="0" t="n">
        <f aca="false">BD199*1.001</f>
        <v>-0.00528161742351617</v>
      </c>
      <c r="BL199" s="0" t="n">
        <f aca="false">-BK199*$AC$51</f>
        <v>0.553089683226342</v>
      </c>
      <c r="BM199" s="0" t="n">
        <f aca="false">-BK199*$AD$51</f>
        <v>0.276544841613171</v>
      </c>
      <c r="BN199" s="0" t="n">
        <f aca="false">(-BL199+SQRT(BL199^2-4*$C199))/2</f>
        <v>3.21304511043183</v>
      </c>
      <c r="BO199" s="0" t="n">
        <f aca="false">(-BM199+SQRT(BM199^2-4*$D199))/2</f>
        <v>2.3355667506729</v>
      </c>
      <c r="BP199" s="0" t="n">
        <f aca="false">IF(BN199&lt;&gt;0,($C$21-$B199)*$BK199/BN199/$AC$51-$AC$60*$AC$51,0)</f>
        <v>-5.61600935614053E-005</v>
      </c>
      <c r="BQ199" s="0" t="n">
        <f aca="false">IF(BO199&lt;&gt;0,($C$27-$B199)*$BK199/BO199/$AD$51-$AC$60*$AD$51,0)</f>
        <v>-5.61656526644911E-005</v>
      </c>
      <c r="BR199" s="0" t="n">
        <f aca="false">(BP199-BI199)/($BK199-$BD199)</f>
        <v>0.00646851266729616</v>
      </c>
      <c r="BS199" s="0" t="n">
        <f aca="false">(BQ199-BJ199)/($BK199-$BD199)</f>
        <v>0.00877886854496614</v>
      </c>
      <c r="BT199" s="0" t="n">
        <f aca="false">IF(BR199&lt;&gt;BS199,(BJ199-BI199)/(BR199-BS199),0)</f>
        <v>-2.87017364323341E-006</v>
      </c>
      <c r="BU199" s="0" t="n">
        <f aca="false">BD199+BT199</f>
        <v>-0.00527921125607698</v>
      </c>
      <c r="BV199" s="0" t="n">
        <f aca="false">-BU199*$AC$51</f>
        <v>0.552837709961332</v>
      </c>
      <c r="BW199" s="0" t="n">
        <f aca="false">-BU199*$AD$51</f>
        <v>0.276418854980666</v>
      </c>
      <c r="BX199" s="0" t="n">
        <f aca="false">(-BV199+SQRT(BV199^2-4*$C199))/2</f>
        <v>3.21316111507009</v>
      </c>
      <c r="BY199" s="0" t="n">
        <f aca="false">(-BW199+SQRT(BW199^2-4*$D199))/2</f>
        <v>2.33562622384906</v>
      </c>
      <c r="BZ199" s="0" t="n">
        <f aca="false">IF(BX199&lt;&gt;0,($C$21-$B199)*$BU199/BX199/$AC$51-$AC$60*$AC$51,0)</f>
        <v>-5.61445285930988E-005</v>
      </c>
      <c r="CA199" s="0" t="n">
        <f aca="false">IF(BY199&lt;&gt;0,($C$27-$B199)*$BU199/BY199/$AD$51-$AC$60*$AD$51,0)</f>
        <v>-5.61445286131576E-005</v>
      </c>
      <c r="CB199" s="0" t="n">
        <f aca="false">BU199*1.001</f>
        <v>-0.00528449046733305</v>
      </c>
      <c r="CC199" s="0" t="n">
        <f aca="false">-CB199*$AC$51</f>
        <v>0.553390547671294</v>
      </c>
      <c r="CD199" s="0" t="n">
        <f aca="false">-CB199*$AD$51</f>
        <v>0.276695273835647</v>
      </c>
      <c r="CE199" s="0" t="n">
        <f aca="false">(-CC199+SQRT(CC199^2-4*$C199))/2</f>
        <v>3.21290660296256</v>
      </c>
      <c r="CF199" s="0" t="n">
        <f aca="false">(-CD199+SQRT(CD199^2-4*$D199))/2</f>
        <v>2.33549573982035</v>
      </c>
      <c r="CG199" s="0" t="n">
        <f aca="false">IF(CE199&lt;&gt;0,($C$21-$B199)*$CB199/CE199/$AC$51-$AC$60*$AC$51,0)</f>
        <v>-5.61786800642725E-005</v>
      </c>
      <c r="CH199" s="0" t="n">
        <f aca="false">IF(CF199&lt;&gt;0,($C$27-$B199)*$CB199/CF199/$AD$51-$AC$60*$AD$51,0)</f>
        <v>-5.61908768530008E-005</v>
      </c>
      <c r="CI199" s="0" t="n">
        <f aca="false">(CG199-BZ199)/($CB199-$BU199)</f>
        <v>0.00646904802954848</v>
      </c>
      <c r="CJ199" s="0" t="n">
        <f aca="false">(CH199-CA199)/($CB199-$BU199)</f>
        <v>0.00877938722188299</v>
      </c>
      <c r="CK199" s="0" t="n">
        <f aca="false">IF(CI199&lt;&gt;CJ199,(CA199-BZ199)/(CI199-CJ199),0)</f>
        <v>8.68218423441441E-012</v>
      </c>
      <c r="CL199" s="0" t="str">
        <f aca="false">IF(AND(BU199&gt;0,CE199&gt;0,CE199&lt;$C$15,CF199&lt;$C$15,CG199&gt;0,ABS(CK199)&lt;0.1*BU199),B199,"")</f>
        <v/>
      </c>
      <c r="CM199" s="0" t="n">
        <f aca="false">CG199+BU199^2/$C$39</f>
        <v>-5.15336681498909E-005</v>
      </c>
      <c r="CN199" s="0" t="n">
        <f aca="false">-BU199*$C$15/$C$39</f>
        <v>0.00527921125607698</v>
      </c>
      <c r="CO199" s="0" t="n">
        <f aca="false">IF(CL199&lt;&gt;"",(-CM199+SQRT(CM199^2-4*$AC$60*CN199))/2/$AC$60,0)</f>
        <v>0</v>
      </c>
      <c r="CP199" s="0" t="n">
        <f aca="false">CO199*30/PI()</f>
        <v>0</v>
      </c>
      <c r="DB199" s="6"/>
    </row>
    <row r="200" customFormat="false" ht="12.75" hidden="false" customHeight="false" outlineLevel="0" collapsed="false">
      <c r="A200" s="0" t="n">
        <f aca="false">A199+0.01</f>
        <v>0.51</v>
      </c>
      <c r="B200" s="0" t="n">
        <f aca="false">A200*$AC$68</f>
        <v>1.0028706327216</v>
      </c>
      <c r="C200" s="0" t="n">
        <f aca="false">$C$39*($B200-$C$21)</f>
        <v>-11.9827762036704</v>
      </c>
      <c r="D200" s="0" t="n">
        <f aca="false">$C$39*($B200-$C$27)</f>
        <v>-5.9827762036704</v>
      </c>
      <c r="E200" s="0" t="n">
        <f aca="false">$AC$71</f>
        <v>0.0474257507541105</v>
      </c>
      <c r="F200" s="0" t="n">
        <f aca="false">-E200*$AC$51</f>
        <v>-4.96641300533647</v>
      </c>
      <c r="G200" s="0" t="n">
        <f aca="false">-E200*$AD$51</f>
        <v>-2.48320650266823</v>
      </c>
      <c r="H200" s="0" t="n">
        <f aca="false">(-F200+SQRT(F200^2-4*$C200))/2</f>
        <v>6.74338146839021</v>
      </c>
      <c r="I200" s="0" t="n">
        <f aca="false">(-G200+SQRT(G200^2-4*$D200))/2</f>
        <v>3.98465899947229</v>
      </c>
      <c r="J200" s="0" t="n">
        <f aca="false">IF(H200&lt;&gt;0,($C$21-$B200)*$E200/H200/$AC$51-$AC$60*$AC$51,0)</f>
        <v>0.00010962420449705</v>
      </c>
      <c r="K200" s="0" t="n">
        <f aca="false">IF(I200&lt;&gt;0,($C$27-$B200)*$E200/I200/$AD$51-$AC$60*$AD$51,0)</f>
        <v>0.000214409483432232</v>
      </c>
      <c r="L200" s="0" t="n">
        <f aca="false">E200*1.001</f>
        <v>0.0474731765048646</v>
      </c>
      <c r="M200" s="0" t="n">
        <f aca="false">-L200*$AC$51</f>
        <v>-4.97137941834181</v>
      </c>
      <c r="N200" s="0" t="n">
        <f aca="false">-L200*$AD$51</f>
        <v>-2.4856897091709</v>
      </c>
      <c r="O200" s="0" t="n">
        <f aca="false">(-M200+SQRT(M200^2-4*$C200))/2</f>
        <v>6.74731258478396</v>
      </c>
      <c r="P200" s="0" t="n">
        <f aca="false">(-N200+SQRT(N200^2-4*$D200))/2</f>
        <v>3.98646281928825</v>
      </c>
      <c r="Q200" s="0" t="n">
        <f aca="false">IF(O200&lt;&gt;0,($C$21-$B200)*$L200/O200/$AC$51-$AC$60*$AC$51,0)</f>
        <v>0.000109680108060184</v>
      </c>
      <c r="R200" s="0" t="n">
        <f aca="false">IF(P200&lt;&gt;0,($C$27-$B200)*$L200/P200/$AD$51-$AC$60*$AD$51,0)</f>
        <v>0.000214533480627557</v>
      </c>
      <c r="S200" s="0" t="n">
        <f aca="false">(Q200-J200)/($L200-$E200)</f>
        <v>0.00117875968740753</v>
      </c>
      <c r="T200" s="0" t="n">
        <f aca="false">(R200-K200)/($L200-$E200)</f>
        <v>0.00261455418949678</v>
      </c>
      <c r="U200" s="0" t="n">
        <f aca="false">IF(S200&lt;&gt;T200,(K200-J200)/(S200-T200),0)</f>
        <v>-0.0729806938128734</v>
      </c>
      <c r="V200" s="0" t="n">
        <f aca="false">E200+U200</f>
        <v>-0.0255549430587629</v>
      </c>
      <c r="W200" s="0" t="n">
        <f aca="false">-V200*$AC$51</f>
        <v>2.6761073792105</v>
      </c>
      <c r="X200" s="0" t="n">
        <f aca="false">-V200*$AD$51</f>
        <v>1.33805368960525</v>
      </c>
      <c r="Y200" s="0" t="n">
        <f aca="false">(-W200+SQRT(W200^2-4*$C200))/2</f>
        <v>2.37316765652012</v>
      </c>
      <c r="Z200" s="0" t="n">
        <f aca="false">(-X200+SQRT(X200^2-4*$D200))/2</f>
        <v>1.86679119337302</v>
      </c>
      <c r="AA200" s="0" t="n">
        <f aca="false">IF(Y200&lt;&gt;0,($C$21-$B200)*$V200/Y200/$AC$51-$AC$60*$AC$51,0)</f>
        <v>-0.000229866020642562</v>
      </c>
      <c r="AB200" s="0" t="n">
        <f aca="false">IF(Z200&lt;&gt;0,($C$27-$B200)*$V200/Z200/$AD$51-$AC$60*$AD$51,0)</f>
        <v>-0.000272945680848193</v>
      </c>
      <c r="AC200" s="0" t="n">
        <f aca="false">V200*1.001</f>
        <v>-0.0255804980018217</v>
      </c>
      <c r="AD200" s="0" t="n">
        <f aca="false">-AC200*$AC$51</f>
        <v>2.67878348658971</v>
      </c>
      <c r="AE200" s="0" t="n">
        <f aca="false">-AC200*$AD$51</f>
        <v>1.33939174329485</v>
      </c>
      <c r="AF200" s="0" t="n">
        <f aca="false">(-AD200+SQRT(AD200^2-4*$C200))/2</f>
        <v>2.3723122381235</v>
      </c>
      <c r="AG200" s="0" t="n">
        <f aca="false">(-AE200+SQRT(AE200^2-4*$D200))/2</f>
        <v>1.86629875850698</v>
      </c>
      <c r="AH200" s="0" t="n">
        <f aca="false">IF(AF200&lt;&gt;0,($C$21-$B200)*$AC200/AF200/$AC$51-$AC$60*$AC$51,0)</f>
        <v>-0.000230145509561513</v>
      </c>
      <c r="AI200" s="0" t="n">
        <f aca="false">IF(AG200&lt;&gt;0,($C$27-$B200)*$AC200/AG200/$AD$51-$AC$60*$AD$51,0)</f>
        <v>-0.000273275230190005</v>
      </c>
      <c r="AJ200" s="0" t="n">
        <f aca="false">(AH200-AA200)/($AC200-$V200)</f>
        <v>0.0109367850402968</v>
      </c>
      <c r="AK200" s="0" t="n">
        <f aca="false">(AI200-AB200)/($AC200-$V200)</f>
        <v>0.0128957181025556</v>
      </c>
      <c r="AL200" s="0" t="n">
        <f aca="false">IF(AJ200&lt;&gt;AK200,(AB200-AA200)/(AJ200-AK200),0)</f>
        <v>0.0219913896169357</v>
      </c>
      <c r="AM200" s="0" t="n">
        <f aca="false">V200+AL200</f>
        <v>-0.00356355344182714</v>
      </c>
      <c r="AN200" s="0" t="n">
        <f aca="false">-AM200*$AC$51</f>
        <v>0.373174443783959</v>
      </c>
      <c r="AO200" s="0" t="n">
        <f aca="false">-AM200*$AD$51</f>
        <v>0.186587221891979</v>
      </c>
      <c r="AP200" s="0" t="n">
        <f aca="false">(-AN200+SQRT(AN200^2-4*$C200))/2</f>
        <v>3.28005250485261</v>
      </c>
      <c r="AQ200" s="0" t="n">
        <f aca="false">(-AO200+SQRT(AO200^2-4*$D200))/2</f>
        <v>2.35445635616947</v>
      </c>
      <c r="AR200" s="0" t="n">
        <f aca="false">IF(AP200&lt;&gt;0,($C$21-$B200)*$AM200/AP200/$AC$51-$AC$60*$AC$51,0)</f>
        <v>-4.52216708619304E-005</v>
      </c>
      <c r="AS200" s="0" t="n">
        <f aca="false">IF(AQ200&lt;&gt;0,($C$27-$B200)*$AM200/AQ200/$AD$51-$AC$60*$AD$51,0)</f>
        <v>-4.10744870286929E-005</v>
      </c>
      <c r="AT200" s="0" t="n">
        <f aca="false">AM200*1.001</f>
        <v>-0.00356711699526897</v>
      </c>
      <c r="AU200" s="0" t="n">
        <f aca="false">-AT200*$AC$51</f>
        <v>0.373547618227743</v>
      </c>
      <c r="AV200" s="0" t="n">
        <f aca="false">-AT200*$AD$51</f>
        <v>0.186773809113871</v>
      </c>
      <c r="AW200" s="0" t="n">
        <f aca="false">(-AU200+SQRT(AU200^2-4*$C200))/2</f>
        <v>3.27987596544388</v>
      </c>
      <c r="AX200" s="0" t="n">
        <f aca="false">(-AV200+SQRT(AV200^2-4*$D200))/2</f>
        <v>2.35436662012914</v>
      </c>
      <c r="AY200" s="0" t="n">
        <f aca="false">IF(AW200&lt;&gt;0,($C$21-$B200)*$AT200/AW200/$AC$51-$AC$60*$AC$51,0)</f>
        <v>-4.52435067444824E-005</v>
      </c>
      <c r="AZ200" s="0" t="n">
        <f aca="false">IF(AX200&lt;&gt;0,($C$27-$B200)*$AT200/AX200/$AD$51-$AC$60*$AD$51,0)</f>
        <v>-4.11044101445159E-005</v>
      </c>
      <c r="BA200" s="0" t="n">
        <f aca="false">(AY200-AR200)/($AT200-$AM200)</f>
        <v>0.00612755860364339</v>
      </c>
      <c r="BB200" s="0" t="n">
        <f aca="false">(AZ200-AS200)/($AT200-$AM200)</f>
        <v>0.00839698809389932</v>
      </c>
      <c r="BC200" s="0" t="n">
        <f aca="false">IF(BA200&lt;&gt;BB200,(AS200-AR200)/(BA200-BB200),0)</f>
        <v>-0.00182741250655461</v>
      </c>
      <c r="BD200" s="0" t="n">
        <f aca="false">AM200+BC200</f>
        <v>-0.00539096594838176</v>
      </c>
      <c r="BE200" s="0" t="n">
        <f aca="false">-BD200*$AC$51</f>
        <v>0.564540633972962</v>
      </c>
      <c r="BF200" s="0" t="n">
        <f aca="false">-BD200*$AD$51</f>
        <v>0.282270316986481</v>
      </c>
      <c r="BG200" s="0" t="n">
        <f aca="false">(-BE200+SQRT(BE200^2-4*$C200))/2</f>
        <v>3.19083387602617</v>
      </c>
      <c r="BH200" s="0" t="n">
        <f aca="false">(-BF200+SQRT(BF200^2-4*$D200))/2</f>
        <v>2.30890470580148</v>
      </c>
      <c r="BI200" s="0" t="n">
        <f aca="false">IF(BG200&lt;&gt;0,($C$21-$B200)*$BD200/BG200/$AC$51-$AC$60*$AC$51,0)</f>
        <v>-5.67232043786628E-005</v>
      </c>
      <c r="BJ200" s="0" t="n">
        <f aca="false">IF(BH200&lt;&gt;0,($C$27-$B200)*$BD200/BH200/$AD$51-$AC$60*$AD$51,0)</f>
        <v>-5.67155718781203E-005</v>
      </c>
      <c r="BK200" s="0" t="n">
        <f aca="false">BD200*1.001</f>
        <v>-0.00539635691433014</v>
      </c>
      <c r="BL200" s="0" t="n">
        <f aca="false">-BK200*$AC$51</f>
        <v>0.565105174606935</v>
      </c>
      <c r="BM200" s="0" t="n">
        <f aca="false">-BK200*$AD$51</f>
        <v>0.282552587303467</v>
      </c>
      <c r="BN200" s="0" t="n">
        <f aca="false">(-BL200+SQRT(BL200^2-4*$C200))/2</f>
        <v>3.19057455811783</v>
      </c>
      <c r="BO200" s="0" t="n">
        <f aca="false">(-BM200+SQRT(BM200^2-4*$D200))/2</f>
        <v>2.30877170482062</v>
      </c>
      <c r="BP200" s="0" t="n">
        <f aca="false">IF(BN200&lt;&gt;0,($C$21-$B200)*$BK200/BN200/$AC$51-$AC$60*$AC$51,0)</f>
        <v>-5.67580468762216E-005</v>
      </c>
      <c r="BQ200" s="0" t="n">
        <f aca="false">IF(BO200&lt;&gt;0,($C$27-$B200)*$BK200/BO200/$AD$51-$AC$60*$AD$51,0)</f>
        <v>-5.67626004033218E-005</v>
      </c>
      <c r="BR200" s="0" t="n">
        <f aca="false">(BP200-BI200)/($BK200-$BD200)</f>
        <v>0.00646312699661689</v>
      </c>
      <c r="BS200" s="0" t="n">
        <f aca="false">(BQ200-BJ200)/($BK200-$BD200)</f>
        <v>0.00872358045882242</v>
      </c>
      <c r="BT200" s="0" t="n">
        <f aca="false">IF(BR200&lt;&gt;BS200,(BJ200-BI200)/(BR200-BS200),0)</f>
        <v>-3.37653513778089E-006</v>
      </c>
      <c r="BU200" s="0" t="n">
        <f aca="false">BD200+BT200</f>
        <v>-0.00539434248351954</v>
      </c>
      <c r="BV200" s="0" t="n">
        <f aca="false">-BU200*$AC$51</f>
        <v>0.564894223905743</v>
      </c>
      <c r="BW200" s="0" t="n">
        <f aca="false">-BU200*$AD$51</f>
        <v>0.282447111952872</v>
      </c>
      <c r="BX200" s="0" t="n">
        <f aca="false">(-BV200+SQRT(BV200^2-4*$C200))/2</f>
        <v>3.19067145422377</v>
      </c>
      <c r="BY200" s="0" t="n">
        <f aca="false">(-BW200+SQRT(BW200^2-4*$D200))/2</f>
        <v>2.30882140206679</v>
      </c>
      <c r="BZ200" s="0" t="n">
        <f aca="false">IF(BX200&lt;&gt;0,($C$21-$B200)*$BU200/BX200/$AC$51-$AC$60*$AC$51,0)</f>
        <v>-5.67450267182651E-005</v>
      </c>
      <c r="CA200" s="0" t="n">
        <f aca="false">IF(BY200&lt;&gt;0,($C$27-$B200)*$BU200/BY200/$AD$51-$AC$60*$AD$51,0)</f>
        <v>-5.67450267383009E-005</v>
      </c>
      <c r="CB200" s="0" t="n">
        <f aca="false">BU200*1.001</f>
        <v>-0.00539973682600305</v>
      </c>
      <c r="CC200" s="0" t="n">
        <f aca="false">-CB200*$AC$51</f>
        <v>0.565459118129649</v>
      </c>
      <c r="CD200" s="0" t="n">
        <f aca="false">-CB200*$AD$51</f>
        <v>0.282729559064824</v>
      </c>
      <c r="CE200" s="0" t="n">
        <f aca="false">(-CC200+SQRT(CC200^2-4*$C200))/2</f>
        <v>3.19041198818593</v>
      </c>
      <c r="CF200" s="0" t="n">
        <f aca="false">(-CD200+SQRT(CD200^2-4*$D200))/2</f>
        <v>2.30868832286407</v>
      </c>
      <c r="CG200" s="0" t="n">
        <f aca="false">IF(CE200&lt;&gt;0,($C$21-$B200)*$CB200/CE200/$AC$51-$AC$60*$AC$51,0)</f>
        <v>-5.67798944457634E-005</v>
      </c>
      <c r="CH200" s="0" t="n">
        <f aca="false">IF(CF200&lt;&gt;0,($C$27-$B200)*$CB200/CF200/$AD$51-$AC$60*$AD$51,0)</f>
        <v>-5.67920880185551E-005</v>
      </c>
      <c r="CI200" s="0" t="n">
        <f aca="false">(CG200-BZ200)/($CB200-$BU200)</f>
        <v>0.00646375857758223</v>
      </c>
      <c r="CJ200" s="0" t="n">
        <f aca="false">(CH200-CA200)/($CB200-$BU200)</f>
        <v>0.00872419213240309</v>
      </c>
      <c r="CK200" s="0" t="n">
        <f aca="false">IF(CI200&lt;&gt;CJ200,(CA200-BZ200)/(CI200-CJ200),0)</f>
        <v>8.86365826385794E-012</v>
      </c>
      <c r="CL200" s="0" t="str">
        <f aca="false">IF(AND(BU200&gt;0,CE200&gt;0,CE200&lt;$C$15,CF200&lt;$C$15,CG200&gt;0,ABS(CK200)&lt;0.1*BU200),B200,"")</f>
        <v/>
      </c>
      <c r="CM200" s="0" t="n">
        <f aca="false">CG200+BU200^2/$C$39</f>
        <v>-5.19300726408461E-005</v>
      </c>
      <c r="CN200" s="0" t="n">
        <f aca="false">-BU200*$C$15/$C$39</f>
        <v>0.00539434248351954</v>
      </c>
      <c r="CO200" s="0" t="n">
        <f aca="false">IF(CL200&lt;&gt;"",(-CM200+SQRT(CM200^2-4*$AC$60*CN200))/2/$AC$60,0)</f>
        <v>0</v>
      </c>
      <c r="CP200" s="0" t="n">
        <f aca="false">CO200*30/PI()</f>
        <v>0</v>
      </c>
      <c r="DB200" s="6"/>
    </row>
    <row r="201" customFormat="false" ht="12.75" hidden="false" customHeight="false" outlineLevel="0" collapsed="false">
      <c r="A201" s="0" t="n">
        <f aca="false">A200+0.01</f>
        <v>0.52</v>
      </c>
      <c r="B201" s="0" t="n">
        <f aca="false">A201*$AC$68</f>
        <v>1.02253476277496</v>
      </c>
      <c r="C201" s="0" t="n">
        <f aca="false">$C$39*($B201-$C$21)</f>
        <v>-11.8647914233502</v>
      </c>
      <c r="D201" s="0" t="n">
        <f aca="false">$C$39*($B201-$C$27)</f>
        <v>-5.86479142335021</v>
      </c>
      <c r="E201" s="0" t="n">
        <f aca="false">$AC$71</f>
        <v>0.0474257507541105</v>
      </c>
      <c r="F201" s="0" t="n">
        <f aca="false">-E201*$AC$51</f>
        <v>-4.96641300533647</v>
      </c>
      <c r="G201" s="0" t="n">
        <f aca="false">-E201*$AD$51</f>
        <v>-2.48320650266823</v>
      </c>
      <c r="H201" s="0" t="n">
        <f aca="false">(-F201+SQRT(F201^2-4*$C201))/2</f>
        <v>6.72951147973289</v>
      </c>
      <c r="I201" s="0" t="n">
        <f aca="false">(-G201+SQRT(G201^2-4*$D201))/2</f>
        <v>3.96306794099549</v>
      </c>
      <c r="J201" s="0" t="n">
        <f aca="false">IF(H201&lt;&gt;0,($C$21-$B201)*$E201/H201/$AC$51-$AC$60*$AC$51,0)</f>
        <v>0.000108577291835931</v>
      </c>
      <c r="K201" s="0" t="n">
        <f aca="false">IF(I201&lt;&gt;0,($C$27-$B201)*$E201/I201/$AD$51-$AC$60*$AD$51,0)</f>
        <v>0.000211150078822064</v>
      </c>
      <c r="L201" s="0" t="n">
        <f aca="false">E201*1.001</f>
        <v>0.0474731765048646</v>
      </c>
      <c r="M201" s="0" t="n">
        <f aca="false">-L201*$AC$51</f>
        <v>-4.97137941834181</v>
      </c>
      <c r="N201" s="0" t="n">
        <f aca="false">-L201*$AD$51</f>
        <v>-2.4856897091709</v>
      </c>
      <c r="O201" s="0" t="n">
        <f aca="false">(-M201+SQRT(M201^2-4*$C201))/2</f>
        <v>6.7334473239164</v>
      </c>
      <c r="P201" s="0" t="n">
        <f aca="false">(-N201+SQRT(N201^2-4*$D201))/2</f>
        <v>3.96487622029742</v>
      </c>
      <c r="Q201" s="0" t="n">
        <f aca="false">IF(O201&lt;&gt;0,($C$21-$B201)*$L201/O201/$AC$51-$AC$60*$AC$51,0)</f>
        <v>0.000108632505698847</v>
      </c>
      <c r="R201" s="0" t="n">
        <f aca="false">IF(P201&lt;&gt;0,($C$27-$B201)*$L201/P201/$AD$51-$AC$60*$AD$51,0)</f>
        <v>0.000211271490493792</v>
      </c>
      <c r="S201" s="0" t="n">
        <f aca="false">(Q201-J201)/($L201-$E201)</f>
        <v>0.00116421695046289</v>
      </c>
      <c r="T201" s="0" t="n">
        <f aca="false">(R201-K201)/($L201-$E201)</f>
        <v>0.0025600368955122</v>
      </c>
      <c r="U201" s="0" t="n">
        <f aca="false">IF(S201&lt;&gt;T201,(K201-J201)/(S201-T201),0)</f>
        <v>-0.0734856865671955</v>
      </c>
      <c r="V201" s="0" t="n">
        <f aca="false">E201+U201</f>
        <v>-0.026059935813085</v>
      </c>
      <c r="W201" s="0" t="n">
        <f aca="false">-V201*$AC$51</f>
        <v>2.72899009678031</v>
      </c>
      <c r="X201" s="0" t="n">
        <f aca="false">-V201*$AD$51</f>
        <v>1.36449504839015</v>
      </c>
      <c r="Y201" s="0" t="n">
        <f aca="false">(-W201+SQRT(W201^2-4*$C201))/2</f>
        <v>2.34045274617207</v>
      </c>
      <c r="Z201" s="0" t="n">
        <f aca="false">(-X201+SQRT(X201^2-4*$D201))/2</f>
        <v>1.83375190100766</v>
      </c>
      <c r="AA201" s="0" t="n">
        <f aca="false">IF(Y201&lt;&gt;0,($C$21-$B201)*$V201/Y201/$AC$51-$AC$60*$AC$51,0)</f>
        <v>-0.000234760702112165</v>
      </c>
      <c r="AB201" s="0" t="n">
        <f aca="false">IF(Z201&lt;&gt;0,($C$27-$B201)*$V201/Z201/$AD$51-$AC$60*$AD$51,0)</f>
        <v>-0.00027754997516169</v>
      </c>
      <c r="AC201" s="0" t="n">
        <f aca="false">V201*1.001</f>
        <v>-0.026085995748898</v>
      </c>
      <c r="AD201" s="0" t="n">
        <f aca="false">-AC201*$AC$51</f>
        <v>2.73171908687709</v>
      </c>
      <c r="AE201" s="0" t="n">
        <f aca="false">-AC201*$AD$51</f>
        <v>1.36585954343854</v>
      </c>
      <c r="AF201" s="0" t="n">
        <f aca="false">(-AD201+SQRT(AD201^2-4*$C201))/2</f>
        <v>2.33959099809515</v>
      </c>
      <c r="AG201" s="0" t="n">
        <f aca="false">(-AE201+SQRT(AE201^2-4*$D201))/2</f>
        <v>1.83325473988769</v>
      </c>
      <c r="AH201" s="0" t="n">
        <f aca="false">IF(AF201&lt;&gt;0,($C$21-$B201)*$AC201/AF201/$AC$51-$AC$60*$AC$51,0)</f>
        <v>-0.000235048483251265</v>
      </c>
      <c r="AI201" s="0" t="n">
        <f aca="false">IF(AG201&lt;&gt;0,($C$27-$B201)*$AC201/AG201/$AD$51-$AC$60*$AD$51,0)</f>
        <v>-0.000277887292538798</v>
      </c>
      <c r="AJ201" s="0" t="n">
        <f aca="false">(AH201-AA201)/($AC201-$V201)</f>
        <v>0.0110430486538561</v>
      </c>
      <c r="AK201" s="0" t="n">
        <f aca="false">(AI201-AB201)/($AC201-$V201)</f>
        <v>0.0129439066745082</v>
      </c>
      <c r="AL201" s="0" t="n">
        <f aca="false">IF(AJ201&lt;&gt;AK201,(AB201-AA201)/(AJ201-AK201),0)</f>
        <v>0.0225105045114549</v>
      </c>
      <c r="AM201" s="0" t="n">
        <f aca="false">V201+AL201</f>
        <v>-0.00354943130163006</v>
      </c>
      <c r="AN201" s="0" t="n">
        <f aca="false">-AM201*$AC$51</f>
        <v>0.371695576720755</v>
      </c>
      <c r="AO201" s="0" t="n">
        <f aca="false">-AM201*$AD$51</f>
        <v>0.185847788360378</v>
      </c>
      <c r="AP201" s="0" t="n">
        <f aca="false">(-AN201+SQRT(AN201^2-4*$C201))/2</f>
        <v>3.26369288016183</v>
      </c>
      <c r="AQ201" s="0" t="n">
        <f aca="false">(-AO201+SQRT(AO201^2-4*$D201))/2</f>
        <v>2.33059137778734</v>
      </c>
      <c r="AR201" s="0" t="n">
        <f aca="false">IF(AP201&lt;&gt;0,($C$21-$B201)*$AM201/AP201/$AC$51-$AC$60*$AC$51,0)</f>
        <v>-4.503878928431E-005</v>
      </c>
      <c r="AS201" s="0" t="n">
        <f aca="false">IF(AQ201&lt;&gt;0,($C$27-$B201)*$AM201/AQ201/$AD$51-$AC$60*$AD$51,0)</f>
        <v>-4.06822762711324E-005</v>
      </c>
      <c r="AT201" s="0" t="n">
        <f aca="false">AM201*1.001</f>
        <v>-0.00355298073293169</v>
      </c>
      <c r="AU201" s="0" t="n">
        <f aca="false">-AT201*$AC$51</f>
        <v>0.372067272297476</v>
      </c>
      <c r="AV201" s="0" t="n">
        <f aca="false">-AT201*$AD$51</f>
        <v>0.186033636148738</v>
      </c>
      <c r="AW201" s="0" t="n">
        <f aca="false">(-AU201+SQRT(AU201^2-4*$C201))/2</f>
        <v>3.26351705011881</v>
      </c>
      <c r="AX201" s="0" t="n">
        <f aca="false">(-AV201+SQRT(AV201^2-4*$D201))/2</f>
        <v>2.33050201861638</v>
      </c>
      <c r="AY201" s="0" t="n">
        <f aca="false">IF(AW201&lt;&gt;0,($C$21-$B201)*$AT201/AW201/$AC$51-$AC$60*$AC$51,0)</f>
        <v>-4.50604335099457E-005</v>
      </c>
      <c r="AZ201" s="0" t="n">
        <f aca="false">IF(AX201&lt;&gt;0,($C$27-$B201)*$AT201/AX201/$AD$51-$AC$60*$AD$51,0)</f>
        <v>-4.07117987177582E-005</v>
      </c>
      <c r="BA201" s="0" t="n">
        <f aca="false">(AY201-AR201)/($AT201-$AM201)</f>
        <v>0.00609794183809521</v>
      </c>
      <c r="BB201" s="0" t="n">
        <f aca="false">(AZ201-AS201)/($AT201-$AM201)</f>
        <v>0.00831751458670533</v>
      </c>
      <c r="BC201" s="0" t="n">
        <f aca="false">IF(BA201&lt;&gt;BB201,(AS201-AR201)/(BA201-BB201),0)</f>
        <v>-0.00196277099541147</v>
      </c>
      <c r="BD201" s="0" t="n">
        <f aca="false">AM201+BC201</f>
        <v>-0.00551220229704154</v>
      </c>
      <c r="BE201" s="0" t="n">
        <f aca="false">-BD201*$AC$51</f>
        <v>0.577236474716216</v>
      </c>
      <c r="BF201" s="0" t="n">
        <f aca="false">-BD201*$AD$51</f>
        <v>0.288618237358108</v>
      </c>
      <c r="BG201" s="0" t="n">
        <f aca="false">(-BE201+SQRT(BE201^2-4*$C201))/2</f>
        <v>3.16798297051733</v>
      </c>
      <c r="BH201" s="0" t="n">
        <f aca="false">(-BF201+SQRT(BF201^2-4*$D201))/2</f>
        <v>2.28171984757097</v>
      </c>
      <c r="BI201" s="0" t="n">
        <f aca="false">IF(BG201&lt;&gt;0,($C$21-$B201)*$BD201/BG201/$AC$51-$AC$60*$AC$51,0)</f>
        <v>-5.73587277678243E-005</v>
      </c>
      <c r="BJ201" s="0" t="n">
        <f aca="false">IF(BH201&lt;&gt;0,($C$27-$B201)*$BD201/BH201/$AD$51-$AC$60*$AD$51,0)</f>
        <v>-5.73499226795981E-005</v>
      </c>
      <c r="BK201" s="0" t="n">
        <f aca="false">BD201*1.001</f>
        <v>-0.00551771449933858</v>
      </c>
      <c r="BL201" s="0" t="n">
        <f aca="false">-BK201*$AC$51</f>
        <v>0.577813711190932</v>
      </c>
      <c r="BM201" s="0" t="n">
        <f aca="false">-BK201*$AD$51</f>
        <v>0.288906855595466</v>
      </c>
      <c r="BN201" s="0" t="n">
        <f aca="false">(-BL201+SQRT(BL201^2-4*$C201))/2</f>
        <v>3.16771846320324</v>
      </c>
      <c r="BO201" s="0" t="n">
        <f aca="false">(-BM201+SQRT(BM201^2-4*$D201))/2</f>
        <v>2.28158412676582</v>
      </c>
      <c r="BP201" s="0" t="n">
        <f aca="false">IF(BN201&lt;&gt;0,($C$21-$B201)*$BK201/BN201/$AC$51-$AC$60*$AC$51,0)</f>
        <v>-5.73943306608781E-005</v>
      </c>
      <c r="BQ201" s="0" t="n">
        <f aca="false">IF(BO201&lt;&gt;0,($C$27-$B201)*$BK201/BO201/$AD$51-$AC$60*$AD$51,0)</f>
        <v>-5.73977069391438E-005</v>
      </c>
      <c r="BR201" s="0" t="n">
        <f aca="false">(BP201-BI201)/($BK201-$BD201)</f>
        <v>0.00645892351828242</v>
      </c>
      <c r="BS201" s="0" t="n">
        <f aca="false">(BQ201-BJ201)/($BK201-$BD201)</f>
        <v>0.00866881456278717</v>
      </c>
      <c r="BT201" s="0" t="n">
        <f aca="false">IF(BR201&lt;&gt;BS201,(BJ201-BI201)/(BR201-BS201),0)</f>
        <v>-3.98439925262962E-006</v>
      </c>
      <c r="BU201" s="0" t="n">
        <f aca="false">BD201+BT201</f>
        <v>-0.00551618669629416</v>
      </c>
      <c r="BV201" s="0" t="n">
        <f aca="false">-BU201*$AC$51</f>
        <v>0.57765372003025</v>
      </c>
      <c r="BW201" s="0" t="n">
        <f aca="false">-BU201*$AD$51</f>
        <v>0.288826860015125</v>
      </c>
      <c r="BX201" s="0" t="n">
        <f aca="false">(-BV201+SQRT(BV201^2-4*$C201))/2</f>
        <v>3.16779177362331</v>
      </c>
      <c r="BY201" s="0" t="n">
        <f aca="false">(-BW201+SQRT(BW201^2-4*$D201))/2</f>
        <v>2.28162174329821</v>
      </c>
      <c r="BZ201" s="0" t="n">
        <f aca="false">IF(BX201&lt;&gt;0,($C$21-$B201)*$BU201/BX201/$AC$51-$AC$60*$AC$51,0)</f>
        <v>-5.73844621271583E-005</v>
      </c>
      <c r="CA201" s="0" t="n">
        <f aca="false">IF(BY201&lt;&gt;0,($C$27-$B201)*$BU201/BY201/$AD$51-$AC$60*$AD$51,0)</f>
        <v>-5.7384462145347E-005</v>
      </c>
      <c r="CB201" s="0" t="n">
        <f aca="false">BU201*1.001</f>
        <v>-0.00552170288299046</v>
      </c>
      <c r="CC201" s="0" t="n">
        <f aca="false">-CB201*$AC$51</f>
        <v>0.57823137375028</v>
      </c>
      <c r="CD201" s="0" t="n">
        <f aca="false">-CB201*$AD$51</f>
        <v>0.28911568687514</v>
      </c>
      <c r="CE201" s="0" t="n">
        <f aca="false">(-CC201+SQRT(CC201^2-4*$C201))/2</f>
        <v>3.16752709243364</v>
      </c>
      <c r="CF201" s="0" t="n">
        <f aca="false">(-CD201+SQRT(CD201^2-4*$D201))/2</f>
        <v>2.28148593058002</v>
      </c>
      <c r="CG201" s="0" t="n">
        <f aca="false">IF(CE201&lt;&gt;0,($C$21-$B201)*$CB201/CE201/$AC$51-$AC$60*$AC$51,0)</f>
        <v>-5.74200948784339E-005</v>
      </c>
      <c r="CH201" s="0" t="n">
        <f aca="false">IF(CF201&lt;&gt;0,($C$27-$B201)*$CB201/CF201/$AD$51-$AC$60*$AD$51,0)</f>
        <v>-5.74322849367583E-005</v>
      </c>
      <c r="CI201" s="0" t="n">
        <f aca="false">(CG201-BZ201)/($CB201-$BU201)</f>
        <v>0.0064596710078026</v>
      </c>
      <c r="CJ201" s="0" t="n">
        <f aca="false">(CH201-CA201)/($CB201-$BU201)</f>
        <v>0.00866953822346859</v>
      </c>
      <c r="CK201" s="0" t="n">
        <f aca="false">IF(CI201&lt;&gt;CJ201,(CA201-BZ201)/(CI201-CJ201),0)</f>
        <v>8.23067751115682E-012</v>
      </c>
      <c r="CL201" s="0" t="str">
        <f aca="false">IF(AND(BU201&gt;0,CE201&gt;0,CE201&lt;$C$15,CF201&lt;$C$15,CG201&gt;0,ABS(CK201)&lt;0.1*BU201),B201,"")</f>
        <v/>
      </c>
      <c r="CM201" s="0" t="n">
        <f aca="false">CG201+BU201^2/$C$39</f>
        <v>-5.23487089337052E-005</v>
      </c>
      <c r="CN201" s="0" t="n">
        <f aca="false">-BU201*$C$15/$C$39</f>
        <v>0.00551618669629416</v>
      </c>
      <c r="CO201" s="0" t="n">
        <f aca="false">IF(CL201&lt;&gt;"",(-CM201+SQRT(CM201^2-4*$AC$60*CN201))/2/$AC$60,0)</f>
        <v>0</v>
      </c>
      <c r="CP201" s="0" t="n">
        <f aca="false">CO201*30/PI()</f>
        <v>0</v>
      </c>
      <c r="DB201" s="6"/>
    </row>
    <row r="202" customFormat="false" ht="12.75" hidden="false" customHeight="false" outlineLevel="0" collapsed="false">
      <c r="A202" s="0" t="n">
        <f aca="false">A201+0.01</f>
        <v>0.53</v>
      </c>
      <c r="B202" s="0" t="n">
        <f aca="false">A202*$AC$68</f>
        <v>1.04219889282833</v>
      </c>
      <c r="C202" s="0" t="n">
        <f aca="false">$C$39*($B202-$C$21)</f>
        <v>-11.74680664303</v>
      </c>
      <c r="D202" s="0" t="n">
        <f aca="false">$C$39*($B202-$C$27)</f>
        <v>-5.74680664303003</v>
      </c>
      <c r="E202" s="0" t="n">
        <f aca="false">$AC$71</f>
        <v>0.0474257507541105</v>
      </c>
      <c r="F202" s="0" t="n">
        <f aca="false">-E202*$AC$51</f>
        <v>-4.96641300533647</v>
      </c>
      <c r="G202" s="0" t="n">
        <f aca="false">-E202*$AD$51</f>
        <v>-2.48320650266823</v>
      </c>
      <c r="H202" s="0" t="n">
        <f aca="false">(-F202+SQRT(F202^2-4*$C202))/2</f>
        <v>6.71559603789817</v>
      </c>
      <c r="I202" s="0" t="n">
        <f aca="false">(-G202+SQRT(G202^2-4*$D202))/2</f>
        <v>3.94130421195058</v>
      </c>
      <c r="J202" s="0" t="n">
        <f aca="false">IF(H202&lt;&gt;0,($C$21-$B202)*$E202/H202/$AC$51-$AC$60*$AC$51,0)</f>
        <v>0.00010752694834959</v>
      </c>
      <c r="K202" s="0" t="n">
        <f aca="false">IF(I202&lt;&gt;0,($C$27-$B202)*$E202/I202/$AD$51-$AC$60*$AD$51,0)</f>
        <v>0.000207864607715604</v>
      </c>
      <c r="L202" s="0" t="n">
        <f aca="false">E202*1.001</f>
        <v>0.0474731765048646</v>
      </c>
      <c r="M202" s="0" t="n">
        <f aca="false">-L202*$AC$51</f>
        <v>-4.97137941834181</v>
      </c>
      <c r="N202" s="0" t="n">
        <f aca="false">-L202*$AD$51</f>
        <v>-2.4856897091709</v>
      </c>
      <c r="O202" s="0" t="n">
        <f aca="false">(-M202+SQRT(M202^2-4*$C202))/2</f>
        <v>6.71953665648822</v>
      </c>
      <c r="P202" s="0" t="n">
        <f aca="false">(-N202+SQRT(N202^2-4*$D202))/2</f>
        <v>3.94311705856778</v>
      </c>
      <c r="Q202" s="0" t="n">
        <f aca="false">IF(O202&lt;&gt;0,($C$21-$B202)*$L202/O202/$AC$51-$AC$60*$AC$51,0)</f>
        <v>0.000107581472603637</v>
      </c>
      <c r="R202" s="0" t="n">
        <f aca="false">IF(P202&lt;&gt;0,($C$27-$B202)*$L202/P202/$AD$51-$AC$60*$AD$51,0)</f>
        <v>0.000207983424091521</v>
      </c>
      <c r="S202" s="0" t="n">
        <f aca="false">(Q202-J202)/($L202-$E202)</f>
        <v>0.00114967613964522</v>
      </c>
      <c r="T202" s="0" t="n">
        <f aca="false">(R202-K202)/($L202-$E202)</f>
        <v>0.00250531354859054</v>
      </c>
      <c r="U202" s="0" t="n">
        <f aca="false">IF(S202&lt;&gt;T202,(K202-J202)/(S202-T202),0)</f>
        <v>-0.0740151154755139</v>
      </c>
      <c r="V202" s="0" t="n">
        <f aca="false">E202+U202</f>
        <v>-0.0265893647214034</v>
      </c>
      <c r="W202" s="0" t="n">
        <f aca="false">-V202*$AC$51</f>
        <v>2.78443176241268</v>
      </c>
      <c r="X202" s="0" t="n">
        <f aca="false">-V202*$AD$51</f>
        <v>1.39221588120634</v>
      </c>
      <c r="Y202" s="0" t="n">
        <f aca="false">(-W202+SQRT(W202^2-4*$C202))/2</f>
        <v>2.30711807275256</v>
      </c>
      <c r="Z202" s="0" t="n">
        <f aca="false">(-X202+SQRT(X202^2-4*$D202))/2</f>
        <v>1.80016386110449</v>
      </c>
      <c r="AA202" s="0" t="n">
        <f aca="false">IF(Y202&lt;&gt;0,($C$21-$B202)*$V202/Y202/$AC$51-$AC$60*$AC$51,0)</f>
        <v>-0.000239967806962676</v>
      </c>
      <c r="AB202" s="0" t="n">
        <f aca="false">IF(Z202&lt;&gt;0,($C$27-$B202)*$V202/Z202/$AD$51-$AC$60*$AD$51,0)</f>
        <v>-0.000282443159133405</v>
      </c>
      <c r="AC202" s="0" t="n">
        <f aca="false">V202*1.001</f>
        <v>-0.0266159540861248</v>
      </c>
      <c r="AD202" s="0" t="n">
        <f aca="false">-AC202*$AC$51</f>
        <v>2.78721619417509</v>
      </c>
      <c r="AE202" s="0" t="n">
        <f aca="false">-AC202*$AD$51</f>
        <v>1.39360809708755</v>
      </c>
      <c r="AF202" s="0" t="n">
        <f aca="false">(-AD202+SQRT(AD202^2-4*$C202))/2</f>
        <v>2.30625003144901</v>
      </c>
      <c r="AG202" s="0" t="n">
        <f aca="false">(-AE202+SQRT(AE202^2-4*$D202))/2</f>
        <v>1.79966195865461</v>
      </c>
      <c r="AH202" s="0" t="n">
        <f aca="false">IF(AF202&lt;&gt;0,($C$21-$B202)*$AC202/AF202/$AC$51-$AC$60*$AC$51,0)</f>
        <v>-0.000240264452098728</v>
      </c>
      <c r="AI202" s="0" t="n">
        <f aca="false">IF(AG202&lt;&gt;0,($C$27-$B202)*$AC202/AG202/$AD$51-$AC$60*$AD$51,0)</f>
        <v>-0.000282788779659936</v>
      </c>
      <c r="AJ202" s="0" t="n">
        <f aca="false">(AH202-AA202)/($AC202-$V202)</f>
        <v>0.0111565334170137</v>
      </c>
      <c r="AK202" s="0" t="n">
        <f aca="false">(AI202-AB202)/($AC202-$V202)</f>
        <v>0.012998449949893</v>
      </c>
      <c r="AL202" s="0" t="n">
        <f aca="false">IF(AJ202&lt;&gt;AK202,(AB202-AA202)/(AJ202-AK202),0)</f>
        <v>0.0230604109429059</v>
      </c>
      <c r="AM202" s="0" t="n">
        <f aca="false">V202+AL202</f>
        <v>-0.00352895377849743</v>
      </c>
      <c r="AN202" s="0" t="n">
        <f aca="false">-AM202*$AC$51</f>
        <v>0.369551175512849</v>
      </c>
      <c r="AO202" s="0" t="n">
        <f aca="false">-AM202*$AD$51</f>
        <v>0.184775587756424</v>
      </c>
      <c r="AP202" s="0" t="n">
        <f aca="false">(-AN202+SQRT(AN202^2-4*$C202))/2</f>
        <v>3.24756306990263</v>
      </c>
      <c r="AQ202" s="0" t="n">
        <f aca="false">(-AO202+SQRT(AO202^2-4*$D202))/2</f>
        <v>2.30664162392552</v>
      </c>
      <c r="AR202" s="0" t="n">
        <f aca="false">IF(AP202&lt;&gt;0,($C$21-$B202)*$AM202/AP202/$AC$51-$AC$60*$AC$51,0)</f>
        <v>-4.48176711857095E-005</v>
      </c>
      <c r="AS202" s="0" t="n">
        <f aca="false">IF(AQ202&lt;&gt;0,($C$27-$B202)*$AM202/AQ202/$AD$51-$AC$60*$AD$51,0)</f>
        <v>-4.02371779486804E-005</v>
      </c>
      <c r="AT202" s="0" t="n">
        <f aca="false">AM202*1.001</f>
        <v>-0.00353248273227592</v>
      </c>
      <c r="AU202" s="0" t="n">
        <f aca="false">-AT202*$AC$51</f>
        <v>0.369920726688362</v>
      </c>
      <c r="AV202" s="0" t="n">
        <f aca="false">-AT202*$AD$51</f>
        <v>0.184960363344181</v>
      </c>
      <c r="AW202" s="0" t="n">
        <f aca="false">(-AU202+SQRT(AU202^2-4*$C202))/2</f>
        <v>3.24738824643287</v>
      </c>
      <c r="AX202" s="0" t="n">
        <f aca="false">(-AV202+SQRT(AV202^2-4*$D202))/2</f>
        <v>2.30655279580699</v>
      </c>
      <c r="AY202" s="0" t="n">
        <f aca="false">IF(AW202&lt;&gt;0,($C$21-$B202)*$AT202/AW202/$AC$51-$AC$60*$AC$51,0)</f>
        <v>-4.48390815064051E-005</v>
      </c>
      <c r="AZ202" s="0" t="n">
        <f aca="false">IF(AX202&lt;&gt;0,($C$27-$B202)*$AT202/AX202/$AD$51-$AC$60*$AD$51,0)</f>
        <v>-4.02662429165743E-005</v>
      </c>
      <c r="BA202" s="0" t="n">
        <f aca="false">(AY202-AR202)/($AT202-$AM202)</f>
        <v>0.00606704480690112</v>
      </c>
      <c r="BB202" s="0" t="n">
        <f aca="false">(AZ202-AS202)/($AT202-$AM202)</f>
        <v>0.0082361429812354</v>
      </c>
      <c r="BC202" s="0" t="n">
        <f aca="false">IF(BA202&lt;&gt;BB202,(AS202-AR202)/(BA202-BB202),0)</f>
        <v>-0.00211170397505631</v>
      </c>
      <c r="BD202" s="0" t="n">
        <f aca="false">AM202+BC202</f>
        <v>-0.00564065775355374</v>
      </c>
      <c r="BE202" s="0" t="n">
        <f aca="false">-BD202*$AC$51</f>
        <v>0.590688298665957</v>
      </c>
      <c r="BF202" s="0" t="n">
        <f aca="false">-BD202*$AD$51</f>
        <v>0.295344149332979</v>
      </c>
      <c r="BG202" s="0" t="n">
        <f aca="false">(-BE202+SQRT(BE202^2-4*$C202))/2</f>
        <v>3.14471904915266</v>
      </c>
      <c r="BH202" s="0" t="n">
        <f aca="false">(-BF202+SQRT(BF202^2-4*$D202))/2</f>
        <v>2.25412177257901</v>
      </c>
      <c r="BI202" s="0" t="n">
        <f aca="false">IF(BG202&lt;&gt;0,($C$21-$B202)*$BD202/BG202/$AC$51-$AC$60*$AC$51,0)</f>
        <v>-5.80363254661243E-005</v>
      </c>
      <c r="BJ202" s="0" t="n">
        <f aca="false">IF(BH202&lt;&gt;0,($C$27-$B202)*$BD202/BH202/$AD$51-$AC$60*$AD$51,0)</f>
        <v>-5.80261440977115E-005</v>
      </c>
      <c r="BK202" s="0" t="n">
        <f aca="false">BD202*1.001</f>
        <v>-0.00564629841130729</v>
      </c>
      <c r="BL202" s="0" t="n">
        <f aca="false">-BK202*$AC$51</f>
        <v>0.591278986964623</v>
      </c>
      <c r="BM202" s="0" t="n">
        <f aca="false">-BK202*$AD$51</f>
        <v>0.295639493482312</v>
      </c>
      <c r="BN202" s="0" t="n">
        <f aca="false">(-BL202+SQRT(BL202^2-4*$C202))/2</f>
        <v>3.14444907414738</v>
      </c>
      <c r="BO202" s="0" t="n">
        <f aca="false">(-BM202+SQRT(BM202^2-4*$D202))/2</f>
        <v>2.25398318450792</v>
      </c>
      <c r="BP202" s="0" t="n">
        <f aca="false">IF(BN202&lt;&gt;0,($C$21-$B202)*$BK202/BN202/$AC$51-$AC$60*$AC$51,0)</f>
        <v>-5.80727417044802E-005</v>
      </c>
      <c r="BQ202" s="0" t="n">
        <f aca="false">IF(BO202&lt;&gt;0,($C$27-$B202)*$BK202/BO202/$AD$51-$AC$60*$AD$51,0)</f>
        <v>-5.80747365092641E-005</v>
      </c>
      <c r="BR202" s="0" t="n">
        <f aca="false">(BP202-BI202)/($BK202-$BD202)</f>
        <v>0.00645602692930875</v>
      </c>
      <c r="BS202" s="0" t="n">
        <f aca="false">(BQ202-BJ202)/($BK202-$BD202)</f>
        <v>0.00861467113866521</v>
      </c>
      <c r="BT202" s="0" t="n">
        <f aca="false">IF(BR202&lt;&gt;BS202,(BJ202-BI202)/(BR202-BS202),0)</f>
        <v>-4.7165569799006E-006</v>
      </c>
      <c r="BU202" s="0" t="n">
        <f aca="false">BD202+BT202</f>
        <v>-0.00564537431053364</v>
      </c>
      <c r="BV202" s="0" t="n">
        <f aca="false">-BU202*$AC$51</f>
        <v>0.5911822153579</v>
      </c>
      <c r="BW202" s="0" t="n">
        <f aca="false">-BU202*$AD$51</f>
        <v>0.29559110767895</v>
      </c>
      <c r="BX202" s="0" t="n">
        <f aca="false">(-BV202+SQRT(BV202^2-4*$C202))/2</f>
        <v>3.14449330203673</v>
      </c>
      <c r="BY202" s="0" t="n">
        <f aca="false">(-BW202+SQRT(BW202^2-4*$D202))/2</f>
        <v>2.25400588857094</v>
      </c>
      <c r="BZ202" s="0" t="n">
        <f aca="false">IF(BX202&lt;&gt;0,($C$21-$B202)*$BU202/BX202/$AC$51-$AC$60*$AC$51,0)</f>
        <v>-5.8066775275097E-005</v>
      </c>
      <c r="CA202" s="0" t="n">
        <f aca="false">IF(BY202&lt;&gt;0,($C$27-$B202)*$BU202/BY202/$AD$51-$AC$60*$AD$51,0)</f>
        <v>-5.80667752883096E-005</v>
      </c>
      <c r="CB202" s="0" t="n">
        <f aca="false">BU202*1.001</f>
        <v>-0.00565101968484417</v>
      </c>
      <c r="CC202" s="0" t="n">
        <f aca="false">-CB202*$AC$51</f>
        <v>0.591773397573258</v>
      </c>
      <c r="CD202" s="0" t="n">
        <f aca="false">-CB202*$AD$51</f>
        <v>0.295886698786629</v>
      </c>
      <c r="CE202" s="0" t="n">
        <f aca="false">(-CC202+SQRT(CC202^2-4*$C202))/2</f>
        <v>3.14422312235991</v>
      </c>
      <c r="CF202" s="0" t="n">
        <f aca="false">(-CD202+SQRT(CD202^2-4*$D202))/2</f>
        <v>2.25386719218979</v>
      </c>
      <c r="CG202" s="0" t="n">
        <f aca="false">IF(CE202&lt;&gt;0,($C$21-$B202)*$CB202/CE202/$AC$51-$AC$60*$AC$51,0)</f>
        <v>-5.8103226974582E-005</v>
      </c>
      <c r="CH202" s="0" t="n">
        <f aca="false">IF(CF202&lt;&gt;0,($C$27-$B202)*$CB202/CF202/$AD$51-$AC$60*$AD$51,0)</f>
        <v>-5.81154131807985E-005</v>
      </c>
      <c r="CI202" s="0" t="n">
        <f aca="false">(CG202-BZ202)/($CB202-$BU202)</f>
        <v>0.00645691454274617</v>
      </c>
      <c r="CJ202" s="0" t="n">
        <f aca="false">(CH202-CA202)/($CB202-$BU202)</f>
        <v>0.00861553013378843</v>
      </c>
      <c r="CK202" s="0" t="n">
        <f aca="false">IF(CI202&lt;&gt;CJ202,(CA202-BZ202)/(CI202-CJ202),0)</f>
        <v>6.12085303351435E-012</v>
      </c>
      <c r="CL202" s="0" t="str">
        <f aca="false">IF(AND(BU202&gt;0,CE202&gt;0,CE202&lt;$C$15,CF202&lt;$C$15,CG202&gt;0,ABS(CK202)&lt;0.1*BU202),B202,"")</f>
        <v/>
      </c>
      <c r="CM202" s="0" t="n">
        <f aca="false">CG202+BU202^2/$C$39</f>
        <v>-5.27915184569098E-005</v>
      </c>
      <c r="CN202" s="0" t="n">
        <f aca="false">-BU202*$C$15/$C$39</f>
        <v>0.00564537431053364</v>
      </c>
      <c r="CO202" s="0" t="n">
        <f aca="false">IF(CL202&lt;&gt;"",(-CM202+SQRT(CM202^2-4*$AC$60*CN202))/2/$AC$60,0)</f>
        <v>0</v>
      </c>
      <c r="CP202" s="0" t="n">
        <f aca="false">CO202*30/PI()</f>
        <v>0</v>
      </c>
      <c r="DB202" s="6"/>
    </row>
    <row r="203" customFormat="false" ht="12.75" hidden="false" customHeight="false" outlineLevel="0" collapsed="false">
      <c r="A203" s="0" t="n">
        <f aca="false">A202+0.01</f>
        <v>0.54</v>
      </c>
      <c r="B203" s="0" t="n">
        <f aca="false">A203*$AC$68</f>
        <v>1.06186302288169</v>
      </c>
      <c r="C203" s="0" t="n">
        <f aca="false">$C$39*($B203-$C$21)</f>
        <v>-11.6288218627098</v>
      </c>
      <c r="D203" s="0" t="n">
        <f aca="false">$C$39*($B203-$C$27)</f>
        <v>-5.62882186270984</v>
      </c>
      <c r="E203" s="0" t="n">
        <f aca="false">$AC$71</f>
        <v>0.0474257507541105</v>
      </c>
      <c r="F203" s="0" t="n">
        <f aca="false">-E203*$AC$51</f>
        <v>-4.96641300533647</v>
      </c>
      <c r="G203" s="0" t="n">
        <f aca="false">-E203*$AD$51</f>
        <v>-2.48320650266823</v>
      </c>
      <c r="H203" s="0" t="n">
        <f aca="false">(-F203+SQRT(F203^2-4*$C203))/2</f>
        <v>6.70163469307324</v>
      </c>
      <c r="I203" s="0" t="n">
        <f aca="false">(-G203+SQRT(G203^2-4*$D203))/2</f>
        <v>3.91936360215592</v>
      </c>
      <c r="J203" s="0" t="n">
        <f aca="false">IF(H203&lt;&gt;0,($C$21-$B203)*$E203/H203/$AC$51-$AC$60*$AC$51,0)</f>
        <v>0.000106473140085966</v>
      </c>
      <c r="K203" s="0" t="n">
        <f aca="false">IF(I203&lt;&gt;0,($C$27-$B203)*$E203/I203/$AD$51-$AC$60*$AD$51,0)</f>
        <v>0.000204552434540237</v>
      </c>
      <c r="L203" s="0" t="n">
        <f aca="false">E203*1.001</f>
        <v>0.0474731765048646</v>
      </c>
      <c r="M203" s="0" t="n">
        <f aca="false">-L203*$AC$51</f>
        <v>-4.97137941834181</v>
      </c>
      <c r="N203" s="0" t="n">
        <f aca="false">-L203*$AD$51</f>
        <v>-2.4856897091709</v>
      </c>
      <c r="O203" s="0" t="n">
        <f aca="false">(-M203+SQRT(M203^2-4*$C203))/2</f>
        <v>6.70558013345777</v>
      </c>
      <c r="P203" s="0" t="n">
        <f aca="false">(-N203+SQRT(N203^2-4*$D203))/2</f>
        <v>3.92118112833439</v>
      </c>
      <c r="Q203" s="0" t="n">
        <f aca="false">IF(O203&lt;&gt;0,($C$21-$B203)*$L203/O203/$AC$51-$AC$60*$AC$51,0)</f>
        <v>0.000106526974846804</v>
      </c>
      <c r="R203" s="0" t="n">
        <f aca="false">IF(P203&lt;&gt;0,($C$27-$B203)*$L203/P203/$AD$51-$AC$60*$AD$51,0)</f>
        <v>0.000204668645879973</v>
      </c>
      <c r="S203" s="0" t="n">
        <f aca="false">(Q203-J203)/($L203-$E203)</f>
        <v>0.00113513776760885</v>
      </c>
      <c r="T203" s="0" t="n">
        <f aca="false">(R203-K203)/($L203-$E203)</f>
        <v>0.00245038482023552</v>
      </c>
      <c r="U203" s="0" t="n">
        <f aca="false">IF(S203&lt;&gt;T203,(K203-J203)/(S203-T203),0)</f>
        <v>-0.0745710049365999</v>
      </c>
      <c r="V203" s="0" t="n">
        <f aca="false">E203+U203</f>
        <v>-0.0271452541824894</v>
      </c>
      <c r="W203" s="0" t="n">
        <f aca="false">-V203*$AC$51</f>
        <v>2.84264437065121</v>
      </c>
      <c r="X203" s="0" t="n">
        <f aca="false">-V203*$AD$51</f>
        <v>1.42132218532561</v>
      </c>
      <c r="Y203" s="0" t="n">
        <f aca="false">(-W203+SQRT(W203^2-4*$C203))/2</f>
        <v>2.27313022568317</v>
      </c>
      <c r="Z203" s="0" t="n">
        <f aca="false">(-X203+SQRT(X203^2-4*$D203))/2</f>
        <v>1.76600219719606</v>
      </c>
      <c r="AA203" s="0" t="n">
        <f aca="false">IF(Y203&lt;&gt;0,($C$21-$B203)*$V203/Y203/$AC$51-$AC$60*$AC$51,0)</f>
        <v>-0.000245519013910884</v>
      </c>
      <c r="AB203" s="0" t="n">
        <f aca="false">IF(Z203&lt;&gt;0,($C$27-$B203)*$V203/Z203/$AD$51-$AC$60*$AD$51,0)</f>
        <v>-0.000287655105456883</v>
      </c>
      <c r="AC203" s="0" t="n">
        <f aca="false">V203*1.001</f>
        <v>-0.0271723994366719</v>
      </c>
      <c r="AD203" s="0" t="n">
        <f aca="false">-AC203*$AC$51</f>
        <v>2.84548701502186</v>
      </c>
      <c r="AE203" s="0" t="n">
        <f aca="false">-AC203*$AD$51</f>
        <v>1.42274350751093</v>
      </c>
      <c r="AF203" s="0" t="n">
        <f aca="false">(-AD203+SQRT(AD203^2-4*$C203))/2</f>
        <v>2.27225594456945</v>
      </c>
      <c r="AG203" s="0" t="n">
        <f aca="false">(-AE203+SQRT(AE203^2-4*$D203))/2</f>
        <v>1.76549554885704</v>
      </c>
      <c r="AH203" s="0" t="n">
        <f aca="false">IF(AF203&lt;&gt;0,($C$21-$B203)*$AC203/AF203/$AC$51-$AC$60*$AC$51,0)</f>
        <v>-0.000245825155055873</v>
      </c>
      <c r="AI203" s="0" t="n">
        <f aca="false">IF(AG203&lt;&gt;0,($C$27-$B203)*$AC203/AG203/$AD$51-$AC$60*$AD$51,0)</f>
        <v>-0.000288009621862772</v>
      </c>
      <c r="AJ203" s="0" t="n">
        <f aca="false">(AH203-AA203)/($AC203-$V203)</f>
        <v>0.0112778883163323</v>
      </c>
      <c r="AK203" s="0" t="n">
        <f aca="false">(AI203-AB203)/($AC203-$V203)</f>
        <v>0.0130599773907304</v>
      </c>
      <c r="AL203" s="0" t="n">
        <f aca="false">IF(AJ203&lt;&gt;AK203,(AB203-AA203)/(AJ203-AK203),0)</f>
        <v>0.0236442118137289</v>
      </c>
      <c r="AM203" s="0" t="n">
        <f aca="false">V203+AL203</f>
        <v>-0.00350104236876055</v>
      </c>
      <c r="AN203" s="0" t="n">
        <f aca="false">-AM203*$AC$51</f>
        <v>0.366628299520159</v>
      </c>
      <c r="AO203" s="0" t="n">
        <f aca="false">-AM203*$AD$51</f>
        <v>0.183314149760079</v>
      </c>
      <c r="AP203" s="0" t="n">
        <f aca="false">(-AN203+SQRT(AN203^2-4*$C203))/2</f>
        <v>3.23171527034923</v>
      </c>
      <c r="AQ203" s="0" t="n">
        <f aca="false">(-AO203+SQRT(AO203^2-4*$D203))/2</f>
        <v>2.28262658173839</v>
      </c>
      <c r="AR203" s="0" t="n">
        <f aca="false">IF(AP203&lt;&gt;0,($C$21-$B203)*$AM203/AP203/$AC$51-$AC$60*$AC$51,0)</f>
        <v>-4.45523985890927E-005</v>
      </c>
      <c r="AS203" s="0" t="n">
        <f aca="false">IF(AQ203&lt;&gt;0,($C$27-$B203)*$AM203/AQ203/$AD$51-$AC$60*$AD$51,0)</f>
        <v>-3.97319144703978E-005</v>
      </c>
      <c r="AT203" s="0" t="n">
        <f aca="false">AM203*1.001</f>
        <v>-0.00350454341112931</v>
      </c>
      <c r="AU203" s="0" t="n">
        <f aca="false">-AT203*$AC$51</f>
        <v>0.366994927819679</v>
      </c>
      <c r="AV203" s="0" t="n">
        <f aca="false">-AT203*$AD$51</f>
        <v>0.183497463909839</v>
      </c>
      <c r="AW203" s="0" t="n">
        <f aca="false">(-AU203+SQRT(AU203^2-4*$C203))/2</f>
        <v>3.23154180116036</v>
      </c>
      <c r="AX203" s="0" t="n">
        <f aca="false">(-AV203+SQRT(AV203^2-4*$D203))/2</f>
        <v>2.28253846476859</v>
      </c>
      <c r="AY203" s="0" t="n">
        <f aca="false">IF(AW203&lt;&gt;0,($C$21-$B203)*$AT203/AW203/$AC$51-$AC$60*$AC$51,0)</f>
        <v>-4.45735262291908E-005</v>
      </c>
      <c r="AZ203" s="0" t="n">
        <f aca="false">IF(AX203&lt;&gt;0,($C$27-$B203)*$AT203/AX203/$AD$51-$AC$60*$AD$51,0)</f>
        <v>-3.97604572721495E-005</v>
      </c>
      <c r="BA203" s="0" t="n">
        <f aca="false">(AY203-AR203)/($AT203-$AM203)</f>
        <v>0.00603467135578152</v>
      </c>
      <c r="BB203" s="0" t="n">
        <f aca="false">(AZ203-AS203)/($AT203-$AM203)</f>
        <v>0.00815265819298839</v>
      </c>
      <c r="BC203" s="0" t="n">
        <f aca="false">IF(BA203&lt;&gt;BB203,(AS203-AR203)/(BA203-BB203),0)</f>
        <v>-0.00227597454054622</v>
      </c>
      <c r="BD203" s="0" t="n">
        <f aca="false">AM203+BC203</f>
        <v>-0.00577701690930677</v>
      </c>
      <c r="BE203" s="0" t="n">
        <f aca="false">-BD203*$AC$51</f>
        <v>0.604967796064739</v>
      </c>
      <c r="BF203" s="0" t="n">
        <f aca="false">-BD203*$AD$51</f>
        <v>0.302483898032369</v>
      </c>
      <c r="BG203" s="0" t="n">
        <f aca="false">(-BE203+SQRT(BE203^2-4*$C203))/2</f>
        <v>3.12101115399833</v>
      </c>
      <c r="BH203" s="0" t="n">
        <f aca="false">(-BF203+SQRT(BF203^2-4*$D203))/2</f>
        <v>2.22608764316325</v>
      </c>
      <c r="BI203" s="0" t="n">
        <f aca="false">IF(BG203&lt;&gt;0,($C$21-$B203)*$BD203/BG203/$AC$51-$AC$60*$AC$51,0)</f>
        <v>-5.87603037619116E-005</v>
      </c>
      <c r="BJ203" s="0" t="n">
        <f aca="false">IF(BH203&lt;&gt;0,($C$27-$B203)*$BD203/BH203/$AD$51-$AC$60*$AD$51,0)</f>
        <v>-5.87485032799747E-005</v>
      </c>
      <c r="BK203" s="0" t="n">
        <f aca="false">BD203*1.001</f>
        <v>-0.00578279392621608</v>
      </c>
      <c r="BL203" s="0" t="n">
        <f aca="false">-BK203*$AC$51</f>
        <v>0.605572763860803</v>
      </c>
      <c r="BM203" s="0" t="n">
        <f aca="false">-BK203*$AD$51</f>
        <v>0.302786381930402</v>
      </c>
      <c r="BN203" s="0" t="n">
        <f aca="false">(-BL203+SQRT(BL203^2-4*$C203))/2</f>
        <v>3.12073540941142</v>
      </c>
      <c r="BO203" s="0" t="n">
        <f aca="false">(-BM203+SQRT(BM203^2-4*$D203))/2</f>
        <v>2.22594602777925</v>
      </c>
      <c r="BP203" s="0" t="n">
        <f aca="false">IF(BN203&lt;&gt;0,($C$21-$B203)*$BK203/BN203/$AC$51-$AC$60*$AC$51,0)</f>
        <v>-5.87975919719946E-005</v>
      </c>
      <c r="BQ203" s="0" t="n">
        <f aca="false">IF(BO203&lt;&gt;0,($C$27-$B203)*$BK203/BO203/$AD$51-$AC$60*$AD$51,0)</f>
        <v>-5.87979618563371E-005</v>
      </c>
      <c r="BR203" s="0" t="n">
        <f aca="false">(BP203-BI203)/($BK203-$BD203)</f>
        <v>0.00645457866377826</v>
      </c>
      <c r="BS203" s="0" t="n">
        <f aca="false">(BQ203-BJ203)/($BK203-$BD203)</f>
        <v>0.00856126563914433</v>
      </c>
      <c r="BT203" s="0" t="n">
        <f aca="false">IF(BR203&lt;&gt;BS203,(BJ203-BI203)/(BR203-BS203),0)</f>
        <v>-5.60144059125819E-006</v>
      </c>
      <c r="BU203" s="0" t="n">
        <f aca="false">BD203+BT203</f>
        <v>-0.00578261834989803</v>
      </c>
      <c r="BV203" s="0" t="n">
        <f aca="false">-BU203*$AC$51</f>
        <v>0.605554377551773</v>
      </c>
      <c r="BW203" s="0" t="n">
        <f aca="false">-BU203*$AD$51</f>
        <v>0.302777188775886</v>
      </c>
      <c r="BX203" s="0" t="n">
        <f aca="false">(-BV203+SQRT(BV203^2-4*$C203))/2</f>
        <v>3.12074378950844</v>
      </c>
      <c r="BY203" s="0" t="n">
        <f aca="false">(-BW203+SQRT(BW203^2-4*$D203))/2</f>
        <v>2.22595033164271</v>
      </c>
      <c r="BZ203" s="0" t="n">
        <f aca="false">IF(BX203&lt;&gt;0,($C$21-$B203)*$BU203/BX203/$AC$51-$AC$60*$AC$51,0)</f>
        <v>-5.87964586080409E-005</v>
      </c>
      <c r="CA203" s="0" t="n">
        <f aca="false">IF(BY203&lt;&gt;0,($C$27-$B203)*$BU203/BY203/$AD$51-$AC$60*$AD$51,0)</f>
        <v>-5.87964586110661E-005</v>
      </c>
      <c r="CB203" s="0" t="n">
        <f aca="false">BU203*1.001</f>
        <v>-0.00578840096824793</v>
      </c>
      <c r="CC203" s="0" t="n">
        <f aca="false">-CB203*$AC$51</f>
        <v>0.606159931929324</v>
      </c>
      <c r="CD203" s="0" t="n">
        <f aca="false">-CB203*$AD$51</f>
        <v>0.303079965964662</v>
      </c>
      <c r="CE203" s="0" t="n">
        <f aca="false">(-CC203+SQRT(CC203^2-4*$C203))/2</f>
        <v>3.12046780330612</v>
      </c>
      <c r="CF203" s="0" t="n">
        <f aca="false">(-CD203+SQRT(CD203^2-4*$D203))/2</f>
        <v>2.22580858825246</v>
      </c>
      <c r="CG203" s="0" t="n">
        <f aca="false">IF(CE203&lt;&gt;0,($C$21-$B203)*$CB203/CE203/$AC$51-$AC$60*$AC$51,0)</f>
        <v>-5.88337890889291E-005</v>
      </c>
      <c r="CH203" s="0" t="n">
        <f aca="false">IF(CF203&lt;&gt;0,($C$27-$B203)*$CB203/CF203/$AD$51-$AC$60*$AD$51,0)</f>
        <v>-5.88459710592793E-005</v>
      </c>
      <c r="CI203" s="0" t="n">
        <f aca="false">(CG203-BZ203)/($CB203-$BU203)</f>
        <v>0.00645563629300463</v>
      </c>
      <c r="CJ203" s="0" t="n">
        <f aca="false">(CH203-CA203)/($CB203-$BU203)</f>
        <v>0.00856228877945231</v>
      </c>
      <c r="CK203" s="0" t="n">
        <f aca="false">IF(CI203&lt;&gt;CJ203,(CA203-BZ203)/(CI203-CJ203),0)</f>
        <v>1.43603930350203E-012</v>
      </c>
      <c r="CL203" s="0" t="str">
        <f aca="false">IF(AND(BU203&gt;0,CE203&gt;0,CE203&lt;$C$15,CF203&lt;$C$15,CG203&gt;0,ABS(CK203)&lt;0.1*BU203),B203,"")</f>
        <v/>
      </c>
      <c r="CM203" s="0" t="n">
        <f aca="false">CG203+BU203^2/$C$39</f>
        <v>-5.32606765921662E-005</v>
      </c>
      <c r="CN203" s="0" t="n">
        <f aca="false">-BU203*$C$15/$C$39</f>
        <v>0.00578261834989803</v>
      </c>
      <c r="CO203" s="0" t="n">
        <f aca="false">IF(CL203&lt;&gt;"",(-CM203+SQRT(CM203^2-4*$AC$60*CN203))/2/$AC$60,0)</f>
        <v>0</v>
      </c>
      <c r="CP203" s="0" t="n">
        <f aca="false">CO203*30/PI()</f>
        <v>0</v>
      </c>
      <c r="DB203" s="6"/>
    </row>
    <row r="204" customFormat="false" ht="12.75" hidden="false" customHeight="false" outlineLevel="0" collapsed="false">
      <c r="A204" s="0" t="n">
        <f aca="false">A203+0.01</f>
        <v>0.55</v>
      </c>
      <c r="B204" s="0" t="n">
        <f aca="false">A204*$AC$68</f>
        <v>1.08152715293506</v>
      </c>
      <c r="C204" s="0" t="n">
        <f aca="false">$C$39*($B204-$C$21)</f>
        <v>-11.5108370823896</v>
      </c>
      <c r="D204" s="0" t="n">
        <f aca="false">$C$39*($B204-$C$27)</f>
        <v>-5.51083708238965</v>
      </c>
      <c r="E204" s="0" t="n">
        <f aca="false">$AC$71</f>
        <v>0.0474257507541105</v>
      </c>
      <c r="F204" s="0" t="n">
        <f aca="false">-E204*$AC$51</f>
        <v>-4.96641300533647</v>
      </c>
      <c r="G204" s="0" t="n">
        <f aca="false">-E204*$AD$51</f>
        <v>-2.48320650266823</v>
      </c>
      <c r="H204" s="0" t="n">
        <f aca="false">(-F204+SQRT(F204^2-4*$C204))/2</f>
        <v>6.68762698797694</v>
      </c>
      <c r="I204" s="0" t="n">
        <f aca="false">(-G204+SQRT(G204^2-4*$D204))/2</f>
        <v>3.89724172750385</v>
      </c>
      <c r="J204" s="0" t="n">
        <f aca="false">IF(H204&lt;&gt;0,($C$21-$B204)*$E204/H204/$AC$51-$AC$60*$AC$51,0)</f>
        <v>0.000105415832529279</v>
      </c>
      <c r="K204" s="0" t="n">
        <f aca="false">IF(I204&lt;&gt;0,($C$27-$B204)*$E204/I204/$AD$51-$AC$60*$AD$51,0)</f>
        <v>0.000201212897467333</v>
      </c>
      <c r="L204" s="0" t="n">
        <f aca="false">E204*1.001</f>
        <v>0.0474731765048646</v>
      </c>
      <c r="M204" s="0" t="n">
        <f aca="false">-L204*$AC$51</f>
        <v>-4.97137941834181</v>
      </c>
      <c r="N204" s="0" t="n">
        <f aca="false">-L204*$AD$51</f>
        <v>-2.4856897091709</v>
      </c>
      <c r="O204" s="0" t="n">
        <f aca="false">(-M204+SQRT(M204^2-4*$C204))/2</f>
        <v>6.691577298333</v>
      </c>
      <c r="P204" s="0" t="n">
        <f aca="false">(-N204+SQRT(N204^2-4*$D204))/2</f>
        <v>3.89906405016385</v>
      </c>
      <c r="Q204" s="0" t="n">
        <f aca="false">IF(O204&lt;&gt;0,($C$21-$B204)*$L204/O204/$AC$51-$AC$60*$AC$51,0)</f>
        <v>0.000105468977937677</v>
      </c>
      <c r="R204" s="0" t="n">
        <f aca="false">IF(P204&lt;&gt;0,($C$27-$B204)*$L204/P204/$AD$51-$AC$60*$AD$51,0)</f>
        <v>0.000201326494075021</v>
      </c>
      <c r="S204" s="0" t="n">
        <f aca="false">(Q204-J204)/($L204-$E204)</f>
        <v>0.00112060236376756</v>
      </c>
      <c r="T204" s="0" t="n">
        <f aca="false">(R204-K204)/($L204-$E204)</f>
        <v>0.00239525164877698</v>
      </c>
      <c r="U204" s="0" t="n">
        <f aca="false">IF(S204&lt;&gt;T204,(K204-J204)/(S204-T204),0)</f>
        <v>-0.075155625994288</v>
      </c>
      <c r="V204" s="0" t="n">
        <f aca="false">E204+U204</f>
        <v>-0.0277298752401775</v>
      </c>
      <c r="W204" s="0" t="n">
        <f aca="false">-V204*$AC$51</f>
        <v>2.9038657446501</v>
      </c>
      <c r="X204" s="0" t="n">
        <f aca="false">-V204*$AD$51</f>
        <v>1.45193287232505</v>
      </c>
      <c r="Y204" s="0" t="n">
        <f aca="false">(-W204+SQRT(W204^2-4*$C204))/2</f>
        <v>2.23845276445164</v>
      </c>
      <c r="Z204" s="0" t="n">
        <f aca="false">(-X204+SQRT(X204^2-4*$D204))/2</f>
        <v>1.73124017884244</v>
      </c>
      <c r="AA204" s="0" t="n">
        <f aca="false">IF(Y204&lt;&gt;0,($C$21-$B204)*$V204/Y204/$AC$51-$AC$60*$AC$51,0)</f>
        <v>-0.000251450478228146</v>
      </c>
      <c r="AB204" s="0" t="n">
        <f aca="false">IF(Z204&lt;&gt;0,($C$27-$B204)*$V204/Z204/$AD$51-$AC$60*$AD$51,0)</f>
        <v>-0.000293219993219068</v>
      </c>
      <c r="AC204" s="0" t="n">
        <f aca="false">V204*1.001</f>
        <v>-0.0277576051154177</v>
      </c>
      <c r="AD204" s="0" t="n">
        <f aca="false">-AC204*$AC$51</f>
        <v>2.90676961039475</v>
      </c>
      <c r="AE204" s="0" t="n">
        <f aca="false">-AC204*$AD$51</f>
        <v>1.45338480519738</v>
      </c>
      <c r="AF204" s="0" t="n">
        <f aca="false">(-AD204+SQRT(AD204^2-4*$C204))/2</f>
        <v>2.23757231652163</v>
      </c>
      <c r="AG204" s="0" t="n">
        <f aca="false">(-AE204+SQRT(AE204^2-4*$D204))/2</f>
        <v>1.73072879255372</v>
      </c>
      <c r="AH204" s="0" t="n">
        <f aca="false">IF(AF204&lt;&gt;0,($C$21-$B204)*$AC204/AF204/$AC$51-$AC$60*$AC$51,0)</f>
        <v>-0.000251766816317296</v>
      </c>
      <c r="AI204" s="0" t="n">
        <f aca="false">IF(AG204&lt;&gt;0,($C$27-$B204)*$AC204/AG204/$AD$51-$AC$60*$AD$51,0)</f>
        <v>-0.000293584064328371</v>
      </c>
      <c r="AJ204" s="0" t="n">
        <f aca="false">(AH204-AA204)/($AC204-$V204)</f>
        <v>0.0114078439376375</v>
      </c>
      <c r="AK204" s="0" t="n">
        <f aca="false">(AI204-AB204)/($AC204-$V204)</f>
        <v>0.0131292011287487</v>
      </c>
      <c r="AL204" s="0" t="n">
        <f aca="false">IF(AJ204&lt;&gt;AK204,(AB204-AA204)/(AJ204-AK204),0)</f>
        <v>0.0242654547275915</v>
      </c>
      <c r="AM204" s="0" t="n">
        <f aca="false">V204+AL204</f>
        <v>-0.00346442051258602</v>
      </c>
      <c r="AN204" s="0" t="n">
        <f aca="false">-AM204*$AC$51</f>
        <v>0.362793267709535</v>
      </c>
      <c r="AO204" s="0" t="n">
        <f aca="false">-AM204*$AD$51</f>
        <v>0.181396633854767</v>
      </c>
      <c r="AP204" s="0" t="n">
        <f aca="false">(-AN204+SQRT(AN204^2-4*$C204))/2</f>
        <v>3.21621161624757</v>
      </c>
      <c r="AQ204" s="0" t="n">
        <f aca="false">(-AO204+SQRT(AO204^2-4*$D204))/2</f>
        <v>2.25857034950545</v>
      </c>
      <c r="AR204" s="0" t="n">
        <f aca="false">IF(AP204&lt;&gt;0,($C$21-$B204)*$AM204/AP204/$AC$51-$AC$60*$AC$51,0)</f>
        <v>-4.42360377766619E-005</v>
      </c>
      <c r="AS204" s="0" t="n">
        <f aca="false">IF(AQ204&lt;&gt;0,($C$27-$B204)*$AM204/AQ204/$AD$51-$AC$60*$AD$51,0)</f>
        <v>-3.91580293983254E-005</v>
      </c>
      <c r="AT204" s="0" t="n">
        <f aca="false">AM204*1.001</f>
        <v>-0.00346788493309861</v>
      </c>
      <c r="AU204" s="0" t="n">
        <f aca="false">-AT204*$AC$51</f>
        <v>0.363156060977244</v>
      </c>
      <c r="AV204" s="0" t="n">
        <f aca="false">-AT204*$AD$51</f>
        <v>0.181578030488622</v>
      </c>
      <c r="AW204" s="0" t="n">
        <f aca="false">(-AU204+SQRT(AU204^2-4*$C204))/2</f>
        <v>3.21603990911933</v>
      </c>
      <c r="AX204" s="0" t="n">
        <f aca="false">(-AV204+SQRT(AV204^2-4*$D204))/2</f>
        <v>2.25848315453055</v>
      </c>
      <c r="AY204" s="0" t="n">
        <f aca="false">IF(AW204&lt;&gt;0,($C$21-$B204)*$AT204/AW204/$AC$51-$AC$60*$AC$51,0)</f>
        <v>-4.42568263449438E-005</v>
      </c>
      <c r="AZ204" s="0" t="n">
        <f aca="false">IF(AX204&lt;&gt;0,($C$27-$B204)*$AT204/AX204/$AD$51-$AC$60*$AD$51,0)</f>
        <v>-3.91859762174998E-005</v>
      </c>
      <c r="BA204" s="0" t="n">
        <f aca="false">(AY204-AR204)/($AT204-$AM204)</f>
        <v>0.00600059034587444</v>
      </c>
      <c r="BB204" s="0" t="n">
        <f aca="false">(AZ204-AS204)/($AT204-$AM204)</f>
        <v>0.00806680917424609</v>
      </c>
      <c r="BC204" s="0" t="n">
        <f aca="false">IF(BA204&lt;&gt;BB204,(AS204-AR204)/(BA204-BB204),0)</f>
        <v>-0.00245763338742701</v>
      </c>
      <c r="BD204" s="0" t="n">
        <f aca="false">AM204+BC204</f>
        <v>-0.00592205390001304</v>
      </c>
      <c r="BE204" s="0" t="n">
        <f aca="false">-BD204*$AC$51</f>
        <v>0.620156034214791</v>
      </c>
      <c r="BF204" s="0" t="n">
        <f aca="false">-BD204*$AD$51</f>
        <v>0.310078017107396</v>
      </c>
      <c r="BG204" s="0" t="n">
        <f aca="false">(-BE204+SQRT(BE204^2-4*$C204))/2</f>
        <v>3.09682460244059</v>
      </c>
      <c r="BH204" s="0" t="n">
        <f aca="false">(-BF204+SQRT(BF204^2-4*$D204))/2</f>
        <v>2.19759232180024</v>
      </c>
      <c r="BI204" s="0" t="n">
        <f aca="false">IF(BG204&lt;&gt;0,($C$21-$B204)*$BD204/BG204/$AC$51-$AC$60*$AC$51,0)</f>
        <v>-5.95355733959073E-005</v>
      </c>
      <c r="BJ204" s="0" t="n">
        <f aca="false">IF(BH204&lt;&gt;0,($C$27-$B204)*$BD204/BH204/$AD$51-$AC$60*$AD$51,0)</f>
        <v>-5.95218637610618E-005</v>
      </c>
      <c r="BK204" s="0" t="n">
        <f aca="false">BD204*1.001</f>
        <v>-0.00592797595391305</v>
      </c>
      <c r="BL204" s="0" t="n">
        <f aca="false">-BK204*$AC$51</f>
        <v>0.620776190249006</v>
      </c>
      <c r="BM204" s="0" t="n">
        <f aca="false">-BK204*$AD$51</f>
        <v>0.310388095124503</v>
      </c>
      <c r="BN204" s="0" t="n">
        <f aca="false">(-BL204+SQRT(BL204^2-4*$C204))/2</f>
        <v>3.09654276005654</v>
      </c>
      <c r="BO204" s="0" t="n">
        <f aca="false">(-BM204+SQRT(BM204^2-4*$D204))/2</f>
        <v>2.1974475049885</v>
      </c>
      <c r="BP204" s="0" t="n">
        <f aca="false">IF(BN204&lt;&gt;0,($C$21-$B204)*$BK204/BN204/$AC$51-$AC$60*$AC$51,0)</f>
        <v>-5.95737987126607E-005</v>
      </c>
      <c r="BQ204" s="0" t="n">
        <f aca="false">IF(BO204&lt;&gt;0,($C$27-$B204)*$BK204/BO204/$AD$51-$AC$60*$AD$51,0)</f>
        <v>-5.9572252927028E-005</v>
      </c>
      <c r="BR204" s="0" t="n">
        <f aca="false">(BP204-BI204)/($BK204-$BD204)</f>
        <v>0.00645473975730651</v>
      </c>
      <c r="BS204" s="0" t="n">
        <f aca="false">(BQ204-BJ204)/($BK204-$BD204)</f>
        <v>0.00850873139908867</v>
      </c>
      <c r="BT204" s="0" t="n">
        <f aca="false">IF(BR204&lt;&gt;BS204,(BJ204-BI204)/(BR204-BS204),0)</f>
        <v>-6.67463029869036E-006</v>
      </c>
      <c r="BU204" s="0" t="n">
        <f aca="false">BD204+BT204</f>
        <v>-0.00592872853031173</v>
      </c>
      <c r="BV204" s="0" t="n">
        <f aca="false">-BU204*$AC$51</f>
        <v>0.620854999865185</v>
      </c>
      <c r="BW204" s="0" t="n">
        <f aca="false">-BU204*$AD$51</f>
        <v>0.310427499932592</v>
      </c>
      <c r="BX204" s="0" t="n">
        <f aca="false">(-BV204+SQRT(BV204^2-4*$C204))/2</f>
        <v>3.09650694544555</v>
      </c>
      <c r="BY204" s="0" t="n">
        <f aca="false">(-BW204+SQRT(BW204^2-4*$D204))/2</f>
        <v>2.19742910235282</v>
      </c>
      <c r="BZ204" s="0" t="n">
        <f aca="false">IF(BX204&lt;&gt;0,($C$21-$B204)*$BU204/BX204/$AC$51-$AC$60*$AC$51,0)</f>
        <v>-5.95786568730889E-005</v>
      </c>
      <c r="CA204" s="0" t="n">
        <f aca="false">IF(BY204&lt;&gt;0,($C$27-$B204)*$BU204/BY204/$AD$51-$AC$60*$AD$51,0)</f>
        <v>-5.95786568574068E-005</v>
      </c>
      <c r="CB204" s="0" t="n">
        <f aca="false">BU204*1.001</f>
        <v>-0.00593465725884204</v>
      </c>
      <c r="CC204" s="0" t="n">
        <f aca="false">-CB204*$AC$51</f>
        <v>0.62147585486505</v>
      </c>
      <c r="CD204" s="0" t="n">
        <f aca="false">-CB204*$AD$51</f>
        <v>0.310737927432525</v>
      </c>
      <c r="CE204" s="0" t="n">
        <f aca="false">(-CC204+SQRT(CC204^2-4*$C204))/2</f>
        <v>3.09622481699758</v>
      </c>
      <c r="CF204" s="0" t="n">
        <f aca="false">(-CD204+SQRT(CD204^2-4*$D204))/2</f>
        <v>2.1972841338049</v>
      </c>
      <c r="CG204" s="0" t="n">
        <f aca="false">IF(CE204&lt;&gt;0,($C$21-$B204)*$CB204/CE204/$AC$51-$AC$60*$AC$51,0)</f>
        <v>-5.96169327708014E-005</v>
      </c>
      <c r="CH204" s="0" t="n">
        <f aca="false">IF(CF204&lt;&gt;0,($C$27-$B204)*$CB204/CF204/$AD$51-$AC$60*$AD$51,0)</f>
        <v>-5.96291100666742E-005</v>
      </c>
      <c r="CI204" s="0" t="n">
        <f aca="false">(CG204-BZ204)/($CB204-$BU204)</f>
        <v>0.00645600443953968</v>
      </c>
      <c r="CJ204" s="0" t="n">
        <f aca="false">(CH204-CA204)/($CB204-$BU204)</f>
        <v>0.00850995437040247</v>
      </c>
      <c r="CK204" s="0" t="n">
        <f aca="false">IF(CI204&lt;&gt;CJ204,(CA204-BZ204)/(CI204-CJ204),0)</f>
        <v>-7.63509202382876E-012</v>
      </c>
      <c r="CL204" s="0" t="str">
        <f aca="false">IF(AND(BU204&gt;0,CE204&gt;0,CE204&lt;$C$15,CF204&lt;$C$15,CG204&gt;0,ABS(CK204)&lt;0.1*BU204),B204,"")</f>
        <v/>
      </c>
      <c r="CM204" s="0" t="n">
        <f aca="false">CG204+BU204^2/$C$39</f>
        <v>-5.3758629106446E-005</v>
      </c>
      <c r="CN204" s="0" t="n">
        <f aca="false">-BU204*$C$15/$C$39</f>
        <v>0.00592872853031173</v>
      </c>
      <c r="CO204" s="0" t="n">
        <f aca="false">IF(CL204&lt;&gt;"",(-CM204+SQRT(CM204^2-4*$AC$60*CN204))/2/$AC$60,0)</f>
        <v>0</v>
      </c>
      <c r="CP204" s="0" t="n">
        <f aca="false">CO204*30/PI()</f>
        <v>0</v>
      </c>
      <c r="DB204" s="6"/>
    </row>
    <row r="205" customFormat="false" ht="12.75" hidden="false" customHeight="false" outlineLevel="0" collapsed="false">
      <c r="A205" s="0" t="n">
        <f aca="false">A204+0.01</f>
        <v>0.56</v>
      </c>
      <c r="B205" s="0" t="n">
        <f aca="false">A205*$AC$68</f>
        <v>1.10119128298842</v>
      </c>
      <c r="C205" s="0" t="n">
        <f aca="false">$C$39*($B205-$C$21)</f>
        <v>-11.3928523020695</v>
      </c>
      <c r="D205" s="0" t="n">
        <f aca="false">$C$39*($B205-$C$27)</f>
        <v>-5.39285230206946</v>
      </c>
      <c r="E205" s="0" t="n">
        <f aca="false">$AC$71</f>
        <v>0.0474257507541105</v>
      </c>
      <c r="F205" s="0" t="n">
        <f aca="false">-E205*$AC$51</f>
        <v>-4.96641300533647</v>
      </c>
      <c r="G205" s="0" t="n">
        <f aca="false">-E205*$AD$51</f>
        <v>-2.48320650266823</v>
      </c>
      <c r="H205" s="0" t="n">
        <f aca="false">(-F205+SQRT(F205^2-4*$C205))/2</f>
        <v>6.67357245768496</v>
      </c>
      <c r="I205" s="0" t="n">
        <f aca="false">(-G205+SQRT(G205^2-4*$D205))/2</f>
        <v>3.87493401973237</v>
      </c>
      <c r="J205" s="0" t="n">
        <f aca="false">IF(H205&lt;&gt;0,($C$21-$B205)*$E205/H205/$AC$51-$AC$60*$AC$51,0)</f>
        <v>0.000104354990586846</v>
      </c>
      <c r="K205" s="0" t="n">
        <f aca="false">IF(I205&lt;&gt;0,($C$27-$B205)*$E205/I205/$AD$51-$AC$60*$AD$51,0)</f>
        <v>0.00019784530686816</v>
      </c>
      <c r="L205" s="0" t="n">
        <f aca="false">E205*1.001</f>
        <v>0.0474731765048646</v>
      </c>
      <c r="M205" s="0" t="n">
        <f aca="false">-L205*$AC$51</f>
        <v>-4.97137941834181</v>
      </c>
      <c r="N205" s="0" t="n">
        <f aca="false">-L205*$AD$51</f>
        <v>-2.4856897091709</v>
      </c>
      <c r="O205" s="0" t="n">
        <f aca="false">(-M205+SQRT(M205^2-4*$C205))/2</f>
        <v>6.67752768699729</v>
      </c>
      <c r="P205" s="0" t="n">
        <f aca="false">(-N205+SQRT(N205^2-4*$D205))/2</f>
        <v>3.87676126074549</v>
      </c>
      <c r="Q205" s="0" t="n">
        <f aca="false">IF(O205&lt;&gt;0,($C$21-$B205)*$L205/O205/$AC$51-$AC$60*$AC$51,0)</f>
        <v>0.000104407446809504</v>
      </c>
      <c r="R205" s="0" t="n">
        <f aca="false">IF(P205&lt;&gt;0,($C$27-$B205)*$L205/P205/$AD$51-$AC$60*$AD$51,0)</f>
        <v>0.000197956279106511</v>
      </c>
      <c r="S205" s="0" t="n">
        <f aca="false">(Q205-J205)/($L205-$E205)</f>
        <v>0.00110607047487122</v>
      </c>
      <c r="T205" s="0" t="n">
        <f aca="false">(R205-K205)/($L205-$E205)</f>
        <v>0.00233991526936569</v>
      </c>
      <c r="U205" s="0" t="n">
        <f aca="false">IF(S205&lt;&gt;T205,(K205-J205)/(S205-T205),0)</f>
        <v>-0.0757715368241423</v>
      </c>
      <c r="V205" s="0" t="n">
        <f aca="false">E205+U205</f>
        <v>-0.0283457860700318</v>
      </c>
      <c r="W205" s="0" t="n">
        <f aca="false">-V205*$AC$51</f>
        <v>2.968363775928</v>
      </c>
      <c r="X205" s="0" t="n">
        <f aca="false">-V205*$AD$51</f>
        <v>1.484181887964</v>
      </c>
      <c r="Y205" s="0" t="n">
        <f aca="false">(-W205+SQRT(W205^2-4*$C205))/2</f>
        <v>2.20304582111905</v>
      </c>
      <c r="Z205" s="0" t="n">
        <f aca="false">(-X205+SQRT(X205^2-4*$D205))/2</f>
        <v>1.69584902066224</v>
      </c>
      <c r="AA205" s="0" t="n">
        <f aca="false">IF(Y205&lt;&gt;0,($C$21-$B205)*$V205/Y205/$AC$51-$AC$60*$AC$51,0)</f>
        <v>-0.000257803656147627</v>
      </c>
      <c r="AB205" s="0" t="n">
        <f aca="false">IF(Z205&lt;&gt;0,($C$27-$B205)*$V205/Z205/$AD$51-$AC$60*$AD$51,0)</f>
        <v>-0.000299177112621865</v>
      </c>
      <c r="AC205" s="0" t="n">
        <f aca="false">V205*1.001</f>
        <v>-0.0283741318561019</v>
      </c>
      <c r="AD205" s="0" t="n">
        <f aca="false">-AC205*$AC$51</f>
        <v>2.97133213970392</v>
      </c>
      <c r="AE205" s="0" t="n">
        <f aca="false">-AC205*$AD$51</f>
        <v>1.48566606985196</v>
      </c>
      <c r="AF205" s="0" t="n">
        <f aca="false">(-AD205+SQRT(AD205^2-4*$C205))/2</f>
        <v>2.20215930198695</v>
      </c>
      <c r="AG205" s="0" t="n">
        <f aca="false">(-AE205+SQRT(AE205^2-4*$D205))/2</f>
        <v>1.69533291919749</v>
      </c>
      <c r="AH205" s="0" t="n">
        <f aca="false">IF(AF205&lt;&gt;0,($C$21-$B205)*$AC205/AF205/$AC$51-$AC$60*$AC$51,0)</f>
        <v>-0.000258130971346037</v>
      </c>
      <c r="AI205" s="0" t="n">
        <f aca="false">IF(AG205&lt;&gt;0,($C$27-$B205)*$AC205/AG205/$AD$51-$AC$60*$AD$51,0)</f>
        <v>-0.000299551473433007</v>
      </c>
      <c r="AJ205" s="0" t="n">
        <f aca="false">(AH205-AA205)/($AC205-$V205)</f>
        <v>0.0115472260180349</v>
      </c>
      <c r="AK205" s="0" t="n">
        <f aca="false">(AI205-AB205)/($AC205-$V205)</f>
        <v>0.0132069299548441</v>
      </c>
      <c r="AL205" s="0" t="n">
        <f aca="false">IF(AJ205&lt;&gt;AK205,(AB205-AA205)/(AJ205-AK205),0)</f>
        <v>0.024928214940418</v>
      </c>
      <c r="AM205" s="0" t="n">
        <f aca="false">V205+AL205</f>
        <v>-0.00341757112961382</v>
      </c>
      <c r="AN205" s="0" t="n">
        <f aca="false">-AM205*$AC$51</f>
        <v>0.357887211797179</v>
      </c>
      <c r="AO205" s="0" t="n">
        <f aca="false">-AM205*$AD$51</f>
        <v>0.178943605898589</v>
      </c>
      <c r="AP205" s="0" t="n">
        <f aca="false">(-AN205+SQRT(AN205^2-4*$C205))/2</f>
        <v>3.20112638097468</v>
      </c>
      <c r="AQ205" s="0" t="n">
        <f aca="false">(-AO205+SQRT(AO205^2-4*$D205))/2</f>
        <v>2.23450270327758</v>
      </c>
      <c r="AR205" s="0" t="n">
        <f aca="false">IF(AP205&lt;&gt;0,($C$21-$B205)*$AM205/AP205/$AC$51-$AC$60*$AC$51,0)</f>
        <v>-4.38604387476206E-005</v>
      </c>
      <c r="AS205" s="0" t="n">
        <f aca="false">IF(AQ205&lt;&gt;0,($C$27-$B205)*$AM205/AQ205/$AD$51-$AC$60*$AD$51,0)</f>
        <v>-3.85056620780808E-005</v>
      </c>
      <c r="AT205" s="0" t="n">
        <f aca="false">AM205*1.001</f>
        <v>-0.00342098870074344</v>
      </c>
      <c r="AU205" s="0" t="n">
        <f aca="false">-AT205*$AC$51</f>
        <v>0.358245099008976</v>
      </c>
      <c r="AV205" s="0" t="n">
        <f aca="false">-AT205*$AD$51</f>
        <v>0.179122549504488</v>
      </c>
      <c r="AW205" s="0" t="n">
        <f aca="false">(-AU205+SQRT(AU205^2-4*$C205))/2</f>
        <v>3.20095691550968</v>
      </c>
      <c r="AX205" s="0" t="n">
        <f aca="false">(-AV205+SQRT(AV205^2-4*$D205))/2</f>
        <v>2.234416677812</v>
      </c>
      <c r="AY205" s="0" t="n">
        <f aca="false">IF(AW205&lt;&gt;0,($C$21-$B205)*$AT205/AW205/$AC$51-$AC$60*$AC$51,0)</f>
        <v>-4.38808229479031E-005</v>
      </c>
      <c r="AZ205" s="0" t="n">
        <f aca="false">IF(AX205&lt;&gt;0,($C$27-$B205)*$AT205/AX205/$AD$51-$AC$60*$AD$51,0)</f>
        <v>-3.85329284912723E-005</v>
      </c>
      <c r="BA205" s="0" t="n">
        <f aca="false">(AY205-AR205)/($AT205-$AM205)</f>
        <v>0.00596452846461839</v>
      </c>
      <c r="BB205" s="0" t="n">
        <f aca="false">(AZ205-AS205)/($AT205-$AM205)</f>
        <v>0.00797830159416496</v>
      </c>
      <c r="BC205" s="0" t="n">
        <f aca="false">IF(BA205&lt;&gt;BB205,(AS205-AR205)/(BA205-BB205),0)</f>
        <v>-0.00265907643267917</v>
      </c>
      <c r="BD205" s="0" t="n">
        <f aca="false">AM205+BC205</f>
        <v>-0.006076647562293</v>
      </c>
      <c r="BE205" s="0" t="n">
        <f aca="false">-BD205*$AC$51</f>
        <v>0.6363450446718</v>
      </c>
      <c r="BF205" s="0" t="n">
        <f aca="false">-BD205*$AD$51</f>
        <v>0.3181725223359</v>
      </c>
      <c r="BG205" s="0" t="n">
        <f aca="false">(-BE205+SQRT(BE205^2-4*$C205))/2</f>
        <v>3.0721203936286</v>
      </c>
      <c r="BH205" s="0" t="n">
        <f aca="false">(-BF205+SQRT(BF205^2-4*$D205))/2</f>
        <v>2.16860803589124</v>
      </c>
      <c r="BI205" s="0" t="n">
        <f aca="false">IF(BG205&lt;&gt;0,($C$21-$B205)*$BD205/BG205/$AC$51-$AC$60*$AC$51,0)</f>
        <v>-6.03677592448915E-005</v>
      </c>
      <c r="BJ205" s="0" t="n">
        <f aca="false">IF(BH205&lt;&gt;0,($C$27-$B205)*$BD205/BH205/$AD$51-$AC$60*$AD$51,0)</f>
        <v>-6.0351793466734E-005</v>
      </c>
      <c r="BK205" s="0" t="n">
        <f aca="false">BD205*1.001</f>
        <v>-0.00608272420985529</v>
      </c>
      <c r="BL205" s="0" t="n">
        <f aca="false">-BK205*$AC$51</f>
        <v>0.636981389716472</v>
      </c>
      <c r="BM205" s="0" t="n">
        <f aca="false">-BK205*$AD$51</f>
        <v>0.318490694858236</v>
      </c>
      <c r="BN205" s="0" t="n">
        <f aca="false">(-BL205+SQRT(BL205^2-4*$C205))/2</f>
        <v>3.07183209578881</v>
      </c>
      <c r="BO205" s="0" t="n">
        <f aca="false">(-BM205+SQRT(BM205^2-4*$D205))/2</f>
        <v>2.16845982779116</v>
      </c>
      <c r="BP205" s="0" t="n">
        <f aca="false">IF(BN205&lt;&gt;0,($C$21-$B205)*$BK205/BN205/$AC$51-$AC$60*$AC$51,0)</f>
        <v>-6.04069943007104E-005</v>
      </c>
      <c r="BQ205" s="0" t="n">
        <f aca="false">IF(BO205&lt;&gt;0,($C$27-$B205)*$BK205/BO205/$AD$51-$AC$60*$AD$51,0)</f>
        <v>-6.04031850298788E-005</v>
      </c>
      <c r="BR205" s="0" t="n">
        <f aca="false">(BP205-BI205)/($BK205-$BD205)</f>
        <v>0.00645669432310138</v>
      </c>
      <c r="BS205" s="0" t="n">
        <f aca="false">(BQ205-BJ205)/($BK205-$BD205)</f>
        <v>0.00845722293715243</v>
      </c>
      <c r="BT205" s="0" t="n">
        <f aca="false">IF(BR205&lt;&gt;BS205,(BJ205-BI205)/(BR205-BS205),0)</f>
        <v>-7.98077970263526E-006</v>
      </c>
      <c r="BU205" s="0" t="n">
        <f aca="false">BD205+BT205</f>
        <v>-0.00608462834199563</v>
      </c>
      <c r="BV205" s="0" t="n">
        <f aca="false">-BU205*$AC$51</f>
        <v>0.637180789967924</v>
      </c>
      <c r="BW205" s="0" t="n">
        <f aca="false">-BU205*$AD$51</f>
        <v>0.318590394983962</v>
      </c>
      <c r="BX205" s="0" t="n">
        <f aca="false">(-BV205+SQRT(BV205^2-4*$C205))/2</f>
        <v>3.07174176305682</v>
      </c>
      <c r="BY205" s="0" t="n">
        <f aca="false">(-BW205+SQRT(BW205^2-4*$D205))/2</f>
        <v>2.16841338865309</v>
      </c>
      <c r="BZ205" s="0" t="n">
        <f aca="false">IF(BX205&lt;&gt;0,($C$21-$B205)*$BU205/BX205/$AC$51-$AC$60*$AC$51,0)</f>
        <v>-6.04192901441446E-005</v>
      </c>
      <c r="CA205" s="0" t="n">
        <f aca="false">IF(BY205&lt;&gt;0,($C$27-$B205)*$BU205/BY205/$AD$51-$AC$60*$AD$51,0)</f>
        <v>-6.04192900959853E-005</v>
      </c>
      <c r="CB205" s="0" t="n">
        <f aca="false">BU205*1.001</f>
        <v>-0.00609071297033763</v>
      </c>
      <c r="CC205" s="0" t="n">
        <f aca="false">-CB205*$AC$51</f>
        <v>0.637817970757892</v>
      </c>
      <c r="CD205" s="0" t="n">
        <f aca="false">-CB205*$AD$51</f>
        <v>0.318908985378946</v>
      </c>
      <c r="CE205" s="0" t="n">
        <f aca="false">(-CC205+SQRT(CC205^2-4*$C205))/2</f>
        <v>3.07145312552085</v>
      </c>
      <c r="CF205" s="0" t="n">
        <f aca="false">(-CD205+SQRT(CD205^2-4*$D205))/2</f>
        <v>2.16826500014215</v>
      </c>
      <c r="CG205" s="0" t="n">
        <f aca="false">IF(CE205&lt;&gt;0,($C$21-$B205)*$CB205/CE205/$AC$51-$AC$60*$AC$51,0)</f>
        <v>-6.04585859646482E-005</v>
      </c>
      <c r="CH205" s="0" t="n">
        <f aca="false">IF(CF205&lt;&gt;0,($C$27-$B205)*$CB205/CF205/$AD$51-$AC$60*$AD$51,0)</f>
        <v>-6.04707580815399E-005</v>
      </c>
      <c r="CI205" s="0" t="n">
        <f aca="false">(CG205-BZ205)/($CB205-$BU205)</f>
        <v>0.00645821211994357</v>
      </c>
      <c r="CJ205" s="0" t="n">
        <f aca="false">(CH205-CA205)/($CB205-$BU205)</f>
        <v>0.00845869010590411</v>
      </c>
      <c r="CK205" s="0" t="n">
        <f aca="false">IF(CI205&lt;&gt;CJ205,(CA205-BZ205)/(CI205-CJ205),0)</f>
        <v>-2.40738651582222E-011</v>
      </c>
      <c r="CL205" s="0" t="str">
        <f aca="false">IF(AND(BU205&gt;0,CE205&gt;0,CE205&lt;$C$15,CF205&lt;$C$15,CG205&gt;0,ABS(CK205)&lt;0.1*BU205),B205,"")</f>
        <v/>
      </c>
      <c r="CM205" s="0" t="n">
        <f aca="false">CG205+BU205^2/$C$39</f>
        <v>-5.42881356212788E-005</v>
      </c>
      <c r="CN205" s="0" t="n">
        <f aca="false">-BU205*$C$15/$C$39</f>
        <v>0.00608462834199563</v>
      </c>
      <c r="CO205" s="0" t="n">
        <f aca="false">IF(CL205&lt;&gt;"",(-CM205+SQRT(CM205^2-4*$AC$60*CN205))/2/$AC$60,0)</f>
        <v>0</v>
      </c>
      <c r="CP205" s="0" t="n">
        <f aca="false">CO205*30/PI()</f>
        <v>0</v>
      </c>
      <c r="DB205" s="6"/>
    </row>
    <row r="206" customFormat="false" ht="12.75" hidden="false" customHeight="false" outlineLevel="0" collapsed="false">
      <c r="A206" s="0" t="n">
        <f aca="false">A205+0.01</f>
        <v>0.57</v>
      </c>
      <c r="B206" s="0" t="n">
        <f aca="false">A206*$AC$68</f>
        <v>1.12085541304179</v>
      </c>
      <c r="C206" s="0" t="n">
        <f aca="false">$C$39*($B206-$C$21)</f>
        <v>-11.2748675217493</v>
      </c>
      <c r="D206" s="0" t="n">
        <f aca="false">$C$39*($B206-$C$27)</f>
        <v>-5.27486752174927</v>
      </c>
      <c r="E206" s="0" t="n">
        <f aca="false">$AC$71</f>
        <v>0.0474257507541105</v>
      </c>
      <c r="F206" s="0" t="n">
        <f aca="false">-E206*$AC$51</f>
        <v>-4.96641300533647</v>
      </c>
      <c r="G206" s="0" t="n">
        <f aca="false">-E206*$AD$51</f>
        <v>-2.48320650266823</v>
      </c>
      <c r="H206" s="0" t="n">
        <f aca="false">(-F206+SQRT(F206^2-4*$C206))/2</f>
        <v>6.65947062944986</v>
      </c>
      <c r="I206" s="0" t="n">
        <f aca="false">(-G206+SQRT(G206^2-4*$D206))/2</f>
        <v>3.85243571541003</v>
      </c>
      <c r="J206" s="0" t="n">
        <f aca="false">IF(H206&lt;&gt;0,($C$21-$B206)*$E206/H206/$AC$51-$AC$60*$AC$51,0)</f>
        <v>0.000103290578575488</v>
      </c>
      <c r="K206" s="0" t="n">
        <f aca="false">IF(I206&lt;&gt;0,($C$27-$B206)*$E206/I206/$AD$51-$AC$60*$AD$51,0)</f>
        <v>0.000194448943651046</v>
      </c>
      <c r="L206" s="0" t="n">
        <f aca="false">E206*1.001</f>
        <v>0.0474731765048646</v>
      </c>
      <c r="M206" s="0" t="n">
        <f aca="false">-L206*$AC$51</f>
        <v>-4.97137941834181</v>
      </c>
      <c r="N206" s="0" t="n">
        <f aca="false">-L206*$AD$51</f>
        <v>-2.4856897091709</v>
      </c>
      <c r="O206" s="0" t="n">
        <f aca="false">(-M206+SQRT(M206^2-4*$C206))/2</f>
        <v>6.66343082752989</v>
      </c>
      <c r="P206" s="0" t="n">
        <f aca="false">(-N206+SQRT(N206^2-4*$D206))/2</f>
        <v>3.85426800189781</v>
      </c>
      <c r="Q206" s="0" t="n">
        <f aca="false">IF(O206&lt;&gt;0,($C$21-$B206)*$L206/O206/$AC$51-$AC$60*$AC$51,0)</f>
        <v>0.000103342345805885</v>
      </c>
      <c r="R206" s="0" t="n">
        <f aca="false">IF(P206&lt;&gt;0,($C$27-$B206)*$L206/P206/$AD$51-$AC$60*$AD$51,0)</f>
        <v>0.000194557281957008</v>
      </c>
      <c r="S206" s="0" t="n">
        <f aca="false">(Q206-J206)/($L206-$E206)</f>
        <v>0.00109154266562819</v>
      </c>
      <c r="T206" s="0" t="n">
        <f aca="false">(R206-K206)/($L206-$E206)</f>
        <v>0.00228437724737563</v>
      </c>
      <c r="U206" s="0" t="n">
        <f aca="false">IF(S206&lt;&gt;T206,(K206-J206)/(S206-T206),0)</f>
        <v>-0.0764216316918107</v>
      </c>
      <c r="V206" s="0" t="n">
        <f aca="false">E206+U206</f>
        <v>-0.0289958809377002</v>
      </c>
      <c r="W206" s="0" t="n">
        <f aca="false">-V206*$AC$51</f>
        <v>3.03644155127478</v>
      </c>
      <c r="X206" s="0" t="n">
        <f aca="false">-V206*$AD$51</f>
        <v>1.51822077563739</v>
      </c>
      <c r="Y206" s="0" t="n">
        <f aca="false">(-W206+SQRT(W206^2-4*$C206))/2</f>
        <v>2.16686563384153</v>
      </c>
      <c r="Z206" s="0" t="n">
        <f aca="false">(-X206+SQRT(X206^2-4*$D206))/2</f>
        <v>1.65979765149233</v>
      </c>
      <c r="AA206" s="0" t="n">
        <f aca="false">IF(Y206&lt;&gt;0,($C$21-$B206)*$V206/Y206/$AC$51-$AC$60*$AC$51,0)</f>
        <v>-0.000264626319007195</v>
      </c>
      <c r="AB206" s="0" t="n">
        <f aca="false">IF(Z206&lt;&gt;0,($C$27-$B206)*$V206/Z206/$AD$51-$AC$60*$AD$51,0)</f>
        <v>-0.000305571856690823</v>
      </c>
      <c r="AC206" s="0" t="n">
        <f aca="false">V206*1.001</f>
        <v>-0.0290248768186379</v>
      </c>
      <c r="AD206" s="0" t="n">
        <f aca="false">-AC206*$AC$51</f>
        <v>3.03947799282606</v>
      </c>
      <c r="AE206" s="0" t="n">
        <f aca="false">-AC206*$AD$51</f>
        <v>1.51973899641303</v>
      </c>
      <c r="AF206" s="0" t="n">
        <f aca="false">(-AD206+SQRT(AD206^2-4*$C206))/2</f>
        <v>2.16597316529572</v>
      </c>
      <c r="AG206" s="0" t="n">
        <f aca="false">(-AE206+SQRT(AE206^2-4*$D206))/2</f>
        <v>1.65927687521819</v>
      </c>
      <c r="AH206" s="0" t="n">
        <f aca="false">IF(AF206&lt;&gt;0,($C$21-$B206)*$AC206/AF206/$AC$51-$AC$60*$AC$51,0)</f>
        <v>-0.000264965483010148</v>
      </c>
      <c r="AI206" s="0" t="n">
        <f aca="false">IF(AG206&lt;&gt;0,($C$27-$B206)*$AC206/AG206/$AD$51-$AC$60*$AD$51,0)</f>
        <v>-0.0003059573304332</v>
      </c>
      <c r="AJ206" s="0" t="n">
        <f aca="false">(AH206-AA206)/($AC206-$V206)</f>
        <v>0.0116969718451266</v>
      </c>
      <c r="AK206" s="0" t="n">
        <f aca="false">(AI206-AB206)/($AC206-$V206)</f>
        <v>0.0132940862602062</v>
      </c>
      <c r="AL206" s="0" t="n">
        <f aca="false">IF(AJ206&lt;&gt;AK206,(AB206-AA206)/(AJ206-AK206),0)</f>
        <v>0.0256371974963288</v>
      </c>
      <c r="AM206" s="0" t="n">
        <f aca="false">V206+AL206</f>
        <v>-0.00335868344137149</v>
      </c>
      <c r="AN206" s="0" t="n">
        <f aca="false">-AM206*$AC$51</f>
        <v>0.351720507504878</v>
      </c>
      <c r="AO206" s="0" t="n">
        <f aca="false">-AM206*$AD$51</f>
        <v>0.175860253752439</v>
      </c>
      <c r="AP206" s="0" t="n">
        <f aca="false">(-AN206+SQRT(AN206^2-4*$C206))/2</f>
        <v>3.18654875625796</v>
      </c>
      <c r="AQ206" s="0" t="n">
        <f aca="false">(-AO206+SQRT(AO206^2-4*$D206))/2</f>
        <v>2.21046044675606</v>
      </c>
      <c r="AR206" s="0" t="n">
        <f aca="false">IF(AP206&lt;&gt;0,($C$21-$B206)*$AM206/AP206/$AC$51-$AC$60*$AC$51,0)</f>
        <v>-4.34159894697564E-005</v>
      </c>
      <c r="AS206" s="0" t="n">
        <f aca="false">IF(AQ206&lt;&gt;0,($C$27-$B206)*$AM206/AQ206/$AD$51-$AC$60*$AD$51,0)</f>
        <v>-3.77632723661393E-005</v>
      </c>
      <c r="AT206" s="0" t="n">
        <f aca="false">AM206*1.001</f>
        <v>-0.00336204212481286</v>
      </c>
      <c r="AU206" s="0" t="n">
        <f aca="false">-AT206*$AC$51</f>
        <v>0.352072228012383</v>
      </c>
      <c r="AV206" s="0" t="n">
        <f aca="false">-AT206*$AD$51</f>
        <v>0.176036114006192</v>
      </c>
      <c r="AW206" s="0" t="n">
        <f aca="false">(-AU206+SQRT(AU206^2-4*$C206))/2</f>
        <v>3.18638209840934</v>
      </c>
      <c r="AX206" s="0" t="n">
        <f aca="false">(-AV206+SQRT(AV206^2-4*$D206))/2</f>
        <v>2.21037588227448</v>
      </c>
      <c r="AY206" s="0" t="n">
        <f aca="false">IF(AW206&lt;&gt;0,($C$21-$B206)*$AT206/AW206/$AC$51-$AC$60*$AC$51,0)</f>
        <v>-4.34358935697165E-005</v>
      </c>
      <c r="AZ206" s="0" t="n">
        <f aca="false">IF(AX206&lt;&gt;0,($C$27-$B206)*$AT206/AX206/$AD$51-$AC$60*$AD$51,0)</f>
        <v>-3.77897615930125E-005</v>
      </c>
      <c r="BA206" s="0" t="n">
        <f aca="false">(AY206-AR206)/($AT206-$AM206)</f>
        <v>0.0059261613389787</v>
      </c>
      <c r="BB206" s="0" t="n">
        <f aca="false">(AZ206-AS206)/($AT206-$AM206)</f>
        <v>0.00788678877769927</v>
      </c>
      <c r="BC206" s="0" t="n">
        <f aca="false">IF(BA206&lt;&gt;BB206,(AS206-AR206)/(BA206-BB206),0)</f>
        <v>-0.00288311639018265</v>
      </c>
      <c r="BD206" s="0" t="n">
        <f aca="false">AM206+BC206</f>
        <v>-0.00624179983155414</v>
      </c>
      <c r="BE206" s="0" t="n">
        <f aca="false">-BD206*$AC$51</f>
        <v>0.653639749866283</v>
      </c>
      <c r="BF206" s="0" t="n">
        <f aca="false">-BD206*$AD$51</f>
        <v>0.326819874933141</v>
      </c>
      <c r="BG206" s="0" t="n">
        <f aca="false">(-BE206+SQRT(BE206^2-4*$C206))/2</f>
        <v>3.04685449471201</v>
      </c>
      <c r="BH206" s="0" t="n">
        <f aca="false">(-BF206+SQRT(BF206^2-4*$D206))/2</f>
        <v>2.13910397767316</v>
      </c>
      <c r="BI206" s="0" t="n">
        <f aca="false">IF(BG206&lt;&gt;0,($C$21-$B206)*$BD206/BG206/$AC$51-$AC$60*$AC$51,0)</f>
        <v>-6.12633350706385E-005</v>
      </c>
      <c r="BJ206" s="0" t="n">
        <f aca="false">IF(BH206&lt;&gt;0,($C$27-$B206)*$BD206/BH206/$AD$51-$AC$60*$AD$51,0)</f>
        <v>-6.12446974859558E-005</v>
      </c>
      <c r="BK206" s="0" t="n">
        <f aca="false">BD206*1.001</f>
        <v>-0.00624804163138569</v>
      </c>
      <c r="BL206" s="0" t="n">
        <f aca="false">-BK206*$AC$51</f>
        <v>0.654293389616149</v>
      </c>
      <c r="BM206" s="0" t="n">
        <f aca="false">-BK206*$AD$51</f>
        <v>0.327146694808075</v>
      </c>
      <c r="BN206" s="0" t="n">
        <f aca="false">(-BL206+SQRT(BL206^2-4*$C206))/2</f>
        <v>3.04655935072599</v>
      </c>
      <c r="BO206" s="0" t="n">
        <f aca="false">(-BM206+SQRT(BM206^2-4*$D206))/2</f>
        <v>2.1389521707456</v>
      </c>
      <c r="BP206" s="0" t="n">
        <f aca="false">IF(BN206&lt;&gt;0,($C$21-$B206)*$BK206/BN206/$AC$51-$AC$60*$AC$51,0)</f>
        <v>-6.130366117845E-005</v>
      </c>
      <c r="BQ206" s="0" t="n">
        <f aca="false">IF(BO206&lt;&gt;0,($C$27-$B206)*$BK206/BO206/$AD$51-$AC$60*$AD$51,0)</f>
        <v>-6.12971717978312E-005</v>
      </c>
      <c r="BR206" s="0" t="n">
        <f aca="false">(BP206-BI206)/($BK206-$BD206)</f>
        <v>0.00646065380175385</v>
      </c>
      <c r="BS206" s="0" t="n">
        <f aca="false">(BQ206-BJ206)/($BK206-$BD206)</f>
        <v>0.00840692000569254</v>
      </c>
      <c r="BT206" s="0" t="n">
        <f aca="false">IF(BR206&lt;&gt;BS206,(BJ206-BI206)/(BR206-BS206),0)</f>
        <v>-9.57607168280357E-006</v>
      </c>
      <c r="BU206" s="0" t="n">
        <f aca="false">BD206+BT206</f>
        <v>-0.00625137590323694</v>
      </c>
      <c r="BV206" s="0" t="n">
        <f aca="false">-BU206*$AC$51</f>
        <v>0.654642553747914</v>
      </c>
      <c r="BW206" s="0" t="n">
        <f aca="false">-BU206*$AD$51</f>
        <v>0.327321276873957</v>
      </c>
      <c r="BX206" s="0" t="n">
        <f aca="false">(-BV206+SQRT(BV206^2-4*$C206))/2</f>
        <v>3.04640170227588</v>
      </c>
      <c r="BY206" s="0" t="n">
        <f aca="false">(-BW206+SQRT(BW206^2-4*$D206))/2</f>
        <v>2.13887108258727</v>
      </c>
      <c r="BZ206" s="0" t="n">
        <f aca="false">IF(BX206&lt;&gt;0,($C$21-$B206)*$BU206/BX206/$AC$51-$AC$60*$AC$51,0)</f>
        <v>-6.1325205801079E-005</v>
      </c>
      <c r="CA206" s="0" t="n">
        <f aca="false">IF(BY206&lt;&gt;0,($C$27-$B206)*$BU206/BY206/$AD$51-$AC$60*$AD$51,0)</f>
        <v>-6.13252056983451E-005</v>
      </c>
      <c r="CB206" s="0" t="n">
        <f aca="false">BU206*1.001</f>
        <v>-0.00625762727914018</v>
      </c>
      <c r="CC206" s="0" t="n">
        <f aca="false">-CB206*$AC$51</f>
        <v>0.655297196301662</v>
      </c>
      <c r="CD206" s="0" t="n">
        <f aca="false">-CB206*$AD$51</f>
        <v>0.327648598150831</v>
      </c>
      <c r="CE206" s="0" t="n">
        <f aca="false">(-CC206+SQRT(CC206^2-4*$C206))/2</f>
        <v>3.04610615369754</v>
      </c>
      <c r="CF206" s="0" t="n">
        <f aca="false">(-CD206+SQRT(CD206^2-4*$D206))/2</f>
        <v>2.13871906049826</v>
      </c>
      <c r="CG206" s="0" t="n">
        <f aca="false">IF(CE206&lt;&gt;0,($C$21-$B206)*$CB206/CE206/$AC$51-$AC$60*$AC$51,0)</f>
        <v>-6.13656052066261E-005</v>
      </c>
      <c r="CH206" s="0" t="n">
        <f aca="false">IF(CF206&lt;&gt;0,($C$27-$B206)*$CB206/CF206/$AD$51-$AC$60*$AD$51,0)</f>
        <v>-6.13777715599625E-005</v>
      </c>
      <c r="CI206" s="0" t="n">
        <f aca="false">(CG206-BZ206)/($CB206-$BU206)</f>
        <v>0.0064624822075015</v>
      </c>
      <c r="CJ206" s="0" t="n">
        <f aca="false">(CH206-CA206)/($CB206-$BU206)</f>
        <v>0.00840868673249627</v>
      </c>
      <c r="CK206" s="0" t="n">
        <f aca="false">IF(CI206&lt;&gt;CJ206,(CA206-BZ206)/(CI206-CJ206),0)</f>
        <v>-5.27868034153907E-011</v>
      </c>
      <c r="CL206" s="0" t="str">
        <f aca="false">IF(AND(BU206&gt;0,CE206&gt;0,CE206&lt;$C$15,CF206&lt;$C$15,CG206&gt;0,ABS(CK206)&lt;0.1*BU206),B206,"")</f>
        <v/>
      </c>
      <c r="CM206" s="0" t="n">
        <f aca="false">CG206+BU206^2/$C$39</f>
        <v>-5.48523217593642E-005</v>
      </c>
      <c r="CN206" s="0" t="n">
        <f aca="false">-BU206*$C$15/$C$39</f>
        <v>0.00625137590323694</v>
      </c>
      <c r="CO206" s="0" t="n">
        <f aca="false">IF(CL206&lt;&gt;"",(-CM206+SQRT(CM206^2-4*$AC$60*CN206))/2/$AC$60,0)</f>
        <v>0</v>
      </c>
      <c r="CP206" s="0" t="n">
        <f aca="false">CO206*30/PI()</f>
        <v>0</v>
      </c>
      <c r="DB206" s="6"/>
    </row>
    <row r="207" customFormat="false" ht="12.75" hidden="false" customHeight="false" outlineLevel="0" collapsed="false">
      <c r="A207" s="0" t="n">
        <f aca="false">A206+0.01</f>
        <v>0.58</v>
      </c>
      <c r="B207" s="0" t="n">
        <f aca="false">A207*$AC$68</f>
        <v>1.14051954309515</v>
      </c>
      <c r="C207" s="0" t="n">
        <f aca="false">$C$39*($B207-$C$21)</f>
        <v>-11.1568827414291</v>
      </c>
      <c r="D207" s="0" t="n">
        <f aca="false">$C$39*($B207-$C$27)</f>
        <v>-5.15688274142908</v>
      </c>
      <c r="E207" s="0" t="n">
        <f aca="false">$AC$71</f>
        <v>0.0474257507541105</v>
      </c>
      <c r="F207" s="0" t="n">
        <f aca="false">-E207*$AC$51</f>
        <v>-4.96641300533647</v>
      </c>
      <c r="G207" s="0" t="n">
        <f aca="false">-E207*$AD$51</f>
        <v>-2.48320650266823</v>
      </c>
      <c r="H207" s="0" t="n">
        <f aca="false">(-F207+SQRT(F207^2-4*$C207))/2</f>
        <v>6.64532102251543</v>
      </c>
      <c r="I207" s="0" t="n">
        <f aca="false">(-G207+SQRT(G207^2-4*$D207))/2</f>
        <v>3.82974184405912</v>
      </c>
      <c r="J207" s="0" t="n">
        <f aca="false">IF(H207&lt;&gt;0,($C$21-$B207)*$E207/H207/$AC$51-$AC$60*$AC$51,0)</f>
        <v>0.000102222560207521</v>
      </c>
      <c r="K207" s="0" t="n">
        <f aca="false">IF(I207&lt;&gt;0,($C$27-$B207)*$E207/I207/$AD$51-$AC$60*$AD$51,0)</f>
        <v>0.000191023057468428</v>
      </c>
      <c r="L207" s="0" t="n">
        <f aca="false">E207*1.001</f>
        <v>0.0474731765048646</v>
      </c>
      <c r="M207" s="0" t="n">
        <f aca="false">-L207*$AC$51</f>
        <v>-4.97137941834181</v>
      </c>
      <c r="N207" s="0" t="n">
        <f aca="false">-L207*$AD$51</f>
        <v>-2.4856897091709</v>
      </c>
      <c r="O207" s="0" t="n">
        <f aca="false">(-M207+SQRT(M207^2-4*$C207))/2</f>
        <v>6.64928624002103</v>
      </c>
      <c r="P207" s="0" t="n">
        <f aca="false">(-N207+SQRT(N207^2-4*$D207))/2</f>
        <v>3.83157930871523</v>
      </c>
      <c r="Q207" s="0" t="n">
        <f aca="false">IF(O207&lt;&gt;0,($C$21-$B207)*$L207/O207/$AC$51-$AC$60*$AC$51,0)</f>
        <v>0.000102273638666802</v>
      </c>
      <c r="R207" s="0" t="n">
        <f aca="false">IF(P207&lt;&gt;0,($C$27-$B207)*$L207/P207/$AD$51-$AC$60*$AD$51,0)</f>
        <v>0.000191128752370619</v>
      </c>
      <c r="S207" s="0" t="n">
        <f aca="false">(Q207-J207)/($L207-$E207)</f>
        <v>0.00107701951932657</v>
      </c>
      <c r="T207" s="0" t="n">
        <f aca="false">(R207-K207)/($L207-$E207)</f>
        <v>0.00222863951566976</v>
      </c>
      <c r="U207" s="0" t="n">
        <f aca="false">IF(S207&lt;&gt;T207,(K207-J207)/(S207-T207),0)</f>
        <v>-0.0771092005547669</v>
      </c>
      <c r="V207" s="0" t="n">
        <f aca="false">E207+U207</f>
        <v>-0.0296834498006564</v>
      </c>
      <c r="W207" s="0" t="n">
        <f aca="false">-V207*$AC$51</f>
        <v>3.10844359423145</v>
      </c>
      <c r="X207" s="0" t="n">
        <f aca="false">-V207*$AD$51</f>
        <v>1.55422179711573</v>
      </c>
      <c r="Y207" s="0" t="n">
        <f aca="false">(-W207+SQRT(W207^2-4*$C207))/2</f>
        <v>2.12986399668152</v>
      </c>
      <c r="Z207" s="0" t="n">
        <f aca="false">(-X207+SQRT(X207^2-4*$D207))/2</f>
        <v>1.62305244798472</v>
      </c>
      <c r="AA207" s="0" t="n">
        <f aca="false">IF(Y207&lt;&gt;0,($C$21-$B207)*$V207/Y207/$AC$51-$AC$60*$AC$51,0)</f>
        <v>-0.000271973810076852</v>
      </c>
      <c r="AB207" s="0" t="n">
        <f aca="false">IF(Z207&lt;&gt;0,($C$27-$B207)*$V207/Z207/$AD$51-$AC$60*$AD$51,0)</f>
        <v>-0.00031245695245273</v>
      </c>
      <c r="AC207" s="0" t="n">
        <f aca="false">V207*1.001</f>
        <v>-0.0297131332504571</v>
      </c>
      <c r="AD207" s="0" t="n">
        <f aca="false">-AC207*$AC$51</f>
        <v>3.11155203782569</v>
      </c>
      <c r="AE207" s="0" t="n">
        <f aca="false">-AC207*$AD$51</f>
        <v>1.55577601891284</v>
      </c>
      <c r="AF207" s="0" t="n">
        <f aca="false">(-AD207+SQRT(AD207^2-4*$C207))/2</f>
        <v>2.12896573085109</v>
      </c>
      <c r="AG207" s="0" t="n">
        <f aca="false">(-AE207+SQRT(AE207^2-4*$D207))/2</f>
        <v>1.62252705812776</v>
      </c>
      <c r="AH207" s="0" t="n">
        <f aca="false">IF(AF207&lt;&gt;0,($C$21-$B207)*$AC207/AF207/$AC$51-$AC$60*$AC$51,0)</f>
        <v>-0.000272325800884071</v>
      </c>
      <c r="AI207" s="0" t="n">
        <f aca="false">IF(AG207&lt;&gt;0,($C$27-$B207)*$AC207/AG207/$AD$51-$AC$60*$AD$51,0)</f>
        <v>-0.000312854465099523</v>
      </c>
      <c r="AJ207" s="0" t="n">
        <f aca="false">(AH207-AA207)/($AC207-$V207)</f>
        <v>0.0118581502346636</v>
      </c>
      <c r="AK207" s="0" t="n">
        <f aca="false">(AI207-AB207)/($AC207-$V207)</f>
        <v>0.0133917266848306</v>
      </c>
      <c r="AL207" s="0" t="n">
        <f aca="false">IF(AJ207&lt;&gt;AK207,(AB207-AA207)/(AJ207-AK207),0)</f>
        <v>0.0263978638766065</v>
      </c>
      <c r="AM207" s="0" t="n">
        <f aca="false">V207+AL207</f>
        <v>-0.00328558592404998</v>
      </c>
      <c r="AN207" s="0" t="n">
        <f aca="false">-AM207*$AC$51</f>
        <v>0.344065753391115</v>
      </c>
      <c r="AO207" s="0" t="n">
        <f aca="false">-AM207*$AD$51</f>
        <v>0.172032876695557</v>
      </c>
      <c r="AP207" s="0" t="n">
        <f aca="false">(-AN207+SQRT(AN207^2-4*$C207))/2</f>
        <v>3.17258639193476</v>
      </c>
      <c r="AQ207" s="0" t="n">
        <f aca="false">(-AO207+SQRT(AO207^2-4*$D207))/2</f>
        <v>2.1864891324034</v>
      </c>
      <c r="AR207" s="0" t="n">
        <f aca="false">IF(AP207&lt;&gt;0,($C$21-$B207)*$AM207/AP207/$AC$51-$AC$60*$AC$51,0)</f>
        <v>-4.28913135566103E-005</v>
      </c>
      <c r="AS207" s="0" t="n">
        <f aca="false">IF(AQ207&lt;&gt;0,($C$27-$B207)*$AM207/AQ207/$AD$51-$AC$60*$AD$51,0)</f>
        <v>-3.69173030211364E-005</v>
      </c>
      <c r="AT207" s="0" t="n">
        <f aca="false">AM207*1.001</f>
        <v>-0.00328887150997403</v>
      </c>
      <c r="AU207" s="0" t="n">
        <f aca="false">-AT207*$AC$51</f>
        <v>0.344409819144506</v>
      </c>
      <c r="AV207" s="0" t="n">
        <f aca="false">-AT207*$AD$51</f>
        <v>0.172204909572253</v>
      </c>
      <c r="AW207" s="0" t="n">
        <f aca="false">(-AU207+SQRT(AU207^2-4*$C207))/2</f>
        <v>3.17242321210434</v>
      </c>
      <c r="AX207" s="0" t="n">
        <f aca="false">(-AV207+SQRT(AV207^2-4*$D207))/2</f>
        <v>2.18640637339239</v>
      </c>
      <c r="AY207" s="0" t="n">
        <f aca="false">IF(AW207&lt;&gt;0,($C$21-$B207)*$AT207/AW207/$AC$51-$AC$60*$AC$51,0)</f>
        <v>-4.29106495665369E-005</v>
      </c>
      <c r="AZ207" s="0" t="n">
        <f aca="false">IF(AX207&lt;&gt;0,($C$27-$B207)*$AT207/AX207/$AD$51-$AC$60*$AD$51,0)</f>
        <v>-3.69429038480892E-005</v>
      </c>
      <c r="BA207" s="0" t="n">
        <f aca="false">(AY207-AR207)/($AT207-$AM207)</f>
        <v>0.00588510249727295</v>
      </c>
      <c r="BB207" s="0" t="n">
        <f aca="false">(AZ207-AS207)/($AT207-$AM207)</f>
        <v>0.0077918604305802</v>
      </c>
      <c r="BC207" s="0" t="n">
        <f aca="false">IF(BA207&lt;&gt;BB207,(AS207-AR207)/(BA207-BB207),0)</f>
        <v>-0.00313307233766796</v>
      </c>
      <c r="BD207" s="0" t="n">
        <f aca="false">AM207+BC207</f>
        <v>-0.00641865826171794</v>
      </c>
      <c r="BE207" s="0" t="n">
        <f aca="false">-BD207*$AC$51</f>
        <v>0.672160321363883</v>
      </c>
      <c r="BF207" s="0" t="n">
        <f aca="false">-BD207*$AD$51</f>
        <v>0.336080160681942</v>
      </c>
      <c r="BG207" s="0" t="n">
        <f aca="false">(-BE207+SQRT(BE207^2-4*$C207))/2</f>
        <v>3.02097697553619</v>
      </c>
      <c r="BH207" s="0" t="n">
        <f aca="false">(-BF207+SQRT(BF207^2-4*$D207))/2</f>
        <v>2.10904582274439</v>
      </c>
      <c r="BI207" s="0" t="n">
        <f aca="false">IF(BG207&lt;&gt;0,($C$21-$B207)*$BD207/BG207/$AC$51-$AC$60*$AC$51,0)</f>
        <v>-6.22297905231565E-005</v>
      </c>
      <c r="BJ207" s="0" t="n">
        <f aca="false">IF(BH207&lt;&gt;0,($C$27-$B207)*$BD207/BH207/$AD$51-$AC$60*$AD$51,0)</f>
        <v>-6.22079828001466E-005</v>
      </c>
      <c r="BK207" s="0" t="n">
        <f aca="false">BD207*1.001</f>
        <v>-0.00642507691997966</v>
      </c>
      <c r="BL207" s="0" t="n">
        <f aca="false">-BK207*$AC$51</f>
        <v>0.672832481685247</v>
      </c>
      <c r="BM207" s="0" t="n">
        <f aca="false">-BK207*$AD$51</f>
        <v>0.336416240842624</v>
      </c>
      <c r="BN207" s="0" t="n">
        <f aca="false">(-BL207+SQRT(BL207^2-4*$C207))/2</f>
        <v>3.02067455753203</v>
      </c>
      <c r="BO207" s="0" t="n">
        <f aca="false">(-BM207+SQRT(BM207^2-4*$D207))/2</f>
        <v>2.10889018953475</v>
      </c>
      <c r="BP207" s="0" t="n">
        <f aca="false">IF(BN207&lt;&gt;0,($C$21-$B207)*$BK207/BN207/$AC$51-$AC$60*$AC$51,0)</f>
        <v>-6.22712991016497E-005</v>
      </c>
      <c r="BQ207" s="0" t="n">
        <f aca="false">IF(BO207&lt;&gt;0,($C$27-$B207)*$BK207/BO207/$AD$51-$AC$60*$AD$51,0)</f>
        <v>-6.22616301551454E-005</v>
      </c>
      <c r="BR207" s="0" t="n">
        <f aca="false">(BP207-BI207)/($BK207-$BD207)</f>
        <v>0.00646686220089234</v>
      </c>
      <c r="BS207" s="0" t="n">
        <f aca="false">(BQ207-BJ207)/($BK207-$BD207)</f>
        <v>0.00835803259985867</v>
      </c>
      <c r="BT207" s="0" t="n">
        <f aca="false">IF(BR207&lt;&gt;BS207,(BJ207-BI207)/(BR207-BS207),0)</f>
        <v>-1.15313369022036E-005</v>
      </c>
      <c r="BU207" s="0" t="n">
        <f aca="false">BD207+BT207</f>
        <v>-0.00643018959862014</v>
      </c>
      <c r="BV207" s="0" t="n">
        <f aca="false">-BU207*$AC$51</f>
        <v>0.673367880140485</v>
      </c>
      <c r="BW207" s="0" t="n">
        <f aca="false">-BU207*$AD$51</f>
        <v>0.336683940070242</v>
      </c>
      <c r="BX207" s="0" t="n">
        <f aca="false">(-BV207+SQRT(BV207^2-4*$C207))/2</f>
        <v>3.0204336951833</v>
      </c>
      <c r="BY207" s="0" t="n">
        <f aca="false">(-BW207+SQRT(BW207^2-4*$D207))/2</f>
        <v>2.1087662312378</v>
      </c>
      <c r="BZ207" s="0" t="n">
        <f aca="false">IF(BX207&lt;&gt;0,($C$21-$B207)*$BU207/BX207/$AC$51-$AC$60*$AC$51,0)</f>
        <v>-6.23043677388783E-005</v>
      </c>
      <c r="CA207" s="0" t="n">
        <f aca="false">IF(BY207&lt;&gt;0,($C$27-$B207)*$BU207/BY207/$AD$51-$AC$60*$AD$51,0)</f>
        <v>-6.23043675462516E-005</v>
      </c>
      <c r="CB207" s="0" t="n">
        <f aca="false">BU207*1.001</f>
        <v>-0.00643661978821876</v>
      </c>
      <c r="CC207" s="0" t="n">
        <f aca="false">-CB207*$AC$51</f>
        <v>0.674041248020625</v>
      </c>
      <c r="CD207" s="0" t="n">
        <f aca="false">-CB207*$AD$51</f>
        <v>0.337020624010312</v>
      </c>
      <c r="CE207" s="0" t="n">
        <f aca="false">(-CC207+SQRT(CC207^2-4*$C207))/2</f>
        <v>3.02013079384939</v>
      </c>
      <c r="CF207" s="0" t="n">
        <f aca="false">(-CD207+SQRT(CD207^2-4*$D207))/2</f>
        <v>2.10861034063518</v>
      </c>
      <c r="CG207" s="0" t="n">
        <f aca="false">IF(CE207&lt;&gt;0,($C$21-$B207)*$CB207/CE207/$AC$51-$AC$60*$AC$51,0)</f>
        <v>-6.23459651062861E-005</v>
      </c>
      <c r="CH207" s="0" t="n">
        <f aca="false">IF(CF207&lt;&gt;0,($C$27-$B207)*$CB207/CF207/$AD$51-$AC$60*$AD$51,0)</f>
        <v>-6.23581250128972E-005</v>
      </c>
      <c r="CI207" s="0" t="n">
        <f aca="false">(CG207-BZ207)/($CB207-$BU207)</f>
        <v>0.00646907323178267</v>
      </c>
      <c r="CJ207" s="0" t="n">
        <f aca="false">(CH207-CA207)/($CB207-$BU207)</f>
        <v>0.00836016820671856</v>
      </c>
      <c r="CK207" s="0" t="n">
        <f aca="false">IF(CI207&lt;&gt;CJ207,(CA207-BZ207)/(CI207-CJ207),0)</f>
        <v>-1.01859885166556E-010</v>
      </c>
      <c r="CL207" s="6" t="str">
        <f aca="false">IF(AND(BU207&gt;0,CE207&gt;0,CE207&lt;$C$15,CF207&lt;$C$15,CG207&gt;0,ABS(CK207)&lt;0.1*BU207),B207,"")</f>
        <v/>
      </c>
      <c r="CM207" s="0" t="n">
        <f aca="false">CG207+BU207^2/$C$39</f>
        <v>-5.54547420605856E-005</v>
      </c>
      <c r="CN207" s="0" t="n">
        <f aca="false">-BU207*$C$15/$C$39</f>
        <v>0.00643018959862014</v>
      </c>
      <c r="CO207" s="0" t="n">
        <f aca="false">IF(CL207&lt;&gt;"",(-CM207+SQRT(CM207^2-4*$AC$60*CN207))/2/$AC$60,0)</f>
        <v>0</v>
      </c>
      <c r="CP207" s="0" t="n">
        <f aca="false">CO207*30/PI()</f>
        <v>0</v>
      </c>
      <c r="DB207" s="6"/>
    </row>
    <row r="208" customFormat="false" ht="12.75" hidden="false" customHeight="false" outlineLevel="0" collapsed="false">
      <c r="A208" s="0" t="n">
        <f aca="false">A207+0.01</f>
        <v>0.59</v>
      </c>
      <c r="B208" s="0" t="n">
        <f aca="false">A208*$AC$68</f>
        <v>1.16018367314852</v>
      </c>
      <c r="C208" s="0" t="n">
        <f aca="false">$C$39*($B208-$C$21)</f>
        <v>-11.0388979611089</v>
      </c>
      <c r="D208" s="0" t="n">
        <f aca="false">$C$39*($B208-$C$27)</f>
        <v>-5.03889796110889</v>
      </c>
      <c r="E208" s="0" t="n">
        <f aca="false">$AC$71</f>
        <v>0.0474257507541105</v>
      </c>
      <c r="F208" s="0" t="n">
        <f aca="false">-E208*$AC$51</f>
        <v>-4.96641300533647</v>
      </c>
      <c r="G208" s="0" t="n">
        <f aca="false">-E208*$AD$51</f>
        <v>-2.48320650266823</v>
      </c>
      <c r="H208" s="0" t="n">
        <f aca="false">(-F208+SQRT(F208^2-4*$C208))/2</f>
        <v>6.63112314792555</v>
      </c>
      <c r="I208" s="0" t="n">
        <f aca="false">(-G208+SQRT(G208^2-4*$D208))/2</f>
        <v>3.80684721533293</v>
      </c>
      <c r="J208" s="0" t="n">
        <f aca="false">IF(H208&lt;&gt;0,($C$21-$B208)*$E208/H208/$AC$51-$AC$60*$AC$51,0)</f>
        <v>0.000101150898576328</v>
      </c>
      <c r="K208" s="0" t="n">
        <f aca="false">IF(I208&lt;&gt;0,($C$27-$B208)*$E208/I208/$AD$51-$AC$60*$AD$51,0)</f>
        <v>0.000187566864781145</v>
      </c>
      <c r="L208" s="0" t="n">
        <f aca="false">E208*1.001</f>
        <v>0.0474731765048646</v>
      </c>
      <c r="M208" s="0" t="n">
        <f aca="false">-L208*$AC$51</f>
        <v>-4.97137941834181</v>
      </c>
      <c r="N208" s="0" t="n">
        <f aca="false">-L208*$AD$51</f>
        <v>-2.4856897091709</v>
      </c>
      <c r="O208" s="0" t="n">
        <f aca="false">(-M208+SQRT(M208^2-4*$C208))/2</f>
        <v>6.63509343638124</v>
      </c>
      <c r="P208" s="0" t="n">
        <f aca="false">(-N208+SQRT(N208^2-4*$D208))/2</f>
        <v>3.80868999677124</v>
      </c>
      <c r="Q208" s="0" t="n">
        <f aca="false">IF(O208&lt;&gt;0,($C$21-$B208)*$L208/O208/$AC$51-$AC$60*$AC$51,0)</f>
        <v>0.000101201288514212</v>
      </c>
      <c r="R208" s="0" t="n">
        <f aca="false">IF(P208&lt;&gt;0,($C$27-$B208)*$L208/P208/$AD$51-$AC$60*$AD$51,0)</f>
        <v>0.000187669906919252</v>
      </c>
      <c r="S208" s="0" t="n">
        <f aca="false">(Q208-J208)/($L208-$E208)</f>
        <v>0.00106250163850519</v>
      </c>
      <c r="T208" s="0" t="n">
        <f aca="false">(R208-K208)/($L208-$E208)</f>
        <v>0.00217270441622889</v>
      </c>
      <c r="U208" s="0" t="n">
        <f aca="false">IF(S208&lt;&gt;T208,(K208-J208)/(S208-T208),0)</f>
        <v>-0.0778380021548854</v>
      </c>
      <c r="V208" s="0" t="n">
        <f aca="false">E208+U208</f>
        <v>-0.0304122514007749</v>
      </c>
      <c r="W208" s="0" t="n">
        <f aca="false">-V208*$AC$51</f>
        <v>3.18476351932668</v>
      </c>
      <c r="X208" s="0" t="n">
        <f aca="false">-V208*$AD$51</f>
        <v>1.59238175966334</v>
      </c>
      <c r="Y208" s="0" t="n">
        <f aca="false">(-W208+SQRT(W208^2-4*$C208))/2</f>
        <v>2.0919876069471</v>
      </c>
      <c r="Z208" s="0" t="n">
        <f aca="false">(-X208+SQRT(X208^2-4*$D208))/2</f>
        <v>1.58557692544155</v>
      </c>
      <c r="AA208" s="0" t="n">
        <f aca="false">IF(Y208&lt;&gt;0,($C$21-$B208)*$V208/Y208/$AC$51-$AC$60*$AC$51,0)</f>
        <v>-0.000279910614695043</v>
      </c>
      <c r="AB208" s="0" t="n">
        <f aca="false">IF(Z208&lt;&gt;0,($C$27-$B208)*$V208/Z208/$AD$51-$AC$60*$AD$51,0)</f>
        <v>-0.000319894001659789</v>
      </c>
      <c r="AC208" s="0" t="n">
        <f aca="false">V208*1.001</f>
        <v>-0.0304426636521757</v>
      </c>
      <c r="AD208" s="0" t="n">
        <f aca="false">-AC208*$AC$51</f>
        <v>3.187948282846</v>
      </c>
      <c r="AE208" s="0" t="n">
        <f aca="false">-AC208*$AD$51</f>
        <v>1.593974141423</v>
      </c>
      <c r="AF208" s="0" t="n">
        <f aca="false">(-AD208+SQRT(AD208^2-4*$C208))/2</f>
        <v>2.09108373120724</v>
      </c>
      <c r="AG208" s="0" t="n">
        <f aca="false">(-AE208+SQRT(AE208^2-4*$D208))/2</f>
        <v>1.58504700796794</v>
      </c>
      <c r="AH208" s="0" t="n">
        <f aca="false">IF(AF208&lt;&gt;0,($C$21-$B208)*$AC208/AF208/$AC$51-$AC$60*$AC$51,0)</f>
        <v>-0.000280276534479499</v>
      </c>
      <c r="AI208" s="0" t="n">
        <f aca="false">IF(AG208&lt;&gt;0,($C$27-$B208)*$AC208/AG208/$AD$51-$AC$60*$AD$51,0)</f>
        <v>-0.000320304599517623</v>
      </c>
      <c r="AJ208" s="0" t="n">
        <f aca="false">(AH208-AA208)/($AC208-$V208)</f>
        <v>0.0120319860451625</v>
      </c>
      <c r="AK208" s="0" t="n">
        <f aca="false">(AI208-AB208)/($AC208-$V208)</f>
        <v>0.013501067462039</v>
      </c>
      <c r="AL208" s="0" t="n">
        <f aca="false">IF(AJ208&lt;&gt;AK208,(AB208-AA208)/(AJ208-AK208),0)</f>
        <v>0.0272165902484545</v>
      </c>
      <c r="AM208" s="0" t="n">
        <f aca="false">V208+AL208</f>
        <v>-0.0031956611523204</v>
      </c>
      <c r="AN208" s="0" t="n">
        <f aca="false">-AM208*$AC$51</f>
        <v>0.334648853316402</v>
      </c>
      <c r="AO208" s="0" t="n">
        <f aca="false">-AM208*$AD$51</f>
        <v>0.167324426658201</v>
      </c>
      <c r="AP208" s="0" t="n">
        <f aca="false">(-AN208+SQRT(AN208^2-4*$C208))/2</f>
        <v>3.1593699423612</v>
      </c>
      <c r="AQ208" s="0" t="n">
        <f aca="false">(-AO208+SQRT(AO208^2-4*$D208))/2</f>
        <v>2.16264527387028</v>
      </c>
      <c r="AR208" s="0" t="n">
        <f aca="false">IF(AP208&lt;&gt;0,($C$21-$B208)*$AM208/AP208/$AC$51-$AC$60*$AC$51,0)</f>
        <v>-4.22728968799691E-005</v>
      </c>
      <c r="AS208" s="0" t="n">
        <f aca="false">IF(AQ208&lt;&gt;0,($C$27-$B208)*$AM208/AQ208/$AD$51-$AC$60*$AD$51,0)</f>
        <v>-3.59517639139306E-005</v>
      </c>
      <c r="AT208" s="0" t="n">
        <f aca="false">AM208*1.001</f>
        <v>-0.00319885681347272</v>
      </c>
      <c r="AU208" s="0" t="n">
        <f aca="false">-AT208*$AC$51</f>
        <v>0.334983502169718</v>
      </c>
      <c r="AV208" s="0" t="n">
        <f aca="false">-AT208*$AD$51</f>
        <v>0.167491751084859</v>
      </c>
      <c r="AW208" s="0" t="n">
        <f aca="false">(-AU208+SQRT(AU208^2-4*$C208))/2</f>
        <v>3.15921103813307</v>
      </c>
      <c r="AX208" s="0" t="n">
        <f aca="false">(-AV208+SQRT(AV208^2-4*$D208))/2</f>
        <v>2.1625647291557</v>
      </c>
      <c r="AY208" s="0" t="n">
        <f aca="false">IF(AW208&lt;&gt;0,($C$21-$B208)*$AT208/AW208/$AC$51-$AC$60*$AC$51,0)</f>
        <v>-4.2291562383928E-005</v>
      </c>
      <c r="AZ208" s="0" t="n">
        <f aca="false">IF(AX208&lt;&gt;0,($C$27-$B208)*$AT208/AX208/$AD$51-$AC$60*$AD$51,0)</f>
        <v>-3.59763482263572E-005</v>
      </c>
      <c r="BA208" s="0" t="n">
        <f aca="false">(AY208-AR208)/($AT208-$AM208)</f>
        <v>0.00584088959034572</v>
      </c>
      <c r="BB208" s="0" t="n">
        <f aca="false">(AZ208-AS208)/($AT208-$AM208)</f>
        <v>0.00769302853299034</v>
      </c>
      <c r="BC208" s="0" t="n">
        <f aca="false">IF(BA208&lt;&gt;BB208,(AS208-AR208)/(BA208-BB208),0)</f>
        <v>-0.00341288270577189</v>
      </c>
      <c r="BD208" s="0" t="n">
        <f aca="false">AM208+BC208</f>
        <v>-0.00660854385809229</v>
      </c>
      <c r="BE208" s="0" t="n">
        <f aca="false">-BD208*$AC$51</f>
        <v>0.692045094516956</v>
      </c>
      <c r="BF208" s="0" t="n">
        <f aca="false">-BD208*$AD$51</f>
        <v>0.346022547258478</v>
      </c>
      <c r="BG208" s="0" t="n">
        <f aca="false">(-BE208+SQRT(BE208^2-4*$C208))/2</f>
        <v>2.99443094954703</v>
      </c>
      <c r="BH208" s="0" t="n">
        <f aca="false">(-BF208+SQRT(BF208^2-4*$D208))/2</f>
        <v>2.07839514501483</v>
      </c>
      <c r="BI208" s="0" t="n">
        <f aca="false">IF(BG208&lt;&gt;0,($C$21-$B208)*$BD208/BG208/$AC$51-$AC$60*$AC$51,0)</f>
        <v>-6.32758402009308E-005</v>
      </c>
      <c r="BJ208" s="0" t="n">
        <f aca="false">IF(BH208&lt;&gt;0,($C$27-$B208)*$BD208/BH208/$AD$51-$AC$60*$AD$51,0)</f>
        <v>-6.32502648251197E-005</v>
      </c>
      <c r="BK208" s="0" t="n">
        <f aca="false">BD208*1.001</f>
        <v>-0.00661515240195038</v>
      </c>
      <c r="BL208" s="0" t="n">
        <f aca="false">-BK208*$AC$51</f>
        <v>0.692737139611473</v>
      </c>
      <c r="BM208" s="0" t="n">
        <f aca="false">-BK208*$AD$51</f>
        <v>0.346368569805737</v>
      </c>
      <c r="BN208" s="0" t="n">
        <f aca="false">(-BL208+SQRT(BL208^2-4*$C208))/2</f>
        <v>2.99412078764747</v>
      </c>
      <c r="BO208" s="0" t="n">
        <f aca="false">(-BM208+SQRT(BM208^2-4*$D208))/2</f>
        <v>2.07823543555047</v>
      </c>
      <c r="BP208" s="0" t="n">
        <f aca="false">IF(BN208&lt;&gt;0,($C$21-$B208)*$BK208/BN208/$AC$51-$AC$60*$AC$51,0)</f>
        <v>-6.3318634504837E-005</v>
      </c>
      <c r="BQ208" s="0" t="n">
        <f aca="false">IF(BO208&lt;&gt;0,($C$27-$B208)*$BK208/BO208/$AD$51-$AC$60*$AD$51,0)</f>
        <v>-6.33051871590763E-005</v>
      </c>
      <c r="BR208" s="0" t="n">
        <f aca="false">(BP208-BI208)/($BK208-$BD208)</f>
        <v>0.00647560261762523</v>
      </c>
      <c r="BS208" s="0" t="n">
        <f aca="false">(BQ208-BJ208)/($BK208-$BD208)</f>
        <v>0.00831080721199987</v>
      </c>
      <c r="BT208" s="0" t="n">
        <f aca="false">IF(BR208&lt;&gt;BS208,(BJ208-BI208)/(BR208-BS208),0)</f>
        <v>-1.39359807018351E-005</v>
      </c>
      <c r="BU208" s="0" t="n">
        <f aca="false">BD208+BT208</f>
        <v>-0.00662247983879413</v>
      </c>
      <c r="BV208" s="0" t="n">
        <f aca="false">-BU208*$AC$51</f>
        <v>0.693504467003405</v>
      </c>
      <c r="BW208" s="0" t="n">
        <f aca="false">-BU208*$AD$51</f>
        <v>0.346752233501702</v>
      </c>
      <c r="BX208" s="0" t="n">
        <f aca="false">(-BV208+SQRT(BV208^2-4*$C208))/2</f>
        <v>2.99377692705764</v>
      </c>
      <c r="BY208" s="0" t="n">
        <f aca="false">(-BW208+SQRT(BW208^2-4*$D208))/2</f>
        <v>2.07805836796517</v>
      </c>
      <c r="BZ208" s="0" t="n">
        <f aca="false">IF(BX208&lt;&gt;0,($C$21-$B208)*$BU208/BX208/$AC$51-$AC$60*$AC$51,0)</f>
        <v>-6.33660939024439E-005</v>
      </c>
      <c r="CA208" s="0" t="n">
        <f aca="false">IF(BY208&lt;&gt;0,($C$27-$B208)*$BU208/BY208/$AD$51-$AC$60*$AD$51,0)</f>
        <v>-6.33660935635909E-005</v>
      </c>
      <c r="CB208" s="0" t="n">
        <f aca="false">BU208*1.001</f>
        <v>-0.00662910231863292</v>
      </c>
      <c r="CC208" s="0" t="n">
        <f aca="false">-CB208*$AC$51</f>
        <v>0.694197971470408</v>
      </c>
      <c r="CD208" s="0" t="n">
        <f aca="false">-CB208*$AD$51</f>
        <v>0.347098985735204</v>
      </c>
      <c r="CE208" s="0" t="n">
        <f aca="false">(-CC208+SQRT(CC208^2-4*$C208))/2</f>
        <v>2.99346618605943</v>
      </c>
      <c r="CF208" s="0" t="n">
        <f aca="false">(-CD208+SQRT(CD208^2-4*$D208))/2</f>
        <v>2.07789834965141</v>
      </c>
      <c r="CG208" s="0" t="n">
        <f aca="false">IF(CE208&lt;&gt;0,($C$21-$B208)*$CB208/CE208/$AC$51-$AC$60*$AC$51,0)</f>
        <v>-6.34089962259831E-005</v>
      </c>
      <c r="CH208" s="0" t="n">
        <f aca="false">IF(CF208&lt;&gt;0,($C$27-$B208)*$CB208/CF208/$AD$51-$AC$60*$AD$51,0)</f>
        <v>-6.34211488794405E-005</v>
      </c>
      <c r="CI208" s="0" t="n">
        <f aca="false">(CG208-BZ208)/($CB208-$BU208)</f>
        <v>0.00647828677226539</v>
      </c>
      <c r="CJ208" s="0" t="n">
        <f aca="false">(CH208-CA208)/($CB208-$BU208)</f>
        <v>0.00831339878561286</v>
      </c>
      <c r="CK208" s="0" t="n">
        <f aca="false">IF(CI208&lt;&gt;CJ208,(CA208-BZ208)/(CI208-CJ208),0)</f>
        <v>-1.84649747076387E-010</v>
      </c>
      <c r="CL208" s="6" t="str">
        <f aca="false">IF(AND(BU208&gt;0,CE208&gt;0,CE208&lt;$C$15,CF208&lt;$C$15,CG208&gt;0,ABS(CK208)&lt;0.1*BU208),B208,"")</f>
        <v/>
      </c>
      <c r="CM208" s="0" t="n">
        <f aca="false">CG208+BU208^2/$C$39</f>
        <v>-5.60994563567774E-005</v>
      </c>
      <c r="CN208" s="0" t="n">
        <f aca="false">-BU208*$C$15/$C$39</f>
        <v>0.00662247983879413</v>
      </c>
      <c r="CO208" s="0" t="n">
        <f aca="false">IF(CL208&lt;&gt;"",(-CM208+SQRT(CM208^2-4*$AC$60*CN208))/2/$AC$60,0)</f>
        <v>0</v>
      </c>
      <c r="CP208" s="0" t="n">
        <f aca="false">CO208*30/PI()</f>
        <v>0</v>
      </c>
      <c r="DB208" s="6"/>
    </row>
    <row r="209" customFormat="false" ht="12.75" hidden="false" customHeight="false" outlineLevel="0" collapsed="false">
      <c r="A209" s="0" t="n">
        <f aca="false">A208+0.01</f>
        <v>0.6</v>
      </c>
      <c r="B209" s="0" t="n">
        <f aca="false">A209*$AC$68</f>
        <v>1.17984780320188</v>
      </c>
      <c r="C209" s="0" t="n">
        <f aca="false">$C$39*($B209-$C$21)</f>
        <v>-10.9209131807887</v>
      </c>
      <c r="D209" s="0" t="n">
        <f aca="false">$C$39*($B209-$C$27)</f>
        <v>-4.92091318078871</v>
      </c>
      <c r="E209" s="0" t="n">
        <f aca="false">$AC$71</f>
        <v>0.0474257507541105</v>
      </c>
      <c r="F209" s="0" t="n">
        <f aca="false">-E209*$AC$51</f>
        <v>-4.96641300533647</v>
      </c>
      <c r="G209" s="0" t="n">
        <f aca="false">-E209*$AD$51</f>
        <v>-2.48320650266823</v>
      </c>
      <c r="H209" s="0" t="n">
        <f aca="false">(-F209+SQRT(F209^2-4*$C209))/2</f>
        <v>6.61687650832695</v>
      </c>
      <c r="I209" s="0" t="n">
        <f aca="false">(-G209+SQRT(G209^2-4*$D209))/2</f>
        <v>3.78374640515378</v>
      </c>
      <c r="J209" s="0" t="n">
        <f aca="false">IF(H209&lt;&gt;0,($C$21-$B209)*$E209/H209/$AC$51-$AC$60*$AC$51,0)</f>
        <v>0.000100075556141473</v>
      </c>
      <c r="K209" s="0" t="n">
        <f aca="false">IF(I209&lt;&gt;0,($C$27-$B209)*$E209/I209/$AD$51-$AC$60*$AD$51,0)</f>
        <v>0.000184079546765798</v>
      </c>
      <c r="L209" s="0" t="n">
        <f aca="false">E209*1.001</f>
        <v>0.0474731765048646</v>
      </c>
      <c r="M209" s="0" t="n">
        <f aca="false">-L209*$AC$51</f>
        <v>-4.97137941834181</v>
      </c>
      <c r="N209" s="0" t="n">
        <f aca="false">-L209*$AD$51</f>
        <v>-2.4856897091709</v>
      </c>
      <c r="O209" s="0" t="n">
        <f aca="false">(-M209+SQRT(M209^2-4*$C209))/2</f>
        <v>6.62085192014484</v>
      </c>
      <c r="P209" s="0" t="n">
        <f aca="false">(-N209+SQRT(N209^2-4*$D209))/2</f>
        <v>3.78559464828483</v>
      </c>
      <c r="Q209" s="0" t="n">
        <f aca="false">IF(O209&lt;&gt;0,($C$21-$B209)*$L209/O209/$AC$51-$AC$60*$AC$51,0)</f>
        <v>0.0001001252578372</v>
      </c>
      <c r="R209" s="0" t="n">
        <f aca="false">IF(P209&lt;&gt;0,($C$27-$B209)*$L209/P209/$AD$51-$AC$60*$AD$51,0)</f>
        <v>0.000184179926912188</v>
      </c>
      <c r="S209" s="0" t="n">
        <f aca="false">(Q209-J209)/($L209-$E209)</f>
        <v>0.00104798964563712</v>
      </c>
      <c r="T209" s="0" t="n">
        <f aca="false">(R209-K209)/($L209-$E209)</f>
        <v>0.00211657474670298</v>
      </c>
      <c r="U209" s="0" t="n">
        <f aca="false">IF(S209&lt;&gt;T209,(K209-J209)/(S209-T209),0)</f>
        <v>-0.0786123543558072</v>
      </c>
      <c r="V209" s="0" t="n">
        <f aca="false">E209+U209</f>
        <v>-0.0311866036016967</v>
      </c>
      <c r="W209" s="0" t="n">
        <f aca="false">-V209*$AC$51</f>
        <v>3.26585349218358</v>
      </c>
      <c r="X209" s="0" t="n">
        <f aca="false">-V209*$AD$51</f>
        <v>1.63292674609179</v>
      </c>
      <c r="Y209" s="0" t="n">
        <f aca="false">(-W209+SQRT(W209^2-4*$C209))/2</f>
        <v>2.05317728647303</v>
      </c>
      <c r="Z209" s="0" t="n">
        <f aca="false">(-X209+SQRT(X209^2-4*$D209))/2</f>
        <v>1.54733137699358</v>
      </c>
      <c r="AA209" s="0" t="n">
        <f aca="false">IF(Y209&lt;&gt;0,($C$21-$B209)*$V209/Y209/$AC$51-$AC$60*$AC$51,0)</f>
        <v>-0.000288512338730544</v>
      </c>
      <c r="AB209" s="0" t="n">
        <f aca="false">IF(Z209&lt;&gt;0,($C$27-$B209)*$V209/Z209/$AD$51-$AC$60*$AD$51,0)</f>
        <v>-0.000327955425409808</v>
      </c>
      <c r="AC209" s="0" t="n">
        <f aca="false">V209*1.001</f>
        <v>-0.0312177902052984</v>
      </c>
      <c r="AD209" s="0" t="n">
        <f aca="false">-AC209*$AC$51</f>
        <v>3.26911934567576</v>
      </c>
      <c r="AE209" s="0" t="n">
        <f aca="false">-AC209*$AD$51</f>
        <v>1.63455967283788</v>
      </c>
      <c r="AF209" s="0" t="n">
        <f aca="false">(-AD209+SQRT(AD209^2-4*$C209))/2</f>
        <v>2.05226802924647</v>
      </c>
      <c r="AG209" s="0" t="n">
        <f aca="false">(-AE209+SQRT(AE209^2-4*$D209))/2</f>
        <v>1.54679704723051</v>
      </c>
      <c r="AH209" s="0" t="n">
        <f aca="false">IF(AF209&lt;&gt;0,($C$21-$B209)*$AC209/AF209/$AC$51-$AC$60*$AC$51,0)</f>
        <v>-0.000288893435611428</v>
      </c>
      <c r="AI209" s="0" t="n">
        <f aca="false">IF(AG209&lt;&gt;0,($C$27-$B209)*$AC209/AG209/$AD$51-$AC$60*$AD$51,0)</f>
        <v>-0.000328380296595508</v>
      </c>
      <c r="AJ209" s="0" t="n">
        <f aca="false">(AH209-AA209)/($AC209-$V209)</f>
        <v>0.012219890493718</v>
      </c>
      <c r="AK209" s="0" t="n">
        <f aca="false">(AI209-AB209)/($AC209-$V209)</f>
        <v>0.0136235157610103</v>
      </c>
      <c r="AL209" s="0" t="n">
        <f aca="false">IF(AJ209&lt;&gt;AK209,(AB209-AA209)/(AJ209-AK209),0)</f>
        <v>0.0281008668042526</v>
      </c>
      <c r="AM209" s="0" t="n">
        <f aca="false">V209+AL209</f>
        <v>-0.00308573679744409</v>
      </c>
      <c r="AN209" s="0" t="n">
        <f aca="false">-AM209*$AC$51</f>
        <v>0.323137601792068</v>
      </c>
      <c r="AO209" s="0" t="n">
        <f aca="false">-AM209*$AD$51</f>
        <v>0.161568800896034</v>
      </c>
      <c r="AP209" s="0" t="n">
        <f aca="false">(-AN209+SQRT(AN209^2-4*$C209))/2</f>
        <v>3.14705895970377</v>
      </c>
      <c r="AQ209" s="0" t="n">
        <f aca="false">(-AO209+SQRT(AO209^2-4*$D209))/2</f>
        <v>2.1389992151651</v>
      </c>
      <c r="AR209" s="0" t="n">
        <f aca="false">IF(AP209&lt;&gt;0,($C$21-$B209)*$AM209/AP209/$AC$51-$AC$60*$AC$51,0)</f>
        <v>-4.15446246990903E-005</v>
      </c>
      <c r="AS209" s="0" t="n">
        <f aca="false">IF(AQ209&lt;&gt;0,($C$27-$B209)*$AM209/AQ209/$AD$51-$AC$60*$AD$51,0)</f>
        <v>-3.48477179279453E-005</v>
      </c>
      <c r="AT209" s="0" t="n">
        <f aca="false">AM209*1.001</f>
        <v>-0.00308882253424153</v>
      </c>
      <c r="AU209" s="0" t="n">
        <f aca="false">-AT209*$AC$51</f>
        <v>0.32346073939386</v>
      </c>
      <c r="AV209" s="0" t="n">
        <f aca="false">-AT209*$AD$51</f>
        <v>0.16173036969693</v>
      </c>
      <c r="AW209" s="0" t="n">
        <f aca="false">(-AU209+SQRT(AU209^2-4*$C209))/2</f>
        <v>3.14690528465835</v>
      </c>
      <c r="AX209" s="0" t="n">
        <f aca="false">(-AV209+SQRT(AV209^2-4*$D209))/2</f>
        <v>2.13892137221266</v>
      </c>
      <c r="AY209" s="0" t="n">
        <f aca="false">IF(AW209&lt;&gt;0,($C$21-$B209)*$AT209/AW209/$AC$51-$AC$60*$AC$51,0)</f>
        <v>-4.15625002708551E-005</v>
      </c>
      <c r="AZ209" s="0" t="n">
        <f aca="false">IF(AX209&lt;&gt;0,($C$27-$B209)*$AT209/AX209/$AD$51-$AC$60*$AD$51,0)</f>
        <v>-3.48711377741217E-005</v>
      </c>
      <c r="BA209" s="0" t="n">
        <f aca="false">(AY209-AR209)/($AT209-$AM209)</f>
        <v>0.00579296710581916</v>
      </c>
      <c r="BB209" s="0" t="n">
        <f aca="false">(AZ209-AS209)/($AT209-$AM209)</f>
        <v>0.0075897095940794</v>
      </c>
      <c r="BC209" s="0" t="n">
        <f aca="false">IF(BA209&lt;&gt;BB209,(AS209-AR209)/(BA209-BB209),0)</f>
        <v>-0.00372724907152916</v>
      </c>
      <c r="BD209" s="0" t="n">
        <f aca="false">AM209+BC209</f>
        <v>-0.00681298586897325</v>
      </c>
      <c r="BE209" s="0" t="n">
        <f aca="false">-BD209*$AC$51</f>
        <v>0.713454211832581</v>
      </c>
      <c r="BF209" s="0" t="n">
        <f aca="false">-BD209*$AD$51</f>
        <v>0.35672710591629</v>
      </c>
      <c r="BG209" s="0" t="n">
        <f aca="false">(-BE209+SQRT(BE209^2-4*$C209))/2</f>
        <v>2.96715126262912</v>
      </c>
      <c r="BH209" s="0" t="n">
        <f aca="false">(-BF209+SQRT(BF209^2-4*$D209))/2</f>
        <v>2.04710869755691</v>
      </c>
      <c r="BI209" s="0" t="n">
        <f aca="false">IF(BG209&lt;&gt;0,($C$21-$B209)*$BD209/BG209/$AC$51-$AC$60*$AC$51,0)</f>
        <v>-6.44116883939711E-005</v>
      </c>
      <c r="BJ209" s="0" t="n">
        <f aca="false">IF(BH209&lt;&gt;0,($C$27-$B209)*$BD209/BH209/$AD$51-$AC$60*$AD$51,0)</f>
        <v>-6.43816295495237E-005</v>
      </c>
      <c r="BK209" s="0" t="n">
        <f aca="false">BD209*1.001</f>
        <v>-0.00681979885484222</v>
      </c>
      <c r="BL209" s="0" t="n">
        <f aca="false">-BK209*$AC$51</f>
        <v>0.714167666044413</v>
      </c>
      <c r="BM209" s="0" t="n">
        <f aca="false">-BK209*$AD$51</f>
        <v>0.357083833022206</v>
      </c>
      <c r="BN209" s="0" t="n">
        <f aca="false">(-BL209+SQRT(BL209^2-4*$C209))/2</f>
        <v>2.96683283930797</v>
      </c>
      <c r="BO209" s="0" t="n">
        <f aca="false">(-BM209+SQRT(BM209^2-4*$D209))/2</f>
        <v>2.04694463629935</v>
      </c>
      <c r="BP209" s="0" t="n">
        <f aca="false">IF(BN209&lt;&gt;0,($C$21-$B209)*$BK209/BN209/$AC$51-$AC$60*$AC$51,0)</f>
        <v>-6.44558856330227E-005</v>
      </c>
      <c r="BQ209" s="0" t="n">
        <f aca="false">IF(BO209&lt;&gt;0,($C$27-$B209)*$BK209/BO209/$AD$51-$AC$60*$AD$51,0)</f>
        <v>-6.44379425208192E-005</v>
      </c>
      <c r="BR209" s="0" t="n">
        <f aca="false">(BP209-BI209)/($BK209-$BD209)</f>
        <v>0.00648720544876982</v>
      </c>
      <c r="BS209" s="0" t="n">
        <f aca="false">(BQ209-BJ209)/($BK209-$BD209)</f>
        <v>0.00826553472713712</v>
      </c>
      <c r="BT209" s="0" t="n">
        <f aca="false">IF(BR209&lt;&gt;BS209,(BJ209-BI209)/(BR209-BS209),0)</f>
        <v>-1.69028564130578E-005</v>
      </c>
      <c r="BU209" s="0" t="n">
        <f aca="false">BD209+BT209</f>
        <v>-0.0068298887253863</v>
      </c>
      <c r="BV209" s="0" t="n">
        <f aca="false">-BU209*$AC$51</f>
        <v>0.715224274816979</v>
      </c>
      <c r="BW209" s="0" t="n">
        <f aca="false">-BU209*$AD$51</f>
        <v>0.357612137408489</v>
      </c>
      <c r="BX209" s="0" t="n">
        <f aca="false">(-BV209+SQRT(BV209^2-4*$C209))/2</f>
        <v>2.96636133144029</v>
      </c>
      <c r="BY209" s="0" t="n">
        <f aca="false">(-BW209+SQRT(BW209^2-4*$D209))/2</f>
        <v>2.04670169155951</v>
      </c>
      <c r="BZ209" s="0" t="n">
        <f aca="false">IF(BX209&lt;&gt;0,($C$21-$B209)*$BU209/BX209/$AC$51-$AC$60*$AC$51,0)</f>
        <v>-6.45213571902568E-005</v>
      </c>
      <c r="CA209" s="0" t="n">
        <f aca="false">IF(BY209&lt;&gt;0,($C$27-$B209)*$BU209/BY209/$AD$51-$AC$60*$AD$51,0)</f>
        <v>-6.45213566153922E-005</v>
      </c>
      <c r="CB209" s="0" t="n">
        <f aca="false">BU209*1.001</f>
        <v>-0.00683671861411169</v>
      </c>
      <c r="CC209" s="0" t="n">
        <f aca="false">-CB209*$AC$51</f>
        <v>0.715939499091796</v>
      </c>
      <c r="CD209" s="0" t="n">
        <f aca="false">-CB209*$AD$51</f>
        <v>0.357969749545898</v>
      </c>
      <c r="CE209" s="0" t="n">
        <f aca="false">(-CC209+SQRT(CC209^2-4*$C209))/2</f>
        <v>2.96604221228256</v>
      </c>
      <c r="CF209" s="0" t="n">
        <f aca="false">(-CD209+SQRT(CD209^2-4*$D209))/2</f>
        <v>2.04653725861198</v>
      </c>
      <c r="CG209" s="0" t="n">
        <f aca="false">IF(CE209&lt;&gt;0,($C$21-$B209)*$CB209/CE209/$AC$51-$AC$60*$AC$51,0)</f>
        <v>-6.4565686424378E-005</v>
      </c>
      <c r="CH209" s="0" t="n">
        <f aca="false">IF(CF209&lt;&gt;0,($C$27-$B209)*$CB209/CF209/$AD$51-$AC$60*$AD$51,0)</f>
        <v>-6.45778308615227E-005</v>
      </c>
      <c r="CI209" s="0" t="n">
        <f aca="false">(CG209-BZ209)/($CB209-$BU209)</f>
        <v>0.00649047677107679</v>
      </c>
      <c r="CJ209" s="0" t="n">
        <f aca="false">(CH209-CA209)/($CB209-$BU209)</f>
        <v>0.00826869198038812</v>
      </c>
      <c r="CK209" s="0" t="n">
        <f aca="false">IF(CI209&lt;&gt;CJ209,(CA209-BZ209)/(CI209-CJ209),0)</f>
        <v>-3.23281825757391E-010</v>
      </c>
      <c r="CL209" s="6" t="str">
        <f aca="false">IF(AND(BU209&gt;0,CE209&gt;0,CE209&lt;$C$15,CF209&lt;$C$15,CG209&gt;0,ABS(CK209)&lt;0.1*BU209),B209,"")</f>
        <v/>
      </c>
      <c r="CM209" s="0" t="n">
        <f aca="false">CG209+BU209^2/$C$39</f>
        <v>-5.67911230908515E-005</v>
      </c>
      <c r="CN209" s="0" t="n">
        <f aca="false">-BU209*$C$15/$C$39</f>
        <v>0.0068298887253863</v>
      </c>
      <c r="CO209" s="0" t="n">
        <f aca="false">IF(CL209&lt;&gt;"",(-CM209+SQRT(CM209^2-4*$AC$60*CN209))/2/$AC$60,0)</f>
        <v>0</v>
      </c>
      <c r="CP209" s="0" t="n">
        <f aca="false">CO209*30/PI()</f>
        <v>0</v>
      </c>
      <c r="DB209" s="6"/>
    </row>
    <row r="210" customFormat="false" ht="12.75" hidden="false" customHeight="false" outlineLevel="0" collapsed="false">
      <c r="A210" s="0" t="n">
        <f aca="false">A209+0.01</f>
        <v>0.61</v>
      </c>
      <c r="B210" s="0" t="n">
        <f aca="false">A210*$AC$68</f>
        <v>1.19951193325525</v>
      </c>
      <c r="C210" s="0" t="n">
        <f aca="false">$C$39*($B210-$C$21)</f>
        <v>-10.8029284004685</v>
      </c>
      <c r="D210" s="0" t="n">
        <f aca="false">$C$39*($B210-$C$27)</f>
        <v>-4.80292840046852</v>
      </c>
      <c r="E210" s="0" t="n">
        <f aca="false">$AC$71</f>
        <v>0.0474257507541105</v>
      </c>
      <c r="F210" s="0" t="n">
        <f aca="false">-E210*$AC$51</f>
        <v>-4.96641300533647</v>
      </c>
      <c r="G210" s="0" t="n">
        <f aca="false">-E210*$AD$51</f>
        <v>-2.48320650266823</v>
      </c>
      <c r="H210" s="0" t="n">
        <f aca="false">(-F210+SQRT(F210^2-4*$C210))/2</f>
        <v>6.60258059776597</v>
      </c>
      <c r="I210" s="0" t="n">
        <f aca="false">(-G210+SQRT(G210^2-4*$D210))/2</f>
        <v>3.76043374070651</v>
      </c>
      <c r="J210" s="0" t="n">
        <f aca="false">IF(H210&lt;&gt;0,($C$21-$B210)*$E210/H210/$AC$51-$AC$60*$AC$51,0)</f>
        <v>9.89964947133576E-005</v>
      </c>
      <c r="K210" s="0" t="n">
        <f aca="false">IF(I210&lt;&gt;0,($C$27-$B210)*$E210/I210/$AD$51-$AC$60*$AD$51,0)</f>
        <v>0.000180560247049373</v>
      </c>
      <c r="L210" s="0" t="n">
        <f aca="false">E210*1.001</f>
        <v>0.0474731765048646</v>
      </c>
      <c r="M210" s="0" t="n">
        <f aca="false">-L210*$AC$51</f>
        <v>-4.97137941834181</v>
      </c>
      <c r="N210" s="0" t="n">
        <f aca="false">-L210*$AD$51</f>
        <v>-2.4856897091709</v>
      </c>
      <c r="O210" s="0" t="n">
        <f aca="false">(-M210+SQRT(M210^2-4*$C210))/2</f>
        <v>6.6065611862673</v>
      </c>
      <c r="P210" s="0" t="n">
        <f aca="false">(-N210+SQRT(N210^2-4*$D210))/2</f>
        <v>3.76228759714541</v>
      </c>
      <c r="Q210" s="0" t="n">
        <f aca="false">IF(O210&lt;&gt;0,($C$21-$B210)*$L210/O210/$AC$51-$AC$60*$AC$51,0)</f>
        <v>9.9045508476669E-005</v>
      </c>
      <c r="R210" s="0" t="n">
        <f aca="false">IF(P210&lt;&gt;0,($C$27-$B210)*$L210/P210/$AD$51-$AC$60*$AD$51,0)</f>
        <v>0.000180657956133177</v>
      </c>
      <c r="S210" s="0" t="n">
        <f aca="false">(Q210-J210)/($L210-$E210)</f>
        <v>0.00103348418384697</v>
      </c>
      <c r="T210" s="0" t="n">
        <f aca="false">(R210-K210)/($L210-$E210)</f>
        <v>0.00206025381255837</v>
      </c>
      <c r="U210" s="0" t="n">
        <f aca="false">IF(S210&lt;&gt;T210,(K210-J210)/(S210-T210),0)</f>
        <v>-0.0794372467350618</v>
      </c>
      <c r="V210" s="0" t="n">
        <f aca="false">E210+U210</f>
        <v>-0.0320114959809513</v>
      </c>
      <c r="W210" s="0" t="n">
        <f aca="false">-V210*$AC$51</f>
        <v>3.35223602013919</v>
      </c>
      <c r="X210" s="0" t="n">
        <f aca="false">-V210*$AD$51</f>
        <v>1.67611801006959</v>
      </c>
      <c r="Y210" s="0" t="n">
        <f aca="false">(-W210+SQRT(W210^2-4*$C210))/2</f>
        <v>2.01336704670299</v>
      </c>
      <c r="Z210" s="0" t="n">
        <f aca="false">(-X210+SQRT(X210^2-4*$D210))/2</f>
        <v>1.50827244989403</v>
      </c>
      <c r="AA210" s="0" t="n">
        <f aca="false">IF(Y210&lt;&gt;0,($C$21-$B210)*$V210/Y210/$AC$51-$AC$60*$AC$51,0)</f>
        <v>-0.000297868224770851</v>
      </c>
      <c r="AB210" s="0" t="n">
        <f aca="false">IF(Z210&lt;&gt;0,($C$27-$B210)*$V210/Z210/$AD$51-$AC$60*$AD$51,0)</f>
        <v>-0.000336726941258678</v>
      </c>
      <c r="AC210" s="0" t="n">
        <f aca="false">V210*1.001</f>
        <v>-0.0320435074769322</v>
      </c>
      <c r="AD210" s="0" t="n">
        <f aca="false">-AC210*$AC$51</f>
        <v>3.35558825615933</v>
      </c>
      <c r="AE210" s="0" t="n">
        <f aca="false">-AC210*$AD$51</f>
        <v>1.67779412807966</v>
      </c>
      <c r="AF210" s="0" t="n">
        <f aca="false">(-AD210+SQRT(AD210^2-4*$C210))/2</f>
        <v>2.0124526843554</v>
      </c>
      <c r="AG210" s="0" t="n">
        <f aca="false">(-AE210+SQRT(AE210^2-4*$D210))/2</f>
        <v>1.50773385805319</v>
      </c>
      <c r="AH210" s="0" t="n">
        <f aca="false">IF(AF210&lt;&gt;0,($C$21-$B210)*$AC210/AF210/$AC$51-$AC$60*$AC$51,0)</f>
        <v>-0.000298265919557886</v>
      </c>
      <c r="AI210" s="0" t="n">
        <f aca="false">IF(AG210&lt;&gt;0,($C$27-$B210)*$AC210/AG210/$AD$51-$AC$60*$AD$51,0)</f>
        <v>-0.000337167442131896</v>
      </c>
      <c r="AJ210" s="0" t="n">
        <f aca="false">(AH210-AA210)/($AC210-$V210)</f>
        <v>0.0124234989602231</v>
      </c>
      <c r="AK210" s="0" t="n">
        <f aca="false">(AI210-AB210)/($AC210-$V210)</f>
        <v>0.0137607087616084</v>
      </c>
      <c r="AL210" s="0" t="n">
        <f aca="false">IF(AJ210&lt;&gt;AK210,(AB210-AA210)/(AJ210-AK210),0)</f>
        <v>0.0290595510499332</v>
      </c>
      <c r="AM210" s="0" t="n">
        <f aca="false">V210+AL210</f>
        <v>-0.00295194493101802</v>
      </c>
      <c r="AN210" s="0" t="n">
        <f aca="false">-AM210*$AC$51</f>
        <v>0.309126950302928</v>
      </c>
      <c r="AO210" s="0" t="n">
        <f aca="false">-AM210*$AD$51</f>
        <v>0.154563475151464</v>
      </c>
      <c r="AP210" s="0" t="n">
        <f aca="false">(-AN210+SQRT(AN210^2-4*$C210))/2</f>
        <v>3.1358496096024</v>
      </c>
      <c r="AQ210" s="0" t="n">
        <f aca="false">(-AO210+SQRT(AO210^2-4*$D210))/2</f>
        <v>2.1156388873971</v>
      </c>
      <c r="AR210" s="0" t="n">
        <f aca="false">IF(AP210&lt;&gt;0,($C$21-$B210)*$AM210/AP210/$AC$51-$AC$60*$AC$51,0)</f>
        <v>-4.06872058830836E-005</v>
      </c>
      <c r="AS210" s="0" t="n">
        <f aca="false">IF(AQ210&lt;&gt;0,($C$27-$B210)*$AM210/AQ210/$AD$51-$AC$60*$AD$51,0)</f>
        <v>-3.35826429500729E-005</v>
      </c>
      <c r="AT210" s="0" t="n">
        <f aca="false">AM210*1.001</f>
        <v>-0.00295489687594904</v>
      </c>
      <c r="AU210" s="0" t="n">
        <f aca="false">-AT210*$AC$51</f>
        <v>0.309436077253231</v>
      </c>
      <c r="AV210" s="0" t="n">
        <f aca="false">-AT210*$AD$51</f>
        <v>0.154718038626615</v>
      </c>
      <c r="AW210" s="0" t="n">
        <f aca="false">(-AU210+SQRT(AU210^2-4*$C210))/2</f>
        <v>3.13570231019585</v>
      </c>
      <c r="AX210" s="0" t="n">
        <f aca="false">(-AV210+SQRT(AV210^2-4*$D210))/2</f>
        <v>2.11556433054132</v>
      </c>
      <c r="AY210" s="0" t="n">
        <f aca="false">IF(AW210&lt;&gt;0,($C$21-$B210)*$AT210/AW210/$AC$51-$AC$60*$AC$51,0)</f>
        <v>-4.07041520087769E-005</v>
      </c>
      <c r="AZ210" s="0" t="n">
        <f aca="false">IF(AX210&lt;&gt;0,($C$27-$B210)*$AT210/AX210/$AD$51-$AC$60*$AD$51,0)</f>
        <v>-3.36047270469981E-005</v>
      </c>
      <c r="BA210" s="0" t="n">
        <f aca="false">(AY210-AR210)/($AT210-$AM210)</f>
        <v>0.00574066457516186</v>
      </c>
      <c r="BB210" s="0" t="n">
        <f aca="false">(AZ210-AS210)/($AT210-$AM210)</f>
        <v>0.00748120220440032</v>
      </c>
      <c r="BC210" s="0" t="n">
        <f aca="false">IF(BA210&lt;&gt;BB210,(AS210-AR210)/(BA210-BB210),0)</f>
        <v>-0.00408182093490226</v>
      </c>
      <c r="BD210" s="0" t="n">
        <f aca="false">AM210+BC210</f>
        <v>-0.00703376586592028</v>
      </c>
      <c r="BE210" s="0" t="n">
        <f aca="false">-BD210*$AC$51</f>
        <v>0.736574239048193</v>
      </c>
      <c r="BF210" s="0" t="n">
        <f aca="false">-BD210*$AD$51</f>
        <v>0.368287119524097</v>
      </c>
      <c r="BG210" s="0" t="n">
        <f aca="false">(-BE210+SQRT(BE210^2-4*$C210))/2</f>
        <v>2.93906284727347</v>
      </c>
      <c r="BH210" s="0" t="n">
        <f aca="false">(-BF210+SQRT(BF210^2-4*$D210))/2</f>
        <v>2.01513751619672</v>
      </c>
      <c r="BI210" s="0" t="n">
        <f aca="false">IF(BG210&lt;&gt;0,($C$21-$B210)*$BD210/BG210/$AC$51-$AC$60*$AC$51,0)</f>
        <v>-6.56493688832259E-005</v>
      </c>
      <c r="BJ210" s="0" t="n">
        <f aca="false">IF(BH210&lt;&gt;0,($C$27-$B210)*$BD210/BH210/$AD$51-$AC$60*$AD$51,0)</f>
        <v>-6.56139710050249E-005</v>
      </c>
      <c r="BK210" s="0" t="n">
        <f aca="false">BD210*1.001</f>
        <v>-0.0070407996317862</v>
      </c>
      <c r="BL210" s="0" t="n">
        <f aca="false">-BK210*$AC$51</f>
        <v>0.737310813287242</v>
      </c>
      <c r="BM210" s="0" t="n">
        <f aca="false">-BK210*$AD$51</f>
        <v>0.368655406643621</v>
      </c>
      <c r="BN210" s="0" t="n">
        <f aca="false">(-BL210+SQRT(BL210^2-4*$C210))/2</f>
        <v>2.93873559070098</v>
      </c>
      <c r="BO210" s="0" t="n">
        <f aca="false">(-BM210+SQRT(BM210^2-4*$D210))/2</f>
        <v>2.01496879844425</v>
      </c>
      <c r="BP210" s="0" t="n">
        <f aca="false">IF(BN210&lt;&gt;0,($C$21-$B210)*$BK210/BN210/$AC$51-$AC$60*$AC$51,0)</f>
        <v>-6.56951028429046E-005</v>
      </c>
      <c r="BQ210" s="0" t="n">
        <f aca="false">IF(BO210&lt;&gt;0,($C$27-$B210)*$BK210/BO210/$AD$51-$AC$60*$AD$51,0)</f>
        <v>-6.56718065705366E-005</v>
      </c>
      <c r="BR210" s="0" t="n">
        <f aca="false">(BP210-BI210)/($BK210-$BD210)</f>
        <v>0.00650205886156612</v>
      </c>
      <c r="BS210" s="0" t="n">
        <f aca="false">(BQ210-BJ210)/($BK210-$BD210)</f>
        <v>0.00822256051937763</v>
      </c>
      <c r="BT210" s="0" t="n">
        <f aca="false">IF(BR210&lt;&gt;BS210,(BJ210-BI210)/(BR210-BS210),0)</f>
        <v>-2.05741610537024E-005</v>
      </c>
      <c r="BU210" s="0" t="n">
        <f aca="false">BD210+BT210</f>
        <v>-0.00705434002697398</v>
      </c>
      <c r="BV210" s="0" t="n">
        <f aca="false">-BU210*$AC$51</f>
        <v>0.73872876015553</v>
      </c>
      <c r="BW210" s="0" t="n">
        <f aca="false">-BU210*$AD$51</f>
        <v>0.369364380077765</v>
      </c>
      <c r="BX210" s="0" t="n">
        <f aca="false">(-BV210+SQRT(BV210^2-4*$C210))/2</f>
        <v>2.93810571740441</v>
      </c>
      <c r="BY210" s="0" t="n">
        <f aca="false">(-BW210+SQRT(BW210^2-4*$D210))/2</f>
        <v>2.01464405037796</v>
      </c>
      <c r="BZ210" s="0" t="n">
        <f aca="false">IF(BX210&lt;&gt;0,($C$21-$B210)*$BU210/BX210/$AC$51-$AC$60*$AC$51,0)</f>
        <v>-6.57831703711957E-005</v>
      </c>
      <c r="CA210" s="0" t="n">
        <f aca="false">IF(BY210&lt;&gt;0,($C$27-$B210)*$BU210/BY210/$AD$51-$AC$60*$AD$51,0)</f>
        <v>-6.57831694172377E-005</v>
      </c>
      <c r="CB210" s="0" t="n">
        <f aca="false">BU210*1.001</f>
        <v>-0.00706139436700096</v>
      </c>
      <c r="CC210" s="0" t="n">
        <f aca="false">-CB210*$AC$51</f>
        <v>0.739467488915685</v>
      </c>
      <c r="CD210" s="0" t="n">
        <f aca="false">-CB210*$AD$51</f>
        <v>0.369733744457842</v>
      </c>
      <c r="CE210" s="0" t="n">
        <f aca="false">(-CC210+SQRT(CC210^2-4*$C210))/2</f>
        <v>2.93777762245525</v>
      </c>
      <c r="CF210" s="0" t="n">
        <f aca="false">(-CD210+SQRT(CD210^2-4*$D210))/2</f>
        <v>2.01447488405095</v>
      </c>
      <c r="CG210" s="0" t="n">
        <f aca="false">IF(CE210&lt;&gt;0,($C$21-$B210)*$CB210/CE210/$AC$51-$AC$60*$AC$51,0)</f>
        <v>-6.58290663403541E-005</v>
      </c>
      <c r="CH210" s="0" t="n">
        <f aca="false">IF(CF210&lt;&gt;0,($C$27-$B210)*$CB210/CF210/$AD$51-$AC$60*$AD$51,0)</f>
        <v>-6.58412013949958E-005</v>
      </c>
      <c r="CI210" s="0" t="n">
        <f aca="false">(CG210-BZ210)/($CB210-$BU210)</f>
        <v>0.00650606137256393</v>
      </c>
      <c r="CJ210" s="0" t="n">
        <f aca="false">(CH210-CA210)/($CB210-$BU210)</f>
        <v>0.00822642196665353</v>
      </c>
      <c r="CK210" s="0" t="n">
        <f aca="false">IF(CI210&lt;&gt;CJ210,(CA210-BZ210)/(CI210-CJ210),0)</f>
        <v>-5.54510481826736E-010</v>
      </c>
      <c r="CL210" s="6" t="str">
        <f aca="false">IF(AND(BU210&gt;0,CE210&gt;0,CE210&lt;$C$15,CF210&lt;$C$15,CG210&gt;0,ABS(CK210)&lt;0.1*BU210),B210,"")</f>
        <v/>
      </c>
      <c r="CM210" s="0" t="n">
        <f aca="false">CG210+BU210^2/$C$39</f>
        <v>-5.75351141376595E-005</v>
      </c>
      <c r="CN210" s="0" t="n">
        <f aca="false">-BU210*$C$15/$C$39</f>
        <v>0.00705434002697398</v>
      </c>
      <c r="CO210" s="0" t="n">
        <f aca="false">IF(CL210&lt;&gt;"",(-CM210+SQRT(CM210^2-4*$AC$60*CN210))/2/$AC$60,0)</f>
        <v>0</v>
      </c>
      <c r="CP210" s="0" t="n">
        <f aca="false">CO210*30/PI()</f>
        <v>0</v>
      </c>
      <c r="DB210" s="6"/>
    </row>
    <row r="211" customFormat="false" ht="12.75" hidden="false" customHeight="false" outlineLevel="0" collapsed="false">
      <c r="A211" s="0" t="n">
        <f aca="false">A210+0.01</f>
        <v>0.62</v>
      </c>
      <c r="B211" s="0" t="n">
        <f aca="false">A211*$AC$68</f>
        <v>1.21917606330861</v>
      </c>
      <c r="C211" s="0" t="n">
        <f aca="false">$C$39*($B211-$C$21)</f>
        <v>-10.6849436201483</v>
      </c>
      <c r="D211" s="0" t="n">
        <f aca="false">$C$39*($B211-$C$27)</f>
        <v>-4.68494362014833</v>
      </c>
      <c r="E211" s="0" t="n">
        <f aca="false">$AC$71</f>
        <v>0.0474257507541105</v>
      </c>
      <c r="F211" s="0" t="n">
        <f aca="false">-E211*$AC$51</f>
        <v>-4.96641300533647</v>
      </c>
      <c r="G211" s="0" t="n">
        <f aca="false">-E211*$AD$51</f>
        <v>-2.48320650266823</v>
      </c>
      <c r="H211" s="0" t="n">
        <f aca="false">(-F211+SQRT(F211^2-4*$C211))/2</f>
        <v>6.58823490147891</v>
      </c>
      <c r="I211" s="0" t="n">
        <f aca="false">(-G211+SQRT(G211^2-4*$D211))/2</f>
        <v>3.73690328417021</v>
      </c>
      <c r="J211" s="0" t="n">
        <f aca="false">IF(H211&lt;&gt;0,($C$21-$B211)*$E211/H211/$AC$51-$AC$60*$AC$51,0)</f>
        <v>9.79136754373972E-005</v>
      </c>
      <c r="K211" s="0" t="n">
        <f aca="false">IF(I211&lt;&gt;0,($C$27-$B211)*$E211/I211/$AD$51-$AC$60*$AD$51,0)</f>
        <v>0.000177008069253356</v>
      </c>
      <c r="L211" s="0" t="n">
        <f aca="false">E211*1.001</f>
        <v>0.0474731765048646</v>
      </c>
      <c r="M211" s="0" t="n">
        <f aca="false">-L211*$AC$51</f>
        <v>-4.97137941834181</v>
      </c>
      <c r="N211" s="0" t="n">
        <f aca="false">-L211*$AD$51</f>
        <v>-2.4856897091709</v>
      </c>
      <c r="O211" s="0" t="n">
        <f aca="false">(-M211+SQRT(M211^2-4*$C211))/2</f>
        <v>6.59222072091627</v>
      </c>
      <c r="P211" s="0" t="n">
        <f aca="false">(-N211+SQRT(N211^2-4*$D211))/2</f>
        <v>3.73876291267908</v>
      </c>
      <c r="Q211" s="0" t="n">
        <f aca="false">IF(O211&lt;&gt;0,($C$21-$B211)*$L211/O211/$AC$51-$AC$60*$AC$51,0)</f>
        <v>9.79620016095497E-005</v>
      </c>
      <c r="R211" s="0" t="n">
        <f aca="false">IF(P211&lt;&gt;0,($C$27-$B211)*$L211/P211/$AD$51-$AC$60*$AD$51,0)</f>
        <v>0.000177103098387329</v>
      </c>
      <c r="S211" s="0" t="n">
        <f aca="false">(Q211-J211)/($L211-$E211)</f>
        <v>0.00101898591765213</v>
      </c>
      <c r="T211" s="0" t="n">
        <f aca="false">(R211-K211)/($L211-$E211)</f>
        <v>0.00200374548557005</v>
      </c>
      <c r="U211" s="0" t="n">
        <f aca="false">IF(S211&lt;&gt;T211,(K211-J211)/(S211-T211),0)</f>
        <v>-0.0803184821886912</v>
      </c>
      <c r="V211" s="0" t="n">
        <f aca="false">E211+U211</f>
        <v>-0.0328927314345807</v>
      </c>
      <c r="W211" s="0" t="n">
        <f aca="false">-V211*$AC$51</f>
        <v>3.44451878104603</v>
      </c>
      <c r="X211" s="0" t="n">
        <f aca="false">-V211*$AD$51</f>
        <v>1.72225939052301</v>
      </c>
      <c r="Y211" s="0" t="n">
        <f aca="false">(-W211+SQRT(W211^2-4*$C211))/2</f>
        <v>1.9724829588693</v>
      </c>
      <c r="Z211" s="0" t="n">
        <f aca="false">(-X211+SQRT(X211^2-4*$D211))/2</f>
        <v>1.46835264470364</v>
      </c>
      <c r="AA211" s="0" t="n">
        <f aca="false">IF(Y211&lt;&gt;0,($C$21-$B211)*$V211/Y211/$AC$51-$AC$60*$AC$51,0)</f>
        <v>-0.00030808438439097</v>
      </c>
      <c r="AB211" s="0" t="n">
        <f aca="false">IF(Z211&lt;&gt;0,($C$27-$B211)*$V211/Z211/$AD$51-$AC$60*$AD$51,0)</f>
        <v>-0.000346310750198089</v>
      </c>
      <c r="AC211" s="0" t="n">
        <f aca="false">V211*1.001</f>
        <v>-0.0329256241660153</v>
      </c>
      <c r="AD211" s="0" t="n">
        <f aca="false">-AC211*$AC$51</f>
        <v>3.44796329982707</v>
      </c>
      <c r="AE211" s="0" t="n">
        <f aca="false">-AC211*$AD$51</f>
        <v>1.72398164991354</v>
      </c>
      <c r="AF211" s="0" t="n">
        <f aca="false">(-AD211+SQRT(AD211^2-4*$C211))/2</f>
        <v>1.97156382394914</v>
      </c>
      <c r="AG211" s="0" t="n">
        <f aca="false">(-AE211+SQRT(AE211^2-4*$D211))/2</f>
        <v>1.46780998250682</v>
      </c>
      <c r="AH211" s="0" t="n">
        <f aca="false">IF(AF211&lt;&gt;0,($C$21-$B211)*$AC211/AF211/$AC$51-$AC$60*$AC$51,0)</f>
        <v>-0.00030850030372251</v>
      </c>
      <c r="AI211" s="0" t="n">
        <f aca="false">IF(AG211&lt;&gt;0,($C$27-$B211)*$AC211/AG211/$AD$51-$AC$60*$AD$51,0)</f>
        <v>-0.000346768438175203</v>
      </c>
      <c r="AJ211" s="0" t="n">
        <f aca="false">(AH211-AA211)/($AC211-$V211)</f>
        <v>0.0126447185563448</v>
      </c>
      <c r="AK211" s="0" t="n">
        <f aca="false">(AI211-AB211)/($AC211-$V211)</f>
        <v>0.0139145627970739</v>
      </c>
      <c r="AL211" s="0" t="n">
        <f aca="false">IF(AJ211&lt;&gt;AK211,(AB211-AA211)/(AJ211-AK211),0)</f>
        <v>0.0301031926444537</v>
      </c>
      <c r="AM211" s="0" t="n">
        <f aca="false">V211+AL211</f>
        <v>-0.00278953879012699</v>
      </c>
      <c r="AN211" s="0" t="n">
        <f aca="false">-AM211*$AC$51</f>
        <v>0.29211981899889</v>
      </c>
      <c r="AO211" s="0" t="n">
        <f aca="false">-AM211*$AD$51</f>
        <v>0.146059909499445</v>
      </c>
      <c r="AP211" s="0" t="n">
        <f aca="false">(-AN211+SQRT(AN211^2-4*$C211))/2</f>
        <v>3.12598488195915</v>
      </c>
      <c r="AQ211" s="0" t="n">
        <f aca="false">(-AO211+SQRT(AO211^2-4*$D211))/2</f>
        <v>2.09267477915079</v>
      </c>
      <c r="AR211" s="0" t="n">
        <f aca="false">IF(AP211&lt;&gt;0,($C$21-$B211)*$AM211/AP211/$AC$51-$AC$60*$AC$51,0)</f>
        <v>-3.96774546017938E-005</v>
      </c>
      <c r="AS211" s="0" t="n">
        <f aca="false">IF(AQ211&lt;&gt;0,($C$27-$B211)*$AM211/AQ211/$AD$51-$AC$60*$AD$51,0)</f>
        <v>-3.2129637573338E-005</v>
      </c>
      <c r="AT211" s="0" t="n">
        <f aca="false">AM211*1.001</f>
        <v>-0.00279232832891711</v>
      </c>
      <c r="AU211" s="0" t="n">
        <f aca="false">-AT211*$AC$51</f>
        <v>0.292411938817889</v>
      </c>
      <c r="AV211" s="0" t="n">
        <f aca="false">-AT211*$AD$51</f>
        <v>0.146205969408944</v>
      </c>
      <c r="AW211" s="0" t="n">
        <f aca="false">(-AU211+SQRT(AU211^2-4*$C211))/2</f>
        <v>3.12584534523133</v>
      </c>
      <c r="AX211" s="0" t="n">
        <f aca="false">(-AV211+SQRT(AV211^2-4*$D211))/2</f>
        <v>2.09260421307667</v>
      </c>
      <c r="AY211" s="0" t="n">
        <f aca="false">IF(AW211&lt;&gt;0,($C$21-$B211)*$AT211/AW211/$AC$51-$AC$60*$AC$51,0)</f>
        <v>-3.96933080220784E-005</v>
      </c>
      <c r="AZ211" s="0" t="n">
        <f aca="false">IF(AX211&lt;&gt;0,($C$27-$B211)*$AT211/AX211/$AD$51-$AC$60*$AD$51,0)</f>
        <v>-3.21501871529361E-005</v>
      </c>
      <c r="BA211" s="0" t="n">
        <f aca="false">(AY211-AR211)/($AT211-$AM211)</f>
        <v>0.00568316896709689</v>
      </c>
      <c r="BB211" s="0" t="n">
        <f aca="false">(AZ211-AS211)/($AT211-$AM211)</f>
        <v>0.00736665848521212</v>
      </c>
      <c r="BC211" s="0" t="n">
        <f aca="false">IF(BA211&lt;&gt;BB211,(AS211-AR211)/(BA211-BB211),0)</f>
        <v>-0.00448343571328324</v>
      </c>
      <c r="BD211" s="0" t="n">
        <f aca="false">AM211+BC211</f>
        <v>-0.00727297450341023</v>
      </c>
      <c r="BE211" s="0" t="n">
        <f aca="false">-BD211*$AC$51</f>
        <v>0.761624108988648</v>
      </c>
      <c r="BF211" s="0" t="n">
        <f aca="false">-BD211*$AD$51</f>
        <v>0.380812054494324</v>
      </c>
      <c r="BG211" s="0" t="n">
        <f aca="false">(-BE211+SQRT(BE211^2-4*$C211))/2</f>
        <v>2.91007862144684</v>
      </c>
      <c r="BH211" s="0" t="n">
        <f aca="false">(-BF211+SQRT(BF211^2-4*$D211))/2</f>
        <v>1.98242578293981</v>
      </c>
      <c r="BI211" s="0" t="n">
        <f aca="false">IF(BG211&lt;&gt;0,($C$21-$B211)*$BD211/BG211/$AC$51-$AC$60*$AC$51,0)</f>
        <v>-6.70031880492897E-005</v>
      </c>
      <c r="BJ211" s="0" t="n">
        <f aca="false">IF(BH211&lt;&gt;0,($C$27-$B211)*$BD211/BH211/$AD$51-$AC$60*$AD$51,0)</f>
        <v>-6.69614330636164E-005</v>
      </c>
      <c r="BK211" s="0" t="n">
        <f aca="false">BD211*1.001</f>
        <v>-0.00728024747791364</v>
      </c>
      <c r="BL211" s="0" t="n">
        <f aca="false">-BK211*$AC$51</f>
        <v>0.762385733097637</v>
      </c>
      <c r="BM211" s="0" t="n">
        <f aca="false">-BK211*$AD$51</f>
        <v>0.381192866548818</v>
      </c>
      <c r="BN211" s="0" t="n">
        <f aca="false">(-BL211+SQRT(BL211^2-4*$C211))/2</f>
        <v>2.90974189756548</v>
      </c>
      <c r="BO211" s="0" t="n">
        <f aca="false">(-BM211+SQRT(BM211^2-4*$D211))/2</f>
        <v>1.98225207053925</v>
      </c>
      <c r="BP211" s="0" t="n">
        <f aca="false">IF(BN211&lt;&gt;0,($C$21-$B211)*$BK211/BN211/$AC$51-$AC$60*$AC$51,0)</f>
        <v>-6.70506123694336E-005</v>
      </c>
      <c r="BQ211" s="0" t="n">
        <f aca="false">IF(BO211&lt;&gt;0,($C$27-$B211)*$BK211/BO211/$AD$51-$AC$60*$AD$51,0)</f>
        <v>-6.70209427051641E-005</v>
      </c>
      <c r="BR211" s="0" t="n">
        <f aca="false">(BP211-BI211)/($BK211-$BD211)</f>
        <v>0.00652062235631619</v>
      </c>
      <c r="BS211" s="0" t="n">
        <f aca="false">(BQ211-BJ211)/($BK211-$BD211)</f>
        <v>0.00818229756199808</v>
      </c>
      <c r="BT211" s="0" t="n">
        <f aca="false">IF(BR211&lt;&gt;BS211,(BJ211-BI211)/(BR211-BS211),0)</f>
        <v>-2.51282474039231E-005</v>
      </c>
      <c r="BU211" s="0" t="n">
        <f aca="false">BD211+BT211</f>
        <v>-0.00729810275081415</v>
      </c>
      <c r="BV211" s="0" t="n">
        <f aca="false">-BU211*$AC$51</f>
        <v>0.764255532903373</v>
      </c>
      <c r="BW211" s="0" t="n">
        <f aca="false">-BU211*$AD$51</f>
        <v>0.382127766451687</v>
      </c>
      <c r="BX211" s="0" t="n">
        <f aca="false">(-BV211+SQRT(BV211^2-4*$C211))/2</f>
        <v>2.90891541923301</v>
      </c>
      <c r="BY211" s="0" t="n">
        <f aca="false">(-BW211+SQRT(BW211^2-4*$D211))/2</f>
        <v>1.9818256739357</v>
      </c>
      <c r="BZ211" s="0" t="n">
        <f aca="false">IF(BX211&lt;&gt;0,($C$21-$B211)*$BU211/BX211/$AC$51-$AC$60*$AC$51,0)</f>
        <v>-6.71670837206787E-005</v>
      </c>
      <c r="CA211" s="0" t="n">
        <f aca="false">IF(BY211&lt;&gt;0,($C$27-$B211)*$BU211/BY211/$AD$51-$AC$60*$AD$51,0)</f>
        <v>-6.71670821596606E-005</v>
      </c>
      <c r="CB211" s="0" t="n">
        <f aca="false">BU211*1.001</f>
        <v>-0.00730540085356497</v>
      </c>
      <c r="CC211" s="0" t="n">
        <f aca="false">-CB211*$AC$51</f>
        <v>0.765019788436277</v>
      </c>
      <c r="CD211" s="0" t="n">
        <f aca="false">-CB211*$AD$51</f>
        <v>0.382509894218138</v>
      </c>
      <c r="CE211" s="0" t="n">
        <f aca="false">(-CC211+SQRT(CC211^2-4*$C211))/2</f>
        <v>2.90857768275746</v>
      </c>
      <c r="CF211" s="0" t="n">
        <f aca="false">(-CD211+SQRT(CD211^2-4*$D211))/2</f>
        <v>1.98165141878478</v>
      </c>
      <c r="CG211" s="0" t="n">
        <f aca="false">IF(CE211&lt;&gt;0,($C$21-$B211)*$CB211/CE211/$AC$51-$AC$60*$AC$51,0)</f>
        <v>-6.7214707768439E-005</v>
      </c>
      <c r="CH211" s="0" t="n">
        <f aca="false">IF(CF211&lt;&gt;0,($C$27-$B211)*$CB211/CF211/$AD$51-$AC$60*$AD$51,0)</f>
        <v>-6.72268320061839E-005</v>
      </c>
      <c r="CI211" s="0" t="n">
        <f aca="false">(CG211-BZ211)/($CB211-$BU211)</f>
        <v>0.00652553812770592</v>
      </c>
      <c r="CJ211" s="0" t="n">
        <f aca="false">(CH211-CA211)/($CB211-$BU211)</f>
        <v>0.0081870382705481</v>
      </c>
      <c r="CK211" s="0" t="n">
        <f aca="false">IF(CI211&lt;&gt;CJ211,(CA211-BZ211)/(CI211-CJ211),0)</f>
        <v>-9.39523297304319E-010</v>
      </c>
      <c r="CL211" s="6" t="str">
        <f aca="false">IF(AND(BU211&gt;0,CE211&gt;0,CE211&lt;$C$15,CF211&lt;$C$15,CG211&gt;0,ABS(CK211)&lt;0.1*BU211),B211,"")</f>
        <v/>
      </c>
      <c r="CM211" s="0" t="n">
        <f aca="false">CG211+BU211^2/$C$39</f>
        <v>-5.83376571415322E-005</v>
      </c>
      <c r="CN211" s="0" t="n">
        <f aca="false">-BU211*$C$15/$C$39</f>
        <v>0.00729810275081415</v>
      </c>
      <c r="CO211" s="0" t="n">
        <f aca="false">IF(CL211&lt;&gt;"",(-CM211+SQRT(CM211^2-4*$AC$60*CN211))/2/$AC$60,0)</f>
        <v>0</v>
      </c>
      <c r="CP211" s="0" t="n">
        <f aca="false">CO211*30/PI()</f>
        <v>0</v>
      </c>
      <c r="DB211" s="6"/>
    </row>
    <row r="212" customFormat="false" ht="12.75" hidden="false" customHeight="false" outlineLevel="0" collapsed="false">
      <c r="A212" s="0" t="n">
        <f aca="false">A211+0.01</f>
        <v>0.63</v>
      </c>
      <c r="B212" s="0" t="n">
        <f aca="false">A212*$AC$68</f>
        <v>1.23884019336198</v>
      </c>
      <c r="C212" s="0" t="n">
        <f aca="false">$C$39*($B212-$C$21)</f>
        <v>-10.5669588398281</v>
      </c>
      <c r="D212" s="0" t="n">
        <f aca="false">$C$39*($B212-$C$27)</f>
        <v>-4.56695883982814</v>
      </c>
      <c r="E212" s="0" t="n">
        <f aca="false">$AC$71</f>
        <v>0.0474257507541105</v>
      </c>
      <c r="F212" s="0" t="n">
        <f aca="false">-E212*$AC$51</f>
        <v>-4.96641300533647</v>
      </c>
      <c r="G212" s="0" t="n">
        <f aca="false">-E212*$AD$51</f>
        <v>-2.48320650266823</v>
      </c>
      <c r="H212" s="0" t="n">
        <f aca="false">(-F212+SQRT(F212^2-4*$C212))/2</f>
        <v>6.5738388956757</v>
      </c>
      <c r="I212" s="0" t="n">
        <f aca="false">(-G212+SQRT(G212^2-4*$D212))/2</f>
        <v>3.71314881505565</v>
      </c>
      <c r="J212" s="0" t="n">
        <f aca="false">IF(H212&lt;&gt;0,($C$21-$B212)*$E212/H212/$AC$51-$AC$60*$AC$51,0)</f>
        <v>9.68270587776947E-005</v>
      </c>
      <c r="K212" s="0" t="n">
        <f aca="false">IF(I212&lt;&gt;0,($C$27-$B212)*$E212/I212/$AD$51-$AC$60*$AD$51,0)</f>
        <v>0.000173422074327388</v>
      </c>
      <c r="L212" s="0" t="n">
        <f aca="false">E212*1.001</f>
        <v>0.0474731765048646</v>
      </c>
      <c r="M212" s="0" t="n">
        <f aca="false">-L212*$AC$51</f>
        <v>-4.97137941834181</v>
      </c>
      <c r="N212" s="0" t="n">
        <f aca="false">-L212*$AD$51</f>
        <v>-2.4856897091709</v>
      </c>
      <c r="O212" s="0" t="n">
        <f aca="false">(-M212+SQRT(M212^2-4*$C212))/2</f>
        <v>6.577830001256</v>
      </c>
      <c r="P212" s="0" t="n">
        <f aca="false">(-N212+SQRT(N212^2-4*$D212))/2</f>
        <v>3.71501438202439</v>
      </c>
      <c r="Q212" s="0" t="n">
        <f aca="false">IF(O212&lt;&gt;0,($C$21-$B212)*$L212/O212/$AC$51-$AC$60*$AC$51,0)</f>
        <v>9.68746977325119E-005</v>
      </c>
      <c r="R212" s="0" t="n">
        <f aca="false">IF(P212&lt;&gt;0,($C$27-$B212)*$L212/P212/$AD$51-$AC$60*$AD$51,0)</f>
        <v>0.000173514414837879</v>
      </c>
      <c r="S212" s="0" t="n">
        <f aca="false">(Q212-J212)/($L212-$E212)</f>
        <v>0.0010044955337495</v>
      </c>
      <c r="T212" s="0" t="n">
        <f aca="false">(R212-K212)/($L212-$E212)</f>
        <v>0.00194705426951912</v>
      </c>
      <c r="U212" s="0" t="n">
        <f aca="false">IF(S212&lt;&gt;T212,(K212-J212)/(S212-T212),0)</f>
        <v>-0.0812628567779931</v>
      </c>
      <c r="V212" s="0" t="n">
        <f aca="false">E212+U212</f>
        <v>-0.0338371060238826</v>
      </c>
      <c r="W212" s="0" t="n">
        <f aca="false">-V212*$AC$51</f>
        <v>3.54341345677895</v>
      </c>
      <c r="X212" s="0" t="n">
        <f aca="false">-V212*$AD$51</f>
        <v>1.77170672838947</v>
      </c>
      <c r="Y212" s="0" t="n">
        <f aca="false">(-W212+SQRT(W212^2-4*$C212))/2</f>
        <v>1.93044177906517</v>
      </c>
      <c r="Z212" s="0" t="n">
        <f aca="false">(-X212+SQRT(X212^2-4*$D212))/2</f>
        <v>1.42751971913689</v>
      </c>
      <c r="AA212" s="0" t="n">
        <f aca="false">IF(Y212&lt;&gt;0,($C$21-$B212)*$V212/Y212/$AC$51-$AC$60*$AC$51,0)</f>
        <v>-0.000319287995646725</v>
      </c>
      <c r="AB212" s="0" t="n">
        <f aca="false">IF(Z212&lt;&gt;0,($C$27-$B212)*$V212/Z212/$AD$51-$AC$60*$AD$51,0)</f>
        <v>-0.000356829681444415</v>
      </c>
      <c r="AC212" s="0" t="n">
        <f aca="false">V212*1.001</f>
        <v>-0.0338709431299064</v>
      </c>
      <c r="AD212" s="0" t="n">
        <f aca="false">-AC212*$AC$51</f>
        <v>3.54695687023573</v>
      </c>
      <c r="AE212" s="0" t="n">
        <f aca="false">-AC212*$AD$51</f>
        <v>1.77347843511786</v>
      </c>
      <c r="AF212" s="0" t="n">
        <f aca="false">(-AD212+SQRT(AD212^2-4*$C212))/2</f>
        <v>1.92951827020828</v>
      </c>
      <c r="AG212" s="0" t="n">
        <f aca="false">(-AE212+SQRT(AE212^2-4*$D212))/2</f>
        <v>1.42697322779489</v>
      </c>
      <c r="AH212" s="0" t="n">
        <f aca="false">IF(AF212&lt;&gt;0,($C$21-$B212)*$AC212/AF212/$AC$51-$AC$60*$AC$51,0)</f>
        <v>-0.000319724013440709</v>
      </c>
      <c r="AI212" s="0" t="n">
        <f aca="false">IF(AG212&lt;&gt;0,($C$27-$B212)*$AC212/AG212/$AD$51-$AC$60*$AD$51,0)</f>
        <v>-0.000357306356117698</v>
      </c>
      <c r="AJ212" s="0" t="n">
        <f aca="false">(AH212-AA212)/($AC212-$V212)</f>
        <v>0.0128857885682184</v>
      </c>
      <c r="AK212" s="0" t="n">
        <f aca="false">(AI212-AB212)/($AC212-$V212)</f>
        <v>0.0140873357475149</v>
      </c>
      <c r="AL212" s="0" t="n">
        <f aca="false">IF(AJ212&lt;&gt;AK212,(AB212-AA212)/(AJ212-AK212),0)</f>
        <v>0.0312444541875355</v>
      </c>
      <c r="AM212" s="0" t="n">
        <f aca="false">V212+AL212</f>
        <v>-0.00259265183634711</v>
      </c>
      <c r="AN212" s="0" t="n">
        <f aca="false">-AM212*$AC$51</f>
        <v>0.271501865412806</v>
      </c>
      <c r="AO212" s="0" t="n">
        <f aca="false">-AM212*$AD$51</f>
        <v>0.135750932706403</v>
      </c>
      <c r="AP212" s="0" t="n">
        <f aca="false">(-AN212+SQRT(AN212^2-4*$C212))/2</f>
        <v>3.11776826280464</v>
      </c>
      <c r="AQ212" s="0" t="n">
        <f aca="false">(-AO212+SQRT(AO212^2-4*$D212))/2</f>
        <v>2.07024658787121</v>
      </c>
      <c r="AR212" s="0" t="n">
        <f aca="false">IF(AP212&lt;&gt;0,($C$21-$B212)*$AM212/AP212/$AC$51-$AC$60*$AC$51,0)</f>
        <v>-3.84873922469814E-005</v>
      </c>
      <c r="AS212" s="0" t="n">
        <f aca="false">IF(AQ212&lt;&gt;0,($C$27-$B212)*$AM212/AQ212/$AD$51-$AC$60*$AD$51,0)</f>
        <v>-3.04564297770016E-005</v>
      </c>
      <c r="AT212" s="0" t="n">
        <f aca="false">AM212*1.001</f>
        <v>-0.00259524448818346</v>
      </c>
      <c r="AU212" s="0" t="n">
        <f aca="false">-AT212*$AC$51</f>
        <v>0.271773367278219</v>
      </c>
      <c r="AV212" s="0" t="n">
        <f aca="false">-AT212*$AD$51</f>
        <v>0.135886683639109</v>
      </c>
      <c r="AW212" s="0" t="n">
        <f aca="false">(-AU212+SQRT(AU212^2-4*$C212))/2</f>
        <v>3.11763817881677</v>
      </c>
      <c r="AX212" s="0" t="n">
        <f aca="false">(-AV212+SQRT(AV212^2-4*$D212))/2</f>
        <v>2.07018086821263</v>
      </c>
      <c r="AY212" s="0" t="n">
        <f aca="false">IF(AW212&lt;&gt;0,($C$21-$B212)*$AT212/AW212/$AC$51-$AC$60*$AC$51,0)</f>
        <v>-3.85019616269082E-005</v>
      </c>
      <c r="AZ212" s="0" t="n">
        <f aca="false">IF(AX212&lt;&gt;0,($C$27-$B212)*$AT212/AX212/$AD$51-$AC$60*$AD$51,0)</f>
        <v>-3.04752136629205E-005</v>
      </c>
      <c r="BA212" s="0" t="n">
        <f aca="false">(AY212-AR212)/($AT212-$AM212)</f>
        <v>0.00561948955987544</v>
      </c>
      <c r="BB212" s="0" t="n">
        <f aca="false">(AZ212-AS212)/($AT212-$AM212)</f>
        <v>0.0072450475824057</v>
      </c>
      <c r="BC212" s="0" t="n">
        <f aca="false">IF(BA212&lt;&gt;BB212,(AS212-AR212)/(BA212-BB212),0)</f>
        <v>-0.00494043421315667</v>
      </c>
      <c r="BD212" s="0" t="n">
        <f aca="false">AM212+BC212</f>
        <v>-0.00753308604950379</v>
      </c>
      <c r="BE212" s="0" t="n">
        <f aca="false">-BD212*$AC$51</f>
        <v>0.788862926399362</v>
      </c>
      <c r="BF212" s="0" t="n">
        <f aca="false">-BD212*$AD$51</f>
        <v>0.394431463199681</v>
      </c>
      <c r="BG212" s="0" t="n">
        <f aca="false">(-BE212+SQRT(BE212^2-4*$C212))/2</f>
        <v>2.88009674999226</v>
      </c>
      <c r="BH212" s="0" t="n">
        <f aca="false">(-BF212+SQRT(BF212^2-4*$D212))/2</f>
        <v>1.94890935436757</v>
      </c>
      <c r="BI212" s="0" t="n">
        <f aca="false">IF(BG212&lt;&gt;0,($C$21-$B212)*$BD212/BG212/$AC$51-$AC$60*$AC$51,0)</f>
        <v>-6.84903137127504E-005</v>
      </c>
      <c r="BJ212" s="0" t="n">
        <f aca="false">IF(BH212&lt;&gt;0,($C$27-$B212)*$BD212/BH212/$AD$51-$AC$60*$AD$51,0)</f>
        <v>-6.84409994369485E-005</v>
      </c>
      <c r="BK212" s="0" t="n">
        <f aca="false">BD212*1.001</f>
        <v>-0.00754061913555329</v>
      </c>
      <c r="BL212" s="0" t="n">
        <f aca="false">-BK212*$AC$51</f>
        <v>0.789651789325761</v>
      </c>
      <c r="BM212" s="0" t="n">
        <f aca="false">-BK212*$AD$51</f>
        <v>0.394825894662881</v>
      </c>
      <c r="BN212" s="0" t="n">
        <f aca="false">(-BL212+SQRT(BL212^2-4*$C212))/2</f>
        <v>2.87974985296069</v>
      </c>
      <c r="BO212" s="0" t="n">
        <f aca="false">(-BM212+SQRT(BM212^2-4*$D212))/2</f>
        <v>1.94873027053689</v>
      </c>
      <c r="BP212" s="0" t="n">
        <f aca="false">IF(BN212&lt;&gt;0,($C$21-$B212)*$BK212/BN212/$AC$51-$AC$60*$AC$51,0)</f>
        <v>-6.85396060444645E-005</v>
      </c>
      <c r="BQ212" s="0" t="n">
        <f aca="false">IF(BO212&lt;&gt;0,($C$27-$B212)*$BK212/BO212/$AD$51-$AC$60*$AD$51,0)</f>
        <v>-6.85023582591326E-005</v>
      </c>
      <c r="BR212" s="0" t="n">
        <f aca="false">(BP212-BI212)/($BK212-$BD212)</f>
        <v>0.00654344466400416</v>
      </c>
      <c r="BS212" s="0" t="n">
        <f aca="false">(BQ212-BJ212)/($BK212-$BD212)</f>
        <v>0.00814524376608828</v>
      </c>
      <c r="BT212" s="0" t="n">
        <f aca="false">IF(BR212&lt;&gt;BS212,(BJ212-BI212)/(BR212-BS212),0)</f>
        <v>-3.07868044986112E-005</v>
      </c>
      <c r="BU212" s="0" t="n">
        <f aca="false">BD212+BT212</f>
        <v>-0.0075638728540024</v>
      </c>
      <c r="BV212" s="0" t="n">
        <f aca="false">-BU212*$AC$51</f>
        <v>0.792086913027373</v>
      </c>
      <c r="BW212" s="0" t="n">
        <f aca="false">-BU212*$AD$51</f>
        <v>0.396043456513687</v>
      </c>
      <c r="BX212" s="0" t="n">
        <f aca="false">(-BV212+SQRT(BV212^2-4*$C212))/2</f>
        <v>2.87867931942865</v>
      </c>
      <c r="BY212" s="0" t="n">
        <f aca="false">(-BW212+SQRT(BW212^2-4*$D212))/2</f>
        <v>1.94817757392596</v>
      </c>
      <c r="BZ212" s="0" t="n">
        <f aca="false">IF(BX212&lt;&gt;0,($C$21-$B212)*$BU212/BX212/$AC$51-$AC$60*$AC$51,0)</f>
        <v>-6.86918358682412E-005</v>
      </c>
      <c r="CA212" s="0" t="n">
        <f aca="false">IF(BY212&lt;&gt;0,($C$27-$B212)*$BU212/BY212/$AD$51-$AC$60*$AD$51,0)</f>
        <v>-6.8691833337344E-005</v>
      </c>
      <c r="CB212" s="0" t="n">
        <f aca="false">BU212*1.001</f>
        <v>-0.0075714367268564</v>
      </c>
      <c r="CC212" s="0" t="n">
        <f aca="false">-CB212*$AC$51</f>
        <v>0.7928789999404</v>
      </c>
      <c r="CD212" s="0" t="n">
        <f aca="false">-CB212*$AD$51</f>
        <v>0.3964394999702</v>
      </c>
      <c r="CE212" s="0" t="n">
        <f aca="false">(-CC212+SQRT(CC212^2-4*$C212))/2</f>
        <v>2.87833119688245</v>
      </c>
      <c r="CF212" s="0" t="n">
        <f aca="false">(-CD212+SQRT(CD212^2-4*$D212))/2</f>
        <v>1.94799783197445</v>
      </c>
      <c r="CG212" s="0" t="n">
        <f aca="false">IF(CE212&lt;&gt;0,($C$21-$B212)*$CB212/CE212/$AC$51-$AC$60*$AC$51,0)</f>
        <v>-6.87413754817489E-005</v>
      </c>
      <c r="CH212" s="0" t="n">
        <f aca="false">IF(CF212&lt;&gt;0,($C$27-$B212)*$CB212/CF212/$AD$51-$AC$60*$AD$51,0)</f>
        <v>-6.87534871069784E-005</v>
      </c>
      <c r="CI212" s="0" t="n">
        <f aca="false">(CG212-BZ212)/($CB212-$BU212)</f>
        <v>0.00654950373491079</v>
      </c>
      <c r="CJ212" s="0" t="n">
        <f aca="false">(CH212-CA212)/($CB212-$BU212)</f>
        <v>0.00815108487734031</v>
      </c>
      <c r="CK212" s="0" t="n">
        <f aca="false">IF(CI212&lt;&gt;CJ212,(CA212-BZ212)/(CI212-CJ212),0)</f>
        <v>-1.58024911972892E-009</v>
      </c>
      <c r="CL212" s="6" t="str">
        <f aca="false">IF(AND(BU212&gt;0,CE212&gt;0,CE212&lt;$C$15,CF212&lt;$C$15,CG212&gt;0,ABS(CK212)&lt;0.1*BU212),B212,"")</f>
        <v/>
      </c>
      <c r="CM212" s="0" t="n">
        <f aca="false">CG212+BU212^2/$C$39</f>
        <v>-5.92060133898298E-005</v>
      </c>
      <c r="CN212" s="0" t="n">
        <f aca="false">-BU212*$C$15/$C$39</f>
        <v>0.0075638728540024</v>
      </c>
      <c r="CO212" s="0" t="n">
        <f aca="false">IF(CL212&lt;&gt;"",(-CM212+SQRT(CM212^2-4*$AC$60*CN212))/2/$AC$60,0)</f>
        <v>0</v>
      </c>
      <c r="CP212" s="0" t="n">
        <f aca="false">CO212*30/PI()</f>
        <v>0</v>
      </c>
      <c r="DB212" s="6"/>
    </row>
    <row r="213" customFormat="false" ht="12.75" hidden="false" customHeight="false" outlineLevel="0" collapsed="false">
      <c r="A213" s="0" t="n">
        <f aca="false">A212+0.01</f>
        <v>0.64</v>
      </c>
      <c r="B213" s="0" t="n">
        <f aca="false">A213*$AC$68</f>
        <v>1.25850432341534</v>
      </c>
      <c r="C213" s="0" t="n">
        <f aca="false">$C$39*($B213-$C$21)</f>
        <v>-10.448974059508</v>
      </c>
      <c r="D213" s="0" t="n">
        <f aca="false">$C$39*($B213-$C$27)</f>
        <v>-4.44897405950795</v>
      </c>
      <c r="E213" s="0" t="n">
        <f aca="false">$AC$71</f>
        <v>0.0474257507541105</v>
      </c>
      <c r="F213" s="0" t="n">
        <f aca="false">-E213*$AC$51</f>
        <v>-4.96641300533647</v>
      </c>
      <c r="G213" s="0" t="n">
        <f aca="false">-E213*$AD$51</f>
        <v>-2.48320650266823</v>
      </c>
      <c r="H213" s="0" t="n">
        <f aca="false">(-F213+SQRT(F213^2-4*$C213))/2</f>
        <v>6.55939204731678</v>
      </c>
      <c r="I213" s="0" t="n">
        <f aca="false">(-G213+SQRT(G213^2-4*$D213))/2</f>
        <v>3.68916381099988</v>
      </c>
      <c r="J213" s="0" t="n">
        <f aca="false">IF(H213&lt;&gt;0,($C$21-$B213)*$E213/H213/$AC$51-$AC$60*$AC$51,0)</f>
        <v>9.57366045001971E-005</v>
      </c>
      <c r="K213" s="0" t="n">
        <f aca="false">IF(I213&lt;&gt;0,($C$27-$B213)*$E213/I213/$AD$51-$AC$60*$AD$51,0)</f>
        <v>0.000169801277649991</v>
      </c>
      <c r="L213" s="0" t="n">
        <f aca="false">E213*1.001</f>
        <v>0.0474731765048646</v>
      </c>
      <c r="M213" s="0" t="n">
        <f aca="false">-L213*$AC$51</f>
        <v>-4.97137941834181</v>
      </c>
      <c r="N213" s="0" t="n">
        <f aca="false">-L213*$AD$51</f>
        <v>-2.4856897091709</v>
      </c>
      <c r="O213" s="0" t="n">
        <f aca="false">(-M213+SQRT(M213^2-4*$C213))/2</f>
        <v>6.56338849522488</v>
      </c>
      <c r="P213" s="0" t="n">
        <f aca="false">(-N213+SQRT(N213^2-4*$D213))/2</f>
        <v>3.69103549096929</v>
      </c>
      <c r="Q213" s="0" t="n">
        <f aca="false">IF(O213&lt;&gt;0,($C$21-$B213)*$L213/O213/$AC$51-$AC$60*$AC$51,0)</f>
        <v>9.57835566451595E-005</v>
      </c>
      <c r="R213" s="0" t="n">
        <f aca="false">IF(P213&lt;&gt;0,($C$27-$B213)*$L213/P213/$AD$51-$AC$60*$AD$51,0)</f>
        <v>0.000169890921110424</v>
      </c>
      <c r="S213" s="0" t="n">
        <f aca="false">(Q213-J213)/($L213-$E213)</f>
        <v>0.000990013741813607</v>
      </c>
      <c r="T213" s="0" t="n">
        <f aca="false">(R213-K213)/($L213-$E213)</f>
        <v>0.00189018537413804</v>
      </c>
      <c r="U213" s="0" t="n">
        <f aca="false">IF(S213&lt;&gt;T213,(K213-J213)/(S213-T213),0)</f>
        <v>-0.0822783905759659</v>
      </c>
      <c r="V213" s="0" t="n">
        <f aca="false">E213+U213</f>
        <v>-0.0348526398218554</v>
      </c>
      <c r="W213" s="0" t="n">
        <f aca="false">-V213*$AC$51</f>
        <v>3.6497599074184</v>
      </c>
      <c r="X213" s="0" t="n">
        <f aca="false">-V213*$AD$51</f>
        <v>1.8248799537092</v>
      </c>
      <c r="Y213" s="0" t="n">
        <f aca="false">(-W213+SQRT(W213^2-4*$C213))/2</f>
        <v>1.88714926289964</v>
      </c>
      <c r="Z213" s="0" t="n">
        <f aca="false">(-X213+SQRT(X213^2-4*$D213))/2</f>
        <v>1.38571597322154</v>
      </c>
      <c r="AA213" s="0" t="n">
        <f aca="false">IF(Y213&lt;&gt;0,($C$21-$B213)*$V213/Y213/$AC$51-$AC$60*$AC$51,0)</f>
        <v>-0.00033163281867131</v>
      </c>
      <c r="AB213" s="0" t="n">
        <f aca="false">IF(Z213&lt;&gt;0,($C$27-$B213)*$V213/Z213/$AD$51-$AC$60*$AD$51,0)</f>
        <v>-0.000368432646428781</v>
      </c>
      <c r="AC213" s="0" t="n">
        <f aca="false">V213*1.001</f>
        <v>-0.0348874924616772</v>
      </c>
      <c r="AD213" s="0" t="n">
        <f aca="false">-AC213*$AC$51</f>
        <v>3.65340966732582</v>
      </c>
      <c r="AE213" s="0" t="n">
        <f aca="false">-AC213*$AD$51</f>
        <v>1.82670483366291</v>
      </c>
      <c r="AF213" s="0" t="n">
        <f aca="false">(-AD213+SQRT(AD213^2-4*$C213))/2</f>
        <v>1.88622185681125</v>
      </c>
      <c r="AG213" s="0" t="n">
        <f aca="false">(-AE213+SQRT(AE213^2-4*$D213))/2</f>
        <v>1.38516595308422</v>
      </c>
      <c r="AH213" s="0" t="n">
        <f aca="false">IF(AF213&lt;&gt;0,($C$21-$B213)*$AC213/AF213/$AC$51-$AC$60*$AC$51,0)</f>
        <v>-0.000332091108512053</v>
      </c>
      <c r="AI213" s="0" t="n">
        <f aca="false">IF(AG213&lt;&gt;0,($C$27-$B213)*$AC213/AG213/$AD$51-$AC$60*$AD$51,0)</f>
        <v>-0.00036893040162155</v>
      </c>
      <c r="AJ213" s="0" t="n">
        <f aca="false">(AH213-AA213)/($AC213-$V213)</f>
        <v>0.0131493580711767</v>
      </c>
      <c r="AK213" s="0" t="n">
        <f aca="false">(AI213-AB213)/($AC213-$V213)</f>
        <v>0.0142817070762099</v>
      </c>
      <c r="AL213" s="0" t="n">
        <f aca="false">IF(AJ213&lt;&gt;AK213,(AB213-AA213)/(AJ213-AK213),0)</f>
        <v>0.0324986621561898</v>
      </c>
      <c r="AM213" s="0" t="n">
        <f aca="false">V213+AL213</f>
        <v>-0.00235397766566556</v>
      </c>
      <c r="AN213" s="0" t="n">
        <f aca="false">-AM213*$AC$51</f>
        <v>0.246507964705645</v>
      </c>
      <c r="AO213" s="0" t="n">
        <f aca="false">-AM213*$AD$51</f>
        <v>0.123253982352823</v>
      </c>
      <c r="AP213" s="0" t="n">
        <f aca="false">(-AN213+SQRT(AN213^2-4*$C213))/2</f>
        <v>3.1115822737309</v>
      </c>
      <c r="AQ213" s="0" t="n">
        <f aca="false">(-AO213+SQRT(AO213^2-4*$D213))/2</f>
        <v>2.04853223161921</v>
      </c>
      <c r="AR213" s="0" t="n">
        <f aca="false">IF(AP213&lt;&gt;0,($C$21-$B213)*$AM213/AP213/$AC$51-$AC$60*$AC$51,0)</f>
        <v>-3.70831236187396E-005</v>
      </c>
      <c r="AS213" s="0" t="n">
        <f aca="false">IF(AQ213&lt;&gt;0,($C$27-$B213)*$AM213/AQ213/$AD$51-$AC$60*$AD$51,0)</f>
        <v>-2.85241382696397E-005</v>
      </c>
      <c r="AT213" s="0" t="n">
        <f aca="false">AM213*1.001</f>
        <v>-0.00235633164333122</v>
      </c>
      <c r="AU213" s="0" t="n">
        <f aca="false">-AT213*$AC$51</f>
        <v>0.246754472670351</v>
      </c>
      <c r="AV213" s="0" t="n">
        <f aca="false">-AT213*$AD$51</f>
        <v>0.123377236335176</v>
      </c>
      <c r="AW213" s="0" t="n">
        <f aca="false">(-AU213+SQRT(AU213^2-4*$C213))/2</f>
        <v>3.11146371832607</v>
      </c>
      <c r="AX213" s="0" t="n">
        <f aca="false">(-AV213+SQRT(AV213^2-4*$D213))/2</f>
        <v>2.04847240533734</v>
      </c>
      <c r="AY213" s="0" t="n">
        <f aca="false">IF(AW213&lt;&gt;0,($C$21-$B213)*$AT213/AW213/$AC$51-$AC$60*$AC$51,0)</f>
        <v>-3.70961844591972E-005</v>
      </c>
      <c r="AZ213" s="0" t="n">
        <f aca="false">IF(AX213&lt;&gt;0,($C$27-$B213)*$AT213/AX213/$AD$51-$AC$60*$AD$51,0)</f>
        <v>-2.85408870767583E-005</v>
      </c>
      <c r="BA213" s="0" t="n">
        <f aca="false">(AY213-AR213)/($AT213-$AM213)</f>
        <v>0.00554841307462496</v>
      </c>
      <c r="BB213" s="0" t="n">
        <f aca="false">(AZ213-AS213)/($AT213-$AM213)</f>
        <v>0.00711510876372521</v>
      </c>
      <c r="BC213" s="0" t="n">
        <f aca="false">IF(BA213&lt;&gt;BB213,(AS213-AR213)/(BA213-BB213),0)</f>
        <v>-0.00546308093438063</v>
      </c>
      <c r="BD213" s="0" t="n">
        <f aca="false">AM213+BC213</f>
        <v>-0.00781705860004618</v>
      </c>
      <c r="BE213" s="0" t="n">
        <f aca="false">-BD213*$AC$51</f>
        <v>0.818600462352867</v>
      </c>
      <c r="BF213" s="0" t="n">
        <f aca="false">-BD213*$AD$51</f>
        <v>0.409300231176433</v>
      </c>
      <c r="BG213" s="0" t="n">
        <f aca="false">(-BE213+SQRT(BE213^2-4*$C213))/2</f>
        <v>2.84899698343568</v>
      </c>
      <c r="BH213" s="0" t="n">
        <f aca="false">(-BF213+SQRT(BF213^2-4*$D213))/2</f>
        <v>1.91451380665051</v>
      </c>
      <c r="BI213" s="0" t="n">
        <f aca="false">IF(BG213&lt;&gt;0,($C$21-$B213)*$BD213/BG213/$AC$51-$AC$60*$AC$51,0)</f>
        <v>-7.0131575509554E-005</v>
      </c>
      <c r="BJ213" s="0" t="n">
        <f aca="false">IF(BH213&lt;&gt;0,($C$27-$B213)*$BD213/BH213/$AD$51-$AC$60*$AD$51,0)</f>
        <v>-7.00733004504761E-005</v>
      </c>
      <c r="BK213" s="0" t="n">
        <f aca="false">BD213*1.001</f>
        <v>-0.00782487565864623</v>
      </c>
      <c r="BL213" s="0" t="n">
        <f aca="false">-BK213*$AC$51</f>
        <v>0.81941906281522</v>
      </c>
      <c r="BM213" s="0" t="n">
        <f aca="false">-BK213*$AD$51</f>
        <v>0.40970953140761</v>
      </c>
      <c r="BN213" s="0" t="n">
        <f aca="false">(-BL213+SQRT(BL213^2-4*$C213))/2</f>
        <v>2.8486391239137</v>
      </c>
      <c r="BO213" s="0" t="n">
        <f aca="false">(-BM213+SQRT(BM213^2-4*$D213))/2</f>
        <v>1.91432892962313</v>
      </c>
      <c r="BP213" s="0" t="n">
        <f aca="false">IF(BN213&lt;&gt;0,($C$21-$B213)*$BK213/BN213/$AC$51-$AC$60*$AC$51,0)</f>
        <v>-7.01829428704489E-005</v>
      </c>
      <c r="BQ213" s="0" t="n">
        <f aca="false">IF(BO213&lt;&gt;0,($C$27-$B213)*$BK213/BO213/$AD$51-$AC$60*$AD$51,0)</f>
        <v>-7.01367124722452E-005</v>
      </c>
      <c r="BR213" s="0" t="n">
        <f aca="false">(BP213-BI213)/($BK213-$BD213)</f>
        <v>0.0065711879011234</v>
      </c>
      <c r="BS213" s="0" t="n">
        <f aca="false">(BQ213-BJ213)/($BK213-$BD213)</f>
        <v>0.00811200542474059</v>
      </c>
      <c r="BT213" s="0" t="n">
        <f aca="false">IF(BR213&lt;&gt;BS213,(BJ213-BI213)/(BR213-BS213),0)</f>
        <v>-3.7820869885408E-005</v>
      </c>
      <c r="BU213" s="0" t="n">
        <f aca="false">BD213+BT213</f>
        <v>-0.00785487946993159</v>
      </c>
      <c r="BV213" s="0" t="n">
        <f aca="false">-BU213*$AC$51</f>
        <v>0.822561054585679</v>
      </c>
      <c r="BW213" s="0" t="n">
        <f aca="false">-BU213*$AD$51</f>
        <v>0.41128052729284</v>
      </c>
      <c r="BX213" s="0" t="n">
        <f aca="false">(-BV213+SQRT(BV213^2-4*$C213))/2</f>
        <v>2.8472660400648</v>
      </c>
      <c r="BY213" s="0" t="n">
        <f aca="false">(-BW213+SQRT(BW213^2-4*$D213))/2</f>
        <v>1.91361950748607</v>
      </c>
      <c r="BZ213" s="0" t="n">
        <f aca="false">IF(BX213&lt;&gt;0,($C$21-$B213)*$BU213/BX213/$AC$51-$AC$60*$AC$51,0)</f>
        <v>-7.03802158746271E-005</v>
      </c>
      <c r="CA213" s="0" t="n">
        <f aca="false">IF(BY213&lt;&gt;0,($C$27-$B213)*$BU213/BY213/$AD$51-$AC$60*$AD$51,0)</f>
        <v>-7.03802117981798E-005</v>
      </c>
      <c r="CB213" s="0" t="n">
        <f aca="false">BU213*1.001</f>
        <v>-0.00786273434940152</v>
      </c>
      <c r="CC213" s="0" t="n">
        <f aca="false">-CB213*$AC$51</f>
        <v>0.823383615640265</v>
      </c>
      <c r="CD213" s="0" t="n">
        <f aca="false">-CB213*$AD$51</f>
        <v>0.411691807820132</v>
      </c>
      <c r="CE213" s="0" t="n">
        <f aca="false">(-CC213+SQRT(CC213^2-4*$C213))/2</f>
        <v>2.84690669523822</v>
      </c>
      <c r="CF213" s="0" t="n">
        <f aca="false">(-CD213+SQRT(CD213^2-4*$D213))/2</f>
        <v>1.91343383120385</v>
      </c>
      <c r="CG213" s="0" t="n">
        <f aca="false">IF(CE213&lt;&gt;0,($C$21-$B213)*$CB213/CE213/$AC$51-$AC$60*$AC$51,0)</f>
        <v>-7.04318906129387E-005</v>
      </c>
      <c r="CH213" s="0" t="n">
        <f aca="false">IF(CF213&lt;&gt;0,($C$27-$B213)*$CB213/CF213/$AD$51-$AC$60*$AD$51,0)</f>
        <v>-7.04439873350147E-005</v>
      </c>
      <c r="CI213" s="0" t="n">
        <f aca="false">(CG213-BZ213)/($CB213-$BU213)</f>
        <v>0.00657867997967237</v>
      </c>
      <c r="CJ213" s="0" t="n">
        <f aca="false">(CH213-CA213)/($CB213-$BU213)</f>
        <v>0.0081192253909291</v>
      </c>
      <c r="CK213" s="0" t="n">
        <f aca="false">IF(CI213&lt;&gt;CJ213,(CA213-BZ213)/(CI213-CJ213),0)</f>
        <v>-2.64610660686815E-009</v>
      </c>
      <c r="CL213" s="6" t="str">
        <f aca="false">IF(AND(BU213&gt;0,CE213&gt;0,CE213&lt;$C$15,CF213&lt;$C$15,CG213&gt;0,ABS(CK213)&lt;0.1*BU213),B213,"")</f>
        <v/>
      </c>
      <c r="CM213" s="0" t="n">
        <f aca="false">CG213+BU213^2/$C$39</f>
        <v>-6.01487020317466E-005</v>
      </c>
      <c r="CN213" s="0" t="n">
        <f aca="false">-BU213*$C$15/$C$39</f>
        <v>0.00785487946993159</v>
      </c>
      <c r="CO213" s="0" t="n">
        <f aca="false">IF(CL213&lt;&gt;"",(-CM213+SQRT(CM213^2-4*$AC$60*CN213))/2/$AC$60,0)</f>
        <v>0</v>
      </c>
      <c r="CP213" s="0" t="n">
        <f aca="false">CO213*30/PI()</f>
        <v>0</v>
      </c>
      <c r="DB213" s="6"/>
    </row>
    <row r="214" customFormat="false" ht="12.75" hidden="false" customHeight="false" outlineLevel="0" collapsed="false">
      <c r="A214" s="0" t="n">
        <f aca="false">A213+0.01</f>
        <v>0.65</v>
      </c>
      <c r="B214" s="0" t="n">
        <f aca="false">A214*$AC$68</f>
        <v>1.27816845346871</v>
      </c>
      <c r="C214" s="0" t="n">
        <f aca="false">$C$39*($B214-$C$21)</f>
        <v>-10.3309892791878</v>
      </c>
      <c r="D214" s="0" t="n">
        <f aca="false">$C$39*($B214-$C$27)</f>
        <v>-4.33098927918777</v>
      </c>
      <c r="E214" s="0" t="n">
        <f aca="false">$AC$71</f>
        <v>0.0474257507541105</v>
      </c>
      <c r="F214" s="0" t="n">
        <f aca="false">-E214*$AC$51</f>
        <v>-4.96641300533647</v>
      </c>
      <c r="G214" s="0" t="n">
        <f aca="false">-E214*$AD$51</f>
        <v>-2.48320650266823</v>
      </c>
      <c r="H214" s="0" t="n">
        <f aca="false">(-F214+SQRT(F214^2-4*$C214))/2</f>
        <v>6.54489381388282</v>
      </c>
      <c r="I214" s="0" t="n">
        <f aca="false">(-G214+SQRT(G214^2-4*$D214))/2</f>
        <v>3.6649414268497</v>
      </c>
      <c r="J214" s="0" t="n">
        <f aca="false">IF(H214&lt;&gt;0,($C$21-$B214)*$E214/H214/$AC$51-$AC$60*$AC$51,0)</f>
        <v>9.46422716553132E-005</v>
      </c>
      <c r="K214" s="0" t="n">
        <f aca="false">IF(I214&lt;&gt;0,($C$27-$B214)*$E214/I214/$AD$51-$AC$60*$AD$51,0)</f>
        <v>0.000166144645870998</v>
      </c>
      <c r="L214" s="0" t="n">
        <f aca="false">E214*1.001</f>
        <v>0.0474731765048646</v>
      </c>
      <c r="M214" s="0" t="n">
        <f aca="false">-L214*$AC$51</f>
        <v>-4.97137941834181</v>
      </c>
      <c r="N214" s="0" t="n">
        <f aca="false">-L214*$AD$51</f>
        <v>-2.4856897091709</v>
      </c>
      <c r="O214" s="0" t="n">
        <f aca="false">(-M214+SQRT(M214^2-4*$C214))/2</f>
        <v>6.54889566130598</v>
      </c>
      <c r="P214" s="0" t="n">
        <f aca="false">(-N214+SQRT(N214^2-4*$D214))/2</f>
        <v>3.66681940308164</v>
      </c>
      <c r="Q214" s="0" t="n">
        <f aca="false">IF(O214&lt;&gt;0,($C$21-$B214)*$L214/O214/$AC$51-$AC$60*$AC$51,0)</f>
        <v>9.46885374326884E-005</v>
      </c>
      <c r="R214" s="0" t="n">
        <f aca="false">IF(P214&lt;&gt;0,($C$27-$B214)*$L214/P214/$AD$51-$AC$60*$AD$51,0)</f>
        <v>0.000166231584139306</v>
      </c>
      <c r="S214" s="0" t="n">
        <f aca="false">(Q214-J214)/($L214-$E214)</f>
        <v>0.000975541275352762</v>
      </c>
      <c r="T214" s="0" t="n">
        <f aca="false">(R214-K214)/($L214-$E214)</f>
        <v>0.00183314479844705</v>
      </c>
      <c r="U214" s="0" t="n">
        <f aca="false">IF(S214&lt;&gt;T214,(K214-J214)/(S214-T214),0)</f>
        <v>-0.0833746274242203</v>
      </c>
      <c r="V214" s="0" t="n">
        <f aca="false">E214+U214</f>
        <v>-0.0359488766701098</v>
      </c>
      <c r="W214" s="0" t="n">
        <f aca="false">-V214*$AC$51</f>
        <v>3.76455756172075</v>
      </c>
      <c r="X214" s="0" t="n">
        <f aca="false">-V214*$AD$51</f>
        <v>1.88227878086037</v>
      </c>
      <c r="Y214" s="0" t="n">
        <f aca="false">(-W214+SQRT(W214^2-4*$C214))/2</f>
        <v>1.84249808333767</v>
      </c>
      <c r="Z214" s="0" t="n">
        <f aca="false">(-X214+SQRT(X214^2-4*$D214))/2</f>
        <v>1.34287738521028</v>
      </c>
      <c r="AA214" s="0" t="n">
        <f aca="false">IF(Y214&lt;&gt;0,($C$21-$B214)*$V214/Y214/$AC$51-$AC$60*$AC$51,0)</f>
        <v>-0.000345306537346148</v>
      </c>
      <c r="AB214" s="0" t="n">
        <f aca="false">IF(Z214&lt;&gt;0,($C$27-$B214)*$V214/Z214/$AD$51-$AC$60*$AD$51,0)</f>
        <v>-0.000381301908127828</v>
      </c>
      <c r="AC214" s="0" t="n">
        <f aca="false">V214*1.001</f>
        <v>-0.0359848255467799</v>
      </c>
      <c r="AD214" s="0" t="n">
        <f aca="false">-AC214*$AC$51</f>
        <v>3.76832211928247</v>
      </c>
      <c r="AE214" s="0" t="n">
        <f aca="false">-AC214*$AD$51</f>
        <v>1.88416105964123</v>
      </c>
      <c r="AF214" s="0" t="n">
        <f aca="false">(-AD214+SQRT(AD214^2-4*$C214))/2</f>
        <v>1.84156734938916</v>
      </c>
      <c r="AG214" s="0" t="n">
        <f aca="false">(-AE214+SQRT(AE214^2-4*$D214))/2</f>
        <v>1.34232420749168</v>
      </c>
      <c r="AH214" s="0" t="n">
        <f aca="false">IF(AF214&lt;&gt;0,($C$21-$B214)*$AC214/AF214/$AC$51-$AC$60*$AC$51,0)</f>
        <v>-0.000345789639443855</v>
      </c>
      <c r="AI214" s="0" t="n">
        <f aca="false">IF(AG214&lt;&gt;0,($C$27-$B214)*$AC214/AG214/$AD$51-$AC$60*$AD$51,0)</f>
        <v>-0.000381823198534234</v>
      </c>
      <c r="AJ214" s="0" t="n">
        <f aca="false">(AH214-AA214)/($AC214-$V214)</f>
        <v>0.0134385867503194</v>
      </c>
      <c r="AK214" s="0" t="n">
        <f aca="false">(AI214-AB214)/($AC214-$V214)</f>
        <v>0.0145008816600985</v>
      </c>
      <c r="AL214" s="0" t="n">
        <f aca="false">IF(AJ214&lt;&gt;AK214,(AB214-AA214)/(AJ214-AK214),0)</f>
        <v>0.0338845366294411</v>
      </c>
      <c r="AM214" s="0" t="n">
        <f aca="false">V214+AL214</f>
        <v>-0.00206434004066867</v>
      </c>
      <c r="AN214" s="0" t="n">
        <f aca="false">-AM214*$AC$51</f>
        <v>0.216177183542532</v>
      </c>
      <c r="AO214" s="0" t="n">
        <f aca="false">-AM214*$AD$51</f>
        <v>0.108088591771266</v>
      </c>
      <c r="AP214" s="0" t="n">
        <f aca="false">(-AN214+SQRT(AN214^2-4*$C214))/2</f>
        <v>3.10791396153289</v>
      </c>
      <c r="AQ214" s="0" t="n">
        <f aca="false">(-AO214+SQRT(AO214^2-4*$D214))/2</f>
        <v>2.0277602254625</v>
      </c>
      <c r="AR214" s="0" t="n">
        <f aca="false">IF(AP214&lt;&gt;0,($C$21-$B214)*$AM214/AP214/$AC$51-$AC$60*$AC$51,0)</f>
        <v>-3.5423432045158E-005</v>
      </c>
      <c r="AS214" s="0" t="n">
        <f aca="false">IF(AQ214&lt;&gt;0,($C$27-$B214)*$AM214/AQ214/$AD$51-$AC$60*$AD$51,0)</f>
        <v>-2.62857258285599E-005</v>
      </c>
      <c r="AT214" s="0" t="n">
        <f aca="false">AM214*1.001</f>
        <v>-0.00206640438070934</v>
      </c>
      <c r="AU214" s="0" t="n">
        <f aca="false">-AT214*$AC$51</f>
        <v>0.216393360726075</v>
      </c>
      <c r="AV214" s="0" t="n">
        <f aca="false">-AT214*$AD$51</f>
        <v>0.108196680363037</v>
      </c>
      <c r="AW214" s="0" t="n">
        <f aca="false">(-AU214+SQRT(AU214^2-4*$C214))/2</f>
        <v>3.1078095075709</v>
      </c>
      <c r="AX214" s="0" t="n">
        <f aca="false">(-AV214+SQRT(AV214^2-4*$D214))/2</f>
        <v>2.02770758487446</v>
      </c>
      <c r="AY214" s="0" t="n">
        <f aca="false">IF(AW214&lt;&gt;0,($C$21-$B214)*$AT214/AW214/$AC$51-$AC$60*$AC$51,0)</f>
        <v>-3.54347207776357E-005</v>
      </c>
      <c r="AZ214" s="0" t="n">
        <f aca="false">IF(AX214&lt;&gt;0,($C$27-$B214)*$AT214/AX214/$AD$51-$AC$60*$AD$51,0)</f>
        <v>-2.63001252008874E-005</v>
      </c>
      <c r="BA214" s="0" t="n">
        <f aca="false">(AY214-AR214)/($AT214-$AM214)</f>
        <v>0.00546844621297011</v>
      </c>
      <c r="BB214" s="0" t="n">
        <f aca="false">(AZ214-AS214)/($AT214-$AM214)</f>
        <v>0.00697529091321781</v>
      </c>
      <c r="BC214" s="0" t="n">
        <f aca="false">IF(BA214&lt;&gt;BB214,(AS214-AR214)/(BA214-BB214),0)</f>
        <v>-0.00606413269734828</v>
      </c>
      <c r="BD214" s="0" t="n">
        <f aca="false">AM214+BC214</f>
        <v>-0.00812847273801695</v>
      </c>
      <c r="BE214" s="0" t="n">
        <f aca="false">-BD214*$AC$51</f>
        <v>0.851211674621965</v>
      </c>
      <c r="BF214" s="0" t="n">
        <f aca="false">-BD214*$AD$51</f>
        <v>0.425605837310983</v>
      </c>
      <c r="BG214" s="0" t="n">
        <f aca="false">(-BE214+SQRT(BE214^2-4*$C214))/2</f>
        <v>2.81663561081421</v>
      </c>
      <c r="BH214" s="0" t="n">
        <f aca="false">(-BF214+SQRT(BF214^2-4*$D214))/2</f>
        <v>1.87915175613459</v>
      </c>
      <c r="BI214" s="0" t="n">
        <f aca="false">IF(BG214&lt;&gt;0,($C$21-$B214)*$BD214/BG214/$AC$51-$AC$60*$AC$51,0)</f>
        <v>-7.19525826195325E-005</v>
      </c>
      <c r="BJ214" s="0" t="n">
        <f aca="false">IF(BH214&lt;&gt;0,($C$27-$B214)*$BD214/BH214/$AD$51-$AC$60*$AD$51,0)</f>
        <v>-7.18837476327573E-005</v>
      </c>
      <c r="BK214" s="0" t="n">
        <f aca="false">BD214*1.001</f>
        <v>-0.00813660121075497</v>
      </c>
      <c r="BL214" s="0" t="n">
        <f aca="false">-BK214*$AC$51</f>
        <v>0.852062886296587</v>
      </c>
      <c r="BM214" s="0" t="n">
        <f aca="false">-BK214*$AD$51</f>
        <v>0.426031443148294</v>
      </c>
      <c r="BN214" s="0" t="n">
        <f aca="false">(-BL214+SQRT(BL214^2-4*$C214))/2</f>
        <v>2.81626590128802</v>
      </c>
      <c r="BO214" s="0" t="n">
        <f aca="false">(-BM214+SQRT(BM214^2-4*$D214))/2</f>
        <v>1.87896061118527</v>
      </c>
      <c r="BP214" s="0" t="n">
        <f aca="false">IF(BN214&lt;&gt;0,($C$21-$B214)*$BK214/BN214/$AC$51-$AC$60*$AC$51,0)</f>
        <v>-7.20062684269402E-005</v>
      </c>
      <c r="BQ214" s="0" t="n">
        <f aca="false">IF(BO214&lt;&gt;0,($C$27-$B214)*$BK214/BO214/$AD$51-$AC$60*$AD$51,0)</f>
        <v>-7.19494527584284E-005</v>
      </c>
      <c r="BR214" s="0" t="n">
        <f aca="false">(BP214-BI214)/($BK214-$BD214)</f>
        <v>0.00660466106462809</v>
      </c>
      <c r="BS214" s="0" t="n">
        <f aca="false">(BQ214-BJ214)/($BK214-$BD214)</f>
        <v>0.00808332977040085</v>
      </c>
      <c r="BT214" s="0" t="n">
        <f aca="false">IF(BR214&lt;&gt;BS214,(BJ214-BI214)/(BR214-BS214),0)</f>
        <v>-4.65520008007636E-005</v>
      </c>
      <c r="BU214" s="0" t="n">
        <f aca="false">BD214+BT214</f>
        <v>-0.00817502473881772</v>
      </c>
      <c r="BV214" s="0" t="n">
        <f aca="false">-BU214*$AC$51</f>
        <v>0.856086588746152</v>
      </c>
      <c r="BW214" s="0" t="n">
        <f aca="false">-BU214*$AD$51</f>
        <v>0.428043294373076</v>
      </c>
      <c r="BX214" s="0" t="n">
        <f aca="false">(-BV214+SQRT(BV214^2-4*$C214))/2</f>
        <v>2.81451901667748</v>
      </c>
      <c r="BY214" s="0" t="n">
        <f aca="false">(-BW214+SQRT(BW214^2-4*$D214))/2</f>
        <v>1.87805735338973</v>
      </c>
      <c r="BZ214" s="0" t="n">
        <f aca="false">IF(BX214&lt;&gt;0,($C$21-$B214)*$BU214/BX214/$AC$51-$AC$60*$AC$51,0)</f>
        <v>-7.2260221109333E-005</v>
      </c>
      <c r="CA214" s="0" t="n">
        <f aca="false">IF(BY214&lt;&gt;0,($C$27-$B214)*$BU214/BY214/$AD$51-$AC$60*$AD$51,0)</f>
        <v>-7.22602145800858E-005</v>
      </c>
      <c r="CB214" s="0" t="n">
        <f aca="false">BU214*1.001</f>
        <v>-0.00818319976355653</v>
      </c>
      <c r="CC214" s="0" t="n">
        <f aca="false">-CB214*$AC$51</f>
        <v>0.856942675334898</v>
      </c>
      <c r="CD214" s="0" t="n">
        <f aca="false">-CB214*$AD$51</f>
        <v>0.428471337667449</v>
      </c>
      <c r="CE214" s="0" t="n">
        <f aca="false">(-CC214+SQRT(CC214^2-4*$C214))/2</f>
        <v>2.81414750616701</v>
      </c>
      <c r="CF214" s="0" t="n">
        <f aca="false">(-CD214+SQRT(CD214^2-4*$D214))/2</f>
        <v>1.87786523719074</v>
      </c>
      <c r="CG214" s="0" t="n">
        <f aca="false">IF(CE214&lt;&gt;0,($C$21-$B214)*$CB214/CE214/$AC$51-$AC$60*$AC$51,0)</f>
        <v>-7.23142903000683E-005</v>
      </c>
      <c r="CH214" s="0" t="n">
        <f aca="false">IF(CF214&lt;&gt;0,($C$27-$B214)*$CB214/CF214/$AD$51-$AC$60*$AD$51,0)</f>
        <v>-7.23263691414452E-005</v>
      </c>
      <c r="CI214" s="0" t="n">
        <f aca="false">(CG214-BZ214)/($CB214-$BU214)</f>
        <v>0.0066139482708324</v>
      </c>
      <c r="CJ214" s="0" t="n">
        <f aca="false">(CH214-CA214)/($CB214-$BU214)</f>
        <v>0.00809227659524063</v>
      </c>
      <c r="CK214" s="0" t="n">
        <f aca="false">IF(CI214&lt;&gt;CJ214,(CA214-BZ214)/(CI214-CJ214),0)</f>
        <v>-4.41664217230667E-009</v>
      </c>
      <c r="CL214" s="6" t="str">
        <f aca="false">IF(AND(BU214&gt;0,CE214&gt;0,CE214&lt;$C$15,CF214&lt;$C$15,CG214&gt;0,ABS(CK214)&lt;0.1*BU214),B214,"")</f>
        <v/>
      </c>
      <c r="CM214" s="0" t="n">
        <f aca="false">CG214+BU214^2/$C$39</f>
        <v>-6.1175785386688E-005</v>
      </c>
      <c r="CN214" s="0" t="n">
        <f aca="false">-BU214*$C$15/$C$39</f>
        <v>0.00817502473881772</v>
      </c>
      <c r="CO214" s="0" t="n">
        <f aca="false">IF(CL214&lt;&gt;"",(-CM214+SQRT(CM214^2-4*$AC$60*CN214))/2/$AC$60,0)</f>
        <v>0</v>
      </c>
      <c r="CP214" s="0" t="n">
        <f aca="false">CO214*30/PI()</f>
        <v>0</v>
      </c>
      <c r="DB214" s="6"/>
    </row>
    <row r="215" customFormat="false" ht="12.75" hidden="false" customHeight="false" outlineLevel="0" collapsed="false">
      <c r="A215" s="0" t="n">
        <f aca="false">A214+0.01</f>
        <v>0.66</v>
      </c>
      <c r="B215" s="0" t="n">
        <f aca="false">A215*$AC$68</f>
        <v>1.29783258352207</v>
      </c>
      <c r="C215" s="0" t="n">
        <f aca="false">$C$39*($B215-$C$21)</f>
        <v>-10.2130044988676</v>
      </c>
      <c r="D215" s="0" t="n">
        <f aca="false">$C$39*($B215-$C$27)</f>
        <v>-4.21300449886758</v>
      </c>
      <c r="E215" s="0" t="n">
        <f aca="false">$AC$71</f>
        <v>0.0474257507541105</v>
      </c>
      <c r="F215" s="0" t="n">
        <f aca="false">-E215*$AC$51</f>
        <v>-4.96641300533647</v>
      </c>
      <c r="G215" s="0" t="n">
        <f aca="false">-E215*$AD$51</f>
        <v>-2.48320650266823</v>
      </c>
      <c r="H215" s="0" t="n">
        <f aca="false">(-F215+SQRT(F215^2-4*$C215))/2</f>
        <v>6.53034364313696</v>
      </c>
      <c r="I215" s="0" t="n">
        <f aca="false">(-G215+SQRT(G215^2-4*$D215))/2</f>
        <v>3.64047447184409</v>
      </c>
      <c r="J215" s="0" t="n">
        <f aca="false">IF(H215&lt;&gt;0,($C$21-$B215)*$E215/H215/$AC$51-$AC$60*$AC$51,0)</f>
        <v>9.35440185599694E-005</v>
      </c>
      <c r="K215" s="0" t="n">
        <f aca="false">IF(I215&lt;&gt;0,($C$27-$B215)*$E215/I215/$AD$51-$AC$60*$AD$51,0)</f>
        <v>0.00016245109346699</v>
      </c>
      <c r="L215" s="0" t="n">
        <f aca="false">E215*1.001</f>
        <v>0.0474731765048646</v>
      </c>
      <c r="M215" s="0" t="n">
        <f aca="false">-L215*$AC$51</f>
        <v>-4.97137941834181</v>
      </c>
      <c r="N215" s="0" t="n">
        <f aca="false">-L215*$AD$51</f>
        <v>-2.4856897091709</v>
      </c>
      <c r="O215" s="0" t="n">
        <f aca="false">(-M215+SQRT(M215^2-4*$C215))/2</f>
        <v>6.53435094829004</v>
      </c>
      <c r="P215" s="0" t="n">
        <f aca="false">(-N215+SQRT(N215^2-4*$D215))/2</f>
        <v>3.64235893694403</v>
      </c>
      <c r="Q215" s="0" t="n">
        <f aca="false">IF(O215&lt;&gt;0,($C$21-$B215)*$L215/O215/$AC$51-$AC$60*$AC$51,0)</f>
        <v>9.35895984479839E-005</v>
      </c>
      <c r="R215" s="0" t="n">
        <f aca="false">IF(P215&lt;&gt;0,($C$27-$B215)*$L215/P215/$AD$51-$AC$60*$AD$51,0)</f>
        <v>0.000162535318727508</v>
      </c>
      <c r="S215" s="0" t="n">
        <f aca="false">(Q215-J215)/($L215-$E215)</f>
        <v>0.000961078892579779</v>
      </c>
      <c r="T215" s="0" t="n">
        <f aca="false">(R215-K215)/($L215-$E215)</f>
        <v>0.00177593942485776</v>
      </c>
      <c r="U215" s="0" t="n">
        <f aca="false">IF(S215&lt;&gt;T215,(K215-J215)/(S215-T215),0)</f>
        <v>-0.0845630291043648</v>
      </c>
      <c r="V215" s="0" t="n">
        <f aca="false">E215+U215</f>
        <v>-0.0371372783502543</v>
      </c>
      <c r="W215" s="0" t="n">
        <f aca="false">-V215*$AC$51</f>
        <v>3.88900669464928</v>
      </c>
      <c r="X215" s="0" t="n">
        <f aca="false">-V215*$AD$51</f>
        <v>1.94450334732464</v>
      </c>
      <c r="Y215" s="0" t="n">
        <f aca="false">(-W215+SQRT(W215^2-4*$C215))/2</f>
        <v>1.7963652371921</v>
      </c>
      <c r="Z215" s="0" t="n">
        <f aca="false">(-X215+SQRT(X215^2-4*$D215))/2</f>
        <v>1.29893255836439</v>
      </c>
      <c r="AA215" s="0" t="n">
        <f aca="false">IF(Y215&lt;&gt;0,($C$21-$B215)*$V215/Y215/$AC$51-$AC$60*$AC$51,0)</f>
        <v>-0.00036054067038999</v>
      </c>
      <c r="AB215" s="0" t="n">
        <f aca="false">IF(Z215&lt;&gt;0,($C$27-$B215)*$V215/Z215/$AD$51-$AC$60*$AD$51,0)</f>
        <v>-0.000395662906775153</v>
      </c>
      <c r="AC215" s="0" t="n">
        <f aca="false">V215*1.001</f>
        <v>-0.0371744156286046</v>
      </c>
      <c r="AD215" s="0" t="n">
        <f aca="false">-AC215*$AC$51</f>
        <v>3.89289570134393</v>
      </c>
      <c r="AE215" s="0" t="n">
        <f aca="false">-AC215*$AD$51</f>
        <v>1.94644785067196</v>
      </c>
      <c r="AF215" s="0" t="n">
        <f aca="false">(-AD215+SQRT(AD215^2-4*$C215))/2</f>
        <v>1.79543185533852</v>
      </c>
      <c r="AG215" s="0" t="n">
        <f aca="false">(-AE215+SQRT(AE215^2-4*$D215))/2</f>
        <v>1.29837667946099</v>
      </c>
      <c r="AH215" s="0" t="n">
        <f aca="false">IF(AF215&lt;&gt;0,($C$21-$B215)*$AC215/AF215/$AC$51-$AC$60*$AC$51,0)</f>
        <v>-0.000361051578234574</v>
      </c>
      <c r="AI215" s="0" t="n">
        <f aca="false">IF(AG215&lt;&gt;0,($C$27-$B215)*$AC215/AG215/$AD$51-$AC$60*$AD$51,0)</f>
        <v>-0.000396210634323708</v>
      </c>
      <c r="AJ215" s="0" t="n">
        <f aca="false">(AH215-AA215)/($AC215-$V215)</f>
        <v>0.0137572775195198</v>
      </c>
      <c r="AK215" s="0" t="n">
        <f aca="false">(AI215-AB215)/($AC215-$V215)</f>
        <v>0.0147487261556948</v>
      </c>
      <c r="AL215" s="0" t="n">
        <f aca="false">IF(AJ215&lt;&gt;AK215,(AB215-AA215)/(AJ215-AK215),0)</f>
        <v>0.0354251699015538</v>
      </c>
      <c r="AM215" s="0" t="n">
        <f aca="false">V215+AL215</f>
        <v>-0.00171210844870051</v>
      </c>
      <c r="AN215" s="0" t="n">
        <f aca="false">-AM215*$AC$51</f>
        <v>0.179291577486218</v>
      </c>
      <c r="AO215" s="0" t="n">
        <f aca="false">-AM215*$AD$51</f>
        <v>0.089645788743109</v>
      </c>
      <c r="AP215" s="0" t="n">
        <f aca="false">(-AN215+SQRT(AN215^2-4*$C215))/2</f>
        <v>3.10739047415835</v>
      </c>
      <c r="AQ215" s="0" t="n">
        <f aca="false">(-AO215+SQRT(AO215^2-4*$D215))/2</f>
        <v>2.00822693228327</v>
      </c>
      <c r="AR215" s="0" t="n">
        <f aca="false">IF(AP215&lt;&gt;0,($C$21-$B215)*$AM215/AP215/$AC$51-$AC$60*$AC$51,0)</f>
        <v>-3.34580302936176E-005</v>
      </c>
      <c r="AS215" s="0" t="n">
        <f aca="false">IF(AQ215&lt;&gt;0,($C$27-$B215)*$AM215/AQ215/$AD$51-$AC$60*$AD$51,0)</f>
        <v>-2.36840752825257E-005</v>
      </c>
      <c r="AT215" s="0" t="n">
        <f aca="false">AM215*1.001</f>
        <v>-0.00171382055714921</v>
      </c>
      <c r="AU215" s="0" t="n">
        <f aca="false">-AT215*$AC$51</f>
        <v>0.179470869063704</v>
      </c>
      <c r="AV215" s="0" t="n">
        <f aca="false">-AT215*$AD$51</f>
        <v>0.0897354345318522</v>
      </c>
      <c r="AW215" s="0" t="n">
        <f aca="false">(-AU215+SQRT(AU215^2-4*$C215))/2</f>
        <v>3.10730334331839</v>
      </c>
      <c r="AX215" s="0" t="n">
        <f aca="false">(-AV215+SQRT(AV215^2-4*$D215))/2</f>
        <v>2.00818308846691</v>
      </c>
      <c r="AY215" s="0" t="n">
        <f aca="false">IF(AW215&lt;&gt;0,($C$21-$B215)*$AT215/AW215/$AC$51-$AC$60*$AC$51,0)</f>
        <v>-3.3467237571125E-005</v>
      </c>
      <c r="AZ215" s="0" t="n">
        <f aca="false">IF(AX215&lt;&gt;0,($C$27-$B215)*$AT215/AX215/$AD$51-$AC$60*$AD$51,0)</f>
        <v>-2.36957581528927E-005</v>
      </c>
      <c r="BA215" s="0" t="n">
        <f aca="false">(AY215-AR215)/($AT215-$AM215)</f>
        <v>0.00537774199664066</v>
      </c>
      <c r="BB215" s="0" t="n">
        <f aca="false">(AZ215-AS215)/($AT215-$AM215)</f>
        <v>0.0068236742689255</v>
      </c>
      <c r="BC215" s="0" t="n">
        <f aca="false">IF(BA215&lt;&gt;BB215,(AS215-AR215)/(BA215-BB215),0)</f>
        <v>-0.00675962159392654</v>
      </c>
      <c r="BD215" s="0" t="n">
        <f aca="false">AM215+BC215</f>
        <v>-0.00847173004262705</v>
      </c>
      <c r="BE215" s="0" t="n">
        <f aca="false">-BD215*$AC$51</f>
        <v>0.887157495503769</v>
      </c>
      <c r="BF215" s="0" t="n">
        <f aca="false">-BD215*$AD$51</f>
        <v>0.443578747751885</v>
      </c>
      <c r="BG215" s="0" t="n">
        <f aca="false">(-BE215+SQRT(BE215^2-4*$C215))/2</f>
        <v>2.78283824394722</v>
      </c>
      <c r="BH215" s="0" t="n">
        <f aca="false">(-BF215+SQRT(BF215^2-4*$D215))/2</f>
        <v>1.84271904829914</v>
      </c>
      <c r="BI215" s="0" t="n">
        <f aca="false">IF(BG215&lt;&gt;0,($C$21-$B215)*$BD215/BG215/$AC$51-$AC$60*$AC$51,0)</f>
        <v>-7.39853358058556E-005</v>
      </c>
      <c r="BJ215" s="0" t="n">
        <f aca="false">IF(BH215&lt;&gt;0,($C$27-$B215)*$BD215/BH215/$AD$51-$AC$60*$AD$51,0)</f>
        <v>-7.39041828996031E-005</v>
      </c>
      <c r="BK215" s="0" t="n">
        <f aca="false">BD215*1.001</f>
        <v>-0.00848020177266968</v>
      </c>
      <c r="BL215" s="0" t="n">
        <f aca="false">-BK215*$AC$51</f>
        <v>0.888044652999273</v>
      </c>
      <c r="BM215" s="0" t="n">
        <f aca="false">-BK215*$AD$51</f>
        <v>0.444022326499637</v>
      </c>
      <c r="BN215" s="0" t="n">
        <f aca="false">(-BL215+SQRT(BL215^2-4*$C215))/2</f>
        <v>2.78245567982517</v>
      </c>
      <c r="BO215" s="0" t="n">
        <f aca="false">(-BM215+SQRT(BM215^2-4*$D215))/2</f>
        <v>1.84252109745117</v>
      </c>
      <c r="BP215" s="0" t="n">
        <f aca="false">IF(BN215&lt;&gt;0,($C$21-$B215)*$BK215/BN215/$AC$51-$AC$60*$AC$51,0)</f>
        <v>-7.40416293338244E-005</v>
      </c>
      <c r="BQ215" s="0" t="n">
        <f aca="false">IF(BO215&lt;&gt;0,($C$27-$B215)*$BK215/BO215/$AD$51-$AC$60*$AD$51,0)</f>
        <v>-7.39724663285567E-005</v>
      </c>
      <c r="BR215" s="0" t="n">
        <f aca="false">(BP215-BI215)/($BK215-$BD215)</f>
        <v>0.00664486801226633</v>
      </c>
      <c r="BS215" s="0" t="n">
        <f aca="false">(BQ215-BJ215)/($BK215-$BD215)</f>
        <v>0.00806015165852435</v>
      </c>
      <c r="BT215" s="0" t="n">
        <f aca="false">IF(BR215&lt;&gt;BS215,(BJ215-BI215)/(BR215-BS215),0)</f>
        <v>-5.73403829452242E-005</v>
      </c>
      <c r="BU215" s="0" t="n">
        <f aca="false">BD215+BT215</f>
        <v>-0.00852907042557227</v>
      </c>
      <c r="BV215" s="0" t="n">
        <f aca="false">-BU215*$AC$51</f>
        <v>0.893162166364261</v>
      </c>
      <c r="BW215" s="0" t="n">
        <f aca="false">-BU215*$AD$51</f>
        <v>0.44658108318213</v>
      </c>
      <c r="BX215" s="0" t="n">
        <f aca="false">(-BV215+SQRT(BV215^2-4*$C215))/2</f>
        <v>2.78025005010075</v>
      </c>
      <c r="BY215" s="0" t="n">
        <f aca="false">(-BW215+SQRT(BW215^2-4*$D215))/2</f>
        <v>1.84137968990635</v>
      </c>
      <c r="BZ215" s="0" t="n">
        <f aca="false">IF(BX215&lt;&gt;0,($C$21-$B215)*$BU215/BX215/$AC$51-$AC$60*$AC$51,0)</f>
        <v>-7.43666365672603E-005</v>
      </c>
      <c r="CA215" s="0" t="n">
        <f aca="false">IF(BY215&lt;&gt;0,($C$27-$B215)*$BU215/BY215/$AD$51-$AC$60*$AD$51,0)</f>
        <v>-7.43666261742108E-005</v>
      </c>
      <c r="CB215" s="0" t="n">
        <f aca="false">BU215*1.001</f>
        <v>-0.00853759949599785</v>
      </c>
      <c r="CC215" s="0" t="n">
        <f aca="false">-CB215*$AC$51</f>
        <v>0.894055328530625</v>
      </c>
      <c r="CD215" s="0" t="n">
        <f aca="false">-CB215*$AD$51</f>
        <v>0.447027664265312</v>
      </c>
      <c r="CE215" s="0" t="n">
        <f aca="false">(-CC215+SQRT(CC215^2-4*$C215))/2</f>
        <v>2.77986530444098</v>
      </c>
      <c r="CF215" s="0" t="n">
        <f aca="false">(-CD215+SQRT(CD215^2-4*$D215))/2</f>
        <v>1.84118055978645</v>
      </c>
      <c r="CG215" s="0" t="n">
        <f aca="false">IF(CE215&lt;&gt;0,($C$21-$B215)*$CB215/CE215/$AC$51-$AC$60*$AC$51,0)</f>
        <v>-7.44234094400355E-005</v>
      </c>
      <c r="CH215" s="0" t="n">
        <f aca="false">IF(CF215&lt;&gt;0,($C$27-$B215)*$CB215/CF215/$AD$51-$AC$60*$AD$51,0)</f>
        <v>-7.4435466466918E-005</v>
      </c>
      <c r="CI215" s="0" t="n">
        <f aca="false">(CG215-BZ215)/($CB215-$BU215)</f>
        <v>0.00665639629437267</v>
      </c>
      <c r="CJ215" s="0" t="n">
        <f aca="false">(CH215-CA215)/($CB215-$BU215)</f>
        <v>0.00807125387319476</v>
      </c>
      <c r="CK215" s="0" t="n">
        <f aca="false">IF(CI215&lt;&gt;CJ215,(CA215-BZ215)/(CI215-CJ215),0)</f>
        <v>-7.34565065373264E-009</v>
      </c>
      <c r="CL215" s="6" t="str">
        <f aca="false">IF(AND(BU215&gt;0,CE215&gt;0,CE215&lt;$C$15,CF215&lt;$C$15,CG215&gt;0,ABS(CK215)&lt;0.1*BU215),B215,"")</f>
        <v/>
      </c>
      <c r="CM215" s="0" t="n">
        <f aca="false">CG215+BU215^2/$C$39</f>
        <v>-6.22992357193069E-005</v>
      </c>
      <c r="CN215" s="0" t="n">
        <f aca="false">-BU215*$C$15/$C$39</f>
        <v>0.00852907042557227</v>
      </c>
      <c r="CO215" s="0" t="n">
        <f aca="false">IF(CL215&lt;&gt;"",(-CM215+SQRT(CM215^2-4*$AC$60*CN215))/2/$AC$60,0)</f>
        <v>0</v>
      </c>
      <c r="CP215" s="0" t="n">
        <f aca="false">CO215*30/PI()</f>
        <v>0</v>
      </c>
      <c r="DB215" s="6"/>
    </row>
    <row r="216" customFormat="false" ht="12.75" hidden="false" customHeight="false" outlineLevel="0" collapsed="false">
      <c r="A216" s="0" t="n">
        <f aca="false">A215+0.01</f>
        <v>0.67</v>
      </c>
      <c r="B216" s="0" t="n">
        <f aca="false">A216*$AC$68</f>
        <v>1.31749671357544</v>
      </c>
      <c r="C216" s="0" t="n">
        <f aca="false">$C$39*($B216-$C$21)</f>
        <v>-10.0950197185474</v>
      </c>
      <c r="D216" s="0" t="n">
        <f aca="false">$C$39*($B216-$C$27)</f>
        <v>-4.09501971854739</v>
      </c>
      <c r="E216" s="0" t="n">
        <f aca="false">$AC$71</f>
        <v>0.0474257507541105</v>
      </c>
      <c r="F216" s="0" t="n">
        <f aca="false">-E216*$AC$51</f>
        <v>-4.96641300533647</v>
      </c>
      <c r="G216" s="0" t="n">
        <f aca="false">-E216*$AD$51</f>
        <v>-2.48320650266823</v>
      </c>
      <c r="H216" s="0" t="n">
        <f aca="false">(-F216+SQRT(F216^2-4*$C216))/2</f>
        <v>6.51574097287939</v>
      </c>
      <c r="I216" s="0" t="n">
        <f aca="false">(-G216+SQRT(G216^2-4*$D216))/2</f>
        <v>3.61575538468001</v>
      </c>
      <c r="J216" s="0" t="n">
        <f aca="false">IF(H216&lt;&gt;0,($C$21-$B216)*$E216/H216/$AC$51-$AC$60*$AC$51,0)</f>
        <v>9.24418027790843E-005</v>
      </c>
      <c r="K216" s="0" t="n">
        <f aca="false">IF(I216&lt;&gt;0,($C$27-$B216)*$E216/I216/$AD$51-$AC$60*$AD$51,0)</f>
        <v>0.000158719478977207</v>
      </c>
      <c r="L216" s="0" t="n">
        <f aca="false">E216*1.001</f>
        <v>0.0474731765048646</v>
      </c>
      <c r="M216" s="0" t="n">
        <f aca="false">-L216*$AC$51</f>
        <v>-4.97137941834181</v>
      </c>
      <c r="N216" s="0" t="n">
        <f aca="false">-L216*$AD$51</f>
        <v>-2.4856897091709</v>
      </c>
      <c r="O216" s="0" t="n">
        <f aca="false">(-M216+SQRT(M216^2-4*$C216))/2</f>
        <v>6.51975379503091</v>
      </c>
      <c r="P216" s="0" t="n">
        <f aca="false">(-N216+SQRT(N216^2-4*$D216))/2</f>
        <v>3.61764654127782</v>
      </c>
      <c r="Q216" s="0" t="n">
        <f aca="false">IF(O216&lt;&gt;0,($C$21-$B216)*$L216/O216/$AC$51-$AC$60*$AC$51,0)</f>
        <v>9.2486697293139E-005</v>
      </c>
      <c r="R216" s="0" t="n">
        <f aca="false">IF(P216&lt;&gt;0,($C$27-$B216)*$L216/P216/$AD$51-$AC$60*$AD$51,0)</f>
        <v>0.000158800983787619</v>
      </c>
      <c r="S216" s="0" t="n">
        <f aca="false">(Q216-J216)/($L216-$E216)</f>
        <v>0.000946627377338702</v>
      </c>
      <c r="T216" s="0" t="n">
        <f aca="false">(R216-K216)/($L216-$E216)</f>
        <v>0.0017185771256335</v>
      </c>
      <c r="U216" s="0" t="n">
        <f aca="false">IF(S216&lt;&gt;T216,(K216-J216)/(S216-T216),0)</f>
        <v>-0.0858575008859416</v>
      </c>
      <c r="V216" s="0" t="n">
        <f aca="false">E216+U216</f>
        <v>-0.0384317501318311</v>
      </c>
      <c r="W216" s="0" t="n">
        <f aca="false">-V216*$AC$51</f>
        <v>4.0245634626253</v>
      </c>
      <c r="X216" s="0" t="n">
        <f aca="false">-V216*$AD$51</f>
        <v>2.01228173131265</v>
      </c>
      <c r="Y216" s="0" t="n">
        <f aca="false">(-W216+SQRT(W216^2-4*$C216))/2</f>
        <v>1.74860878620073</v>
      </c>
      <c r="Z216" s="0" t="n">
        <f aca="false">(-X216+SQRT(X216^2-4*$D216))/2</f>
        <v>1.25380142566243</v>
      </c>
      <c r="AA216" s="0" t="n">
        <f aca="false">IF(Y216&lt;&gt;0,($C$21-$B216)*$V216/Y216/$AC$51-$AC$60*$AC$51,0)</f>
        <v>-0.000377624160455326</v>
      </c>
      <c r="AB216" s="0" t="n">
        <f aca="false">IF(Z216&lt;&gt;0,($C$27-$B216)*$V216/Z216/$AD$51-$AC$60*$AD$51,0)</f>
        <v>-0.000411797747656173</v>
      </c>
      <c r="AC216" s="0" t="n">
        <f aca="false">V216*1.001</f>
        <v>-0.0384701818819629</v>
      </c>
      <c r="AD216" s="0" t="n">
        <f aca="false">-AC216*$AC$51</f>
        <v>4.02858802608793</v>
      </c>
      <c r="AE216" s="0" t="n">
        <f aca="false">-AC216*$AD$51</f>
        <v>2.01429401304396</v>
      </c>
      <c r="AF216" s="0" t="n">
        <f aca="false">(-AD216+SQRT(AD216^2-4*$C216))/2</f>
        <v>1.74767356915716</v>
      </c>
      <c r="AG216" s="0" t="n">
        <f aca="false">(-AE216+SQRT(AE216^2-4*$D216))/2</f>
        <v>1.25324340473303</v>
      </c>
      <c r="AH216" s="0" t="n">
        <f aca="false">IF(AF216&lt;&gt;0,($C$21-$B216)*$AC216/AF216/$AC$51-$AC$60*$AC$51,0)</f>
        <v>-0.000378166434501554</v>
      </c>
      <c r="AI216" s="0" t="n">
        <f aca="false">IF(AG216&lt;&gt;0,($C$27-$B216)*$AC216/AG216/$AD$51-$AC$60*$AD$51,0)</f>
        <v>-0.000412375374959778</v>
      </c>
      <c r="AJ216" s="0" t="n">
        <f aca="false">(AH216-AA216)/($AC216-$V216)</f>
        <v>0.0141100533899153</v>
      </c>
      <c r="AK216" s="0" t="n">
        <f aca="false">(AI216-AB216)/($AC216-$V216)</f>
        <v>0.0150299505389196</v>
      </c>
      <c r="AL216" s="0" t="n">
        <f aca="false">IF(AJ216&lt;&gt;AK216,(AB216-AA216)/(AJ216-AK216),0)</f>
        <v>0.0371493565751758</v>
      </c>
      <c r="AM216" s="0" t="n">
        <f aca="false">V216+AL216</f>
        <v>-0.00128239355665527</v>
      </c>
      <c r="AN216" s="0" t="n">
        <f aca="false">-AM216*$AC$51</f>
        <v>0.134291939219969</v>
      </c>
      <c r="AO216" s="0" t="n">
        <f aca="false">-AM216*$AD$51</f>
        <v>0.0671459696099847</v>
      </c>
      <c r="AP216" s="0" t="n">
        <f aca="false">(-AN216+SQRT(AN216^2-4*$C216))/2</f>
        <v>3.11082953372264</v>
      </c>
      <c r="AQ216" s="0" t="n">
        <f aca="false">(-AO216+SQRT(AO216^2-4*$D216))/2</f>
        <v>1.99032100052529</v>
      </c>
      <c r="AR216" s="0" t="n">
        <f aca="false">IF(AP216&lt;&gt;0,($C$21-$B216)*$AM216/AP216/$AC$51-$AC$60*$AC$51,0)</f>
        <v>-3.11254025424147E-005</v>
      </c>
      <c r="AS216" s="0" t="n">
        <f aca="false">IF(AQ216&lt;&gt;0,($C$27-$B216)*$AM216/AQ216/$AD$51-$AC$60*$AD$51,0)</f>
        <v>-2.064961687384E-005</v>
      </c>
      <c r="AT216" s="0" t="n">
        <f aca="false">AM216*1.001</f>
        <v>-0.00128367595021193</v>
      </c>
      <c r="AU216" s="0" t="n">
        <f aca="false">-AT216*$AC$51</f>
        <v>0.134426231159189</v>
      </c>
      <c r="AV216" s="0" t="n">
        <f aca="false">-AT216*$AD$51</f>
        <v>0.0672131155795947</v>
      </c>
      <c r="AW216" s="0" t="n">
        <f aca="false">(-AU216+SQRT(AU216^2-4*$C216))/2</f>
        <v>3.11076380715809</v>
      </c>
      <c r="AX216" s="0" t="n">
        <f aca="false">(-AV216+SQRT(AV216^2-4*$D216))/2</f>
        <v>1.99028798473802</v>
      </c>
      <c r="AY216" s="0" t="n">
        <f aca="false">IF(AW216&lt;&gt;0,($C$21-$B216)*$AT216/AW216/$AC$51-$AC$60*$AC$51,0)</f>
        <v>-3.11321658931392E-005</v>
      </c>
      <c r="AZ216" s="0" t="n">
        <f aca="false">IF(AX216&lt;&gt;0,($C$27-$B216)*$AT216/AX216/$AD$51-$AC$60*$AD$51,0)</f>
        <v>-2.06581548823457E-005</v>
      </c>
      <c r="BA216" s="0" t="n">
        <f aca="false">(AY216-AR216)/($AT216-$AM216)</f>
        <v>0.00527400554175379</v>
      </c>
      <c r="BB216" s="0" t="n">
        <f aca="false">(AZ216-AS216)/($AT216-$AM216)</f>
        <v>0.00665786915518828</v>
      </c>
      <c r="BC216" s="0" t="n">
        <f aca="false">IF(BA216&lt;&gt;BB216,(AS216-AR216)/(BA216-BB216),0)</f>
        <v>-0.00756995528090789</v>
      </c>
      <c r="BD216" s="0" t="n">
        <f aca="false">AM216+BC216</f>
        <v>-0.00885234883756316</v>
      </c>
      <c r="BE216" s="0" t="n">
        <f aca="false">-BD216*$AC$51</f>
        <v>0.927015802503419</v>
      </c>
      <c r="BF216" s="0" t="n">
        <f aca="false">-BD216*$AD$51</f>
        <v>0.463507901251709</v>
      </c>
      <c r="BG216" s="0" t="n">
        <f aca="false">(-BE216+SQRT(BE216^2-4*$C216))/2</f>
        <v>2.74738905957873</v>
      </c>
      <c r="BH216" s="0" t="n">
        <f aca="false">(-BF216+SQRT(BF216^2-4*$D216))/2</f>
        <v>1.805089099827</v>
      </c>
      <c r="BI216" s="0" t="n">
        <f aca="false">IF(BG216&lt;&gt;0,($C$21-$B216)*$BD216/BG216/$AC$51-$AC$60*$AC$51,0)</f>
        <v>-7.62706423457222E-005</v>
      </c>
      <c r="BJ216" s="0" t="n">
        <f aca="false">IF(BH216&lt;&gt;0,($C$27-$B216)*$BD216/BH216/$AD$51-$AC$60*$AD$51,0)</f>
        <v>-7.61753694564775E-005</v>
      </c>
      <c r="BK216" s="0" t="n">
        <f aca="false">BD216*1.001</f>
        <v>-0.00886120118640072</v>
      </c>
      <c r="BL216" s="0" t="n">
        <f aca="false">-BK216*$AC$51</f>
        <v>0.927942818305922</v>
      </c>
      <c r="BM216" s="0" t="n">
        <f aca="false">-BK216*$AD$51</f>
        <v>0.463971409152961</v>
      </c>
      <c r="BN216" s="0" t="n">
        <f aca="false">(-BL216+SQRT(BL216^2-4*$C216))/2</f>
        <v>2.74699249395445</v>
      </c>
      <c r="BO216" s="0" t="n">
        <f aca="false">(-BM216+SQRT(BM216^2-4*$D216))/2</f>
        <v>1.80488372807629</v>
      </c>
      <c r="BP216" s="0" t="n">
        <f aca="false">IF(BN216&lt;&gt;0,($C$21-$B216)*$BK216/BN216/$AC$51-$AC$60*$AC$51,0)</f>
        <v>-7.63298918148022E-005</v>
      </c>
      <c r="BQ216" s="0" t="n">
        <f aca="false">IF(BO216&lt;&gt;0,($C$27-$B216)*$BK216/BO216/$AD$51-$AC$60*$AD$51,0)</f>
        <v>-7.62465747680997E-005</v>
      </c>
      <c r="BR216" s="0" t="n">
        <f aca="false">(BP216-BI216)/($BK216-$BD216)</f>
        <v>0.00669307888417166</v>
      </c>
      <c r="BS216" s="0" t="n">
        <f aca="false">(BQ216-BJ216)/($BK216-$BD216)</f>
        <v>0.00804366309199849</v>
      </c>
      <c r="BT216" s="0" t="n">
        <f aca="false">IF(BR216&lt;&gt;BS216,(BJ216-BI216)/(BR216-BS216),0)</f>
        <v>-7.05419837523651E-005</v>
      </c>
      <c r="BU216" s="0" t="n">
        <f aca="false">BD216+BT216</f>
        <v>-0.00892289082131552</v>
      </c>
      <c r="BV216" s="0" t="n">
        <f aca="false">-BU216*$AC$51</f>
        <v>0.934402941767621</v>
      </c>
      <c r="BW216" s="0" t="n">
        <f aca="false">-BU216*$AD$51</f>
        <v>0.467201470883811</v>
      </c>
      <c r="BX216" s="0" t="n">
        <f aca="false">(-BV216+SQRT(BV216^2-4*$C216))/2</f>
        <v>2.74423075367634</v>
      </c>
      <c r="BY216" s="0" t="n">
        <f aca="false">(-BW216+SQRT(BW216^2-4*$D216))/2</f>
        <v>1.80345327026005</v>
      </c>
      <c r="BZ216" s="0" t="n">
        <f aca="false">IF(BX216&lt;&gt;0,($C$21-$B216)*$BU216/BX216/$AC$51-$AC$60*$AC$51,0)</f>
        <v>-7.67432262533309E-005</v>
      </c>
      <c r="CA216" s="0" t="n">
        <f aca="false">IF(BY216&lt;&gt;0,($C$27-$B216)*$BU216/BY216/$AD$51-$AC$60*$AD$51,0)</f>
        <v>-7.67432098559225E-005</v>
      </c>
      <c r="CB216" s="0" t="n">
        <f aca="false">BU216*1.001</f>
        <v>-0.00893181371213684</v>
      </c>
      <c r="CC216" s="0" t="n">
        <f aca="false">-CB216*$AC$51</f>
        <v>0.935337344709389</v>
      </c>
      <c r="CD216" s="0" t="n">
        <f aca="false">-CB216*$AD$51</f>
        <v>0.467668672354694</v>
      </c>
      <c r="CE216" s="0" t="n">
        <f aca="false">(-CC216+SQRT(CC216^2-4*$C216))/2</f>
        <v>2.74383155427606</v>
      </c>
      <c r="CF216" s="0" t="n">
        <f aca="false">(-CD216+SQRT(CD216^2-4*$D216))/2</f>
        <v>1.80324647108654</v>
      </c>
      <c r="CG216" s="0" t="n">
        <f aca="false">IF(CE216&lt;&gt;0,($C$21-$B216)*$CB216/CE216/$AC$51-$AC$60*$AC$51,0)</f>
        <v>-7.68030754911429E-005</v>
      </c>
      <c r="CH216" s="0" t="n">
        <f aca="false">IF(CF216&lt;&gt;0,($C$27-$B216)*$CB216/CF216/$AD$51-$AC$60*$AD$51,0)</f>
        <v>-7.68151054568135E-005</v>
      </c>
      <c r="CI216" s="0" t="n">
        <f aca="false">(CG216-BZ216)/($CB216-$BU216)</f>
        <v>0.00670738205931019</v>
      </c>
      <c r="CJ216" s="0" t="n">
        <f aca="false">(CH216-CA216)/($CB216-$BU216)</f>
        <v>0.00805743366480201</v>
      </c>
      <c r="CK216" s="0" t="n">
        <f aca="false">IF(CI216&lt;&gt;CJ216,(CA216-BZ216)/(CI216-CJ216),0)</f>
        <v>-1.21457641578664E-008</v>
      </c>
      <c r="CL216" s="6" t="str">
        <f aca="false">IF(AND(BU216&gt;0,CE216&gt;0,CE216&lt;$C$15,CF216&lt;$C$15,CG216&gt;0,ABS(CK216)&lt;0.1*BU216),B216,"")</f>
        <v/>
      </c>
      <c r="CM216" s="0" t="n">
        <f aca="false">CG216+BU216^2/$C$39</f>
        <v>-6.35334120562901E-005</v>
      </c>
      <c r="CN216" s="0" t="n">
        <f aca="false">-BU216*$C$15/$C$39</f>
        <v>0.00892289082131552</v>
      </c>
      <c r="CO216" s="0" t="n">
        <f aca="false">IF(CL216&lt;&gt;"",(-CM216+SQRT(CM216^2-4*$AC$60*CN216))/2/$AC$60,0)</f>
        <v>0</v>
      </c>
      <c r="CP216" s="0" t="n">
        <f aca="false">CO216*30/PI()</f>
        <v>0</v>
      </c>
      <c r="DB216" s="6"/>
    </row>
    <row r="217" customFormat="false" ht="12.75" hidden="false" customHeight="false" outlineLevel="0" collapsed="false">
      <c r="A217" s="0" t="n">
        <f aca="false">A216+0.01</f>
        <v>0.68</v>
      </c>
      <c r="B217" s="0" t="n">
        <f aca="false">A217*$AC$68</f>
        <v>1.3371608436288</v>
      </c>
      <c r="C217" s="0" t="n">
        <f aca="false">$C$39*($B217-$C$21)</f>
        <v>-9.9770349382272</v>
      </c>
      <c r="D217" s="0" t="n">
        <f aca="false">$C$39*($B217-$C$27)</f>
        <v>-3.9770349382272</v>
      </c>
      <c r="E217" s="0" t="n">
        <f aca="false">$AC$71</f>
        <v>0.0474257507541105</v>
      </c>
      <c r="F217" s="0" t="n">
        <f aca="false">-E217*$AC$51</f>
        <v>-4.96641300533647</v>
      </c>
      <c r="G217" s="0" t="n">
        <f aca="false">-E217*$AD$51</f>
        <v>-2.48320650266823</v>
      </c>
      <c r="H217" s="0" t="n">
        <f aca="false">(-F217+SQRT(F217^2-4*$C217))/2</f>
        <v>6.50108523069388</v>
      </c>
      <c r="I217" s="0" t="n">
        <f aca="false">(-G217+SQRT(G217^2-4*$D217))/2</f>
        <v>3.59077620621646</v>
      </c>
      <c r="J217" s="0" t="n">
        <f aca="false">IF(H217&lt;&gt;0,($C$21-$B217)*$E217/H217/$AC$51-$AC$60*$AC$51,0)</f>
        <v>9.13355811064364E-005</v>
      </c>
      <c r="K217" s="0" t="n">
        <f aca="false">IF(I217&lt;&gt;0,($C$27-$B217)*$E217/I217/$AD$51-$AC$60*$AD$51,0)</f>
        <v>0.000154948600882936</v>
      </c>
      <c r="L217" s="0" t="n">
        <f aca="false">E217*1.001</f>
        <v>0.0474731765048646</v>
      </c>
      <c r="M217" s="0" t="n">
        <f aca="false">-L217*$AC$51</f>
        <v>-4.97137941834181</v>
      </c>
      <c r="N217" s="0" t="n">
        <f aca="false">-L217*$AD$51</f>
        <v>-2.4856897091709</v>
      </c>
      <c r="O217" s="0" t="n">
        <f aca="false">(-M217+SQRT(M217^2-4*$C217))/2</f>
        <v>6.50510363019289</v>
      </c>
      <c r="P217" s="0" t="n">
        <f aca="false">(-N217+SQRT(N217^2-4*$D217))/2</f>
        <v>3.59267426771244</v>
      </c>
      <c r="Q217" s="0" t="n">
        <f aca="false">IF(O217&lt;&gt;0,($C$21-$B217)*$L217/O217/$AC$51-$AC$60*$AC$51,0)</f>
        <v>9.1379790800367E-005</v>
      </c>
      <c r="R217" s="0" t="n">
        <f aca="false">IF(P217&lt;&gt;0,($C$27-$B217)*$L217/P217/$AD$51-$AC$60*$AD$51,0)</f>
        <v>0.000155027378226942</v>
      </c>
      <c r="S217" s="0" t="n">
        <f aca="false">(Q217-J217)/($L217-$E217)</f>
        <v>0.000932187540051824</v>
      </c>
      <c r="T217" s="0" t="n">
        <f aca="false">(R217-K217)/($L217-$E217)</f>
        <v>0.00166106688355971</v>
      </c>
      <c r="U217" s="0" t="n">
        <f aca="false">IF(S217&lt;&gt;T217,(K217-J217)/(S217-T217),0)</f>
        <v>-0.0872751029962634</v>
      </c>
      <c r="V217" s="0" t="n">
        <f aca="false">E217+U217</f>
        <v>-0.039849352242153</v>
      </c>
      <c r="W217" s="0" t="n">
        <f aca="false">-V217*$AC$51</f>
        <v>4.17301440847532</v>
      </c>
      <c r="X217" s="0" t="n">
        <f aca="false">-V217*$AD$51</f>
        <v>2.08650720423766</v>
      </c>
      <c r="Y217" s="0" t="n">
        <f aca="false">(-W217+SQRT(W217^2-4*$C217))/2</f>
        <v>1.69906372384741</v>
      </c>
      <c r="Z217" s="0" t="n">
        <f aca="false">(-X217+SQRT(X217^2-4*$D217))/2</f>
        <v>1.20739364180037</v>
      </c>
      <c r="AA217" s="0" t="n">
        <f aca="false">IF(Y217&lt;&gt;0,($C$21-$B217)*$V217/Y217/$AC$51-$AC$60*$AC$51,0)</f>
        <v>-0.000396922328439666</v>
      </c>
      <c r="AB217" s="0" t="n">
        <f aca="false">IF(Z217&lt;&gt;0,($C$27-$B217)*$V217/Z217/$AD$51-$AC$60*$AD$51,0)</f>
        <v>-0.000430064034532321</v>
      </c>
      <c r="AC217" s="0" t="n">
        <f aca="false">V217*1.001</f>
        <v>-0.0398892015943951</v>
      </c>
      <c r="AD217" s="0" t="n">
        <f aca="false">-AC217*$AC$51</f>
        <v>4.1771874228838</v>
      </c>
      <c r="AE217" s="0" t="n">
        <f aca="false">-AC217*$AD$51</f>
        <v>2.0885937114419</v>
      </c>
      <c r="AF217" s="0" t="n">
        <f aca="false">(-AD217+SQRT(AD217^2-4*$C217))/2</f>
        <v>1.6981276447846</v>
      </c>
      <c r="AG217" s="0" t="n">
        <f aca="false">(-AE217+SQRT(AE217^2-4*$D217))/2</f>
        <v>1.20683416247765</v>
      </c>
      <c r="AH217" s="0" t="n">
        <f aca="false">IF(AF217&lt;&gt;0,($C$21-$B217)*$AC217/AF217/$AC$51-$AC$60*$AC$51,0)</f>
        <v>-0.00039750024753434</v>
      </c>
      <c r="AI217" s="0" t="n">
        <f aca="false">IF(AG217&lt;&gt;0,($C$27-$B217)*$AC217/AG217/$AD$51-$AC$60*$AD$51,0)</f>
        <v>-0.000430675736173051</v>
      </c>
      <c r="AJ217" s="0" t="n">
        <f aca="false">(AH217-AA217)/($AC217-$V217)</f>
        <v>0.0145025969597337</v>
      </c>
      <c r="AK217" s="0" t="n">
        <f aca="false">(AI217-AB217)/($AC217-$V217)</f>
        <v>0.0153503534263788</v>
      </c>
      <c r="AL217" s="0" t="n">
        <f aca="false">IF(AJ217&lt;&gt;AK217,(AB217-AA217)/(AJ217-AK217),0)</f>
        <v>0.0390934276488749</v>
      </c>
      <c r="AM217" s="0" t="n">
        <f aca="false">V217+AL217</f>
        <v>-0.000755924593278008</v>
      </c>
      <c r="AN217" s="0" t="n">
        <f aca="false">-AM217*$AC$51</f>
        <v>0.0791602382970014</v>
      </c>
      <c r="AO217" s="0" t="n">
        <f aca="false">-AM217*$AD$51</f>
        <v>0.0395801191485007</v>
      </c>
      <c r="AP217" s="0" t="n">
        <f aca="false">(-AN217+SQRT(AN217^2-4*$C217))/2</f>
        <v>3.11931233297123</v>
      </c>
      <c r="AQ217" s="0" t="n">
        <f aca="false">(-AO217+SQRT(AO217^2-4*$D217))/2</f>
        <v>1.97455860219108</v>
      </c>
      <c r="AR217" s="0" t="n">
        <f aca="false">IF(AP217&lt;&gt;0,($C$21-$B217)*$AM217/AP217/$AC$51-$AC$60*$AC$51,0)</f>
        <v>-2.83501878946373E-005</v>
      </c>
      <c r="AS217" s="0" t="n">
        <f aca="false">IF(AQ217&lt;&gt;0,($C$27-$B217)*$AM217/AQ217/$AD$51-$AC$60*$AD$51,0)</f>
        <v>-1.70974523673332E-005</v>
      </c>
      <c r="AT217" s="0" t="n">
        <f aca="false">AM217*1.001</f>
        <v>-0.000756680517871286</v>
      </c>
      <c r="AU217" s="0" t="n">
        <f aca="false">-AT217*$AC$51</f>
        <v>0.0792393985352984</v>
      </c>
      <c r="AV217" s="0" t="n">
        <f aca="false">-AT217*$AD$51</f>
        <v>0.0396196992676492</v>
      </c>
      <c r="AW217" s="0" t="n">
        <f aca="false">(-AU217+SQRT(AU217^2-4*$C217))/2</f>
        <v>3.11927324902884</v>
      </c>
      <c r="AX217" s="0" t="n">
        <f aca="false">(-AV217+SQRT(AV217^2-4*$D217))/2</f>
        <v>1.97453900860781</v>
      </c>
      <c r="AY217" s="0" t="n">
        <f aca="false">IF(AW217&lt;&gt;0,($C$21-$B217)*$AT217/AW217/$AC$51-$AC$60*$AC$51,0)</f>
        <v>-2.83540842130016E-005</v>
      </c>
      <c r="AZ217" s="0" t="n">
        <f aca="false">IF(AX217&lt;&gt;0,($C$27-$B217)*$AT217/AX217/$AD$51-$AC$60*$AD$51,0)</f>
        <v>-1.71023468924535E-005</v>
      </c>
      <c r="BA217" s="0" t="n">
        <f aca="false">(AY217-AR217)/($AT217-$AM217)</f>
        <v>0.0051543743899575</v>
      </c>
      <c r="BB217" s="0" t="n">
        <f aca="false">(AZ217-AS217)/($AT217-$AM217)</f>
        <v>0.00647488541022011</v>
      </c>
      <c r="BC217" s="0" t="n">
        <f aca="false">IF(BA217&lt;&gt;BB217,(AS217-AR217)/(BA217-BB217),0)</f>
        <v>-0.00852150065742445</v>
      </c>
      <c r="BD217" s="0" t="n">
        <f aca="false">AM217+BC217</f>
        <v>-0.00927742525070246</v>
      </c>
      <c r="BE217" s="0" t="n">
        <f aca="false">-BD217*$AC$51</f>
        <v>0.97152970039451</v>
      </c>
      <c r="BF217" s="0" t="n">
        <f aca="false">-BD217*$AD$51</f>
        <v>0.485764850197255</v>
      </c>
      <c r="BG217" s="0" t="n">
        <f aca="false">(-BE217+SQRT(BE217^2-4*$C217))/2</f>
        <v>2.71001399507886</v>
      </c>
      <c r="BH217" s="0" t="n">
        <f aca="false">(-BF217+SQRT(BF217^2-4*$D217))/2</f>
        <v>1.76610408820827</v>
      </c>
      <c r="BI217" s="0" t="n">
        <f aca="false">IF(BG217&lt;&gt;0,($C$21-$B217)*$BD217/BG217/$AC$51-$AC$60*$AC$51,0)</f>
        <v>-7.88618962285249E-005</v>
      </c>
      <c r="BJ217" s="0" t="n">
        <f aca="false">IF(BH217&lt;&gt;0,($C$27-$B217)*$BD217/BH217/$AD$51-$AC$60*$AD$51,0)</f>
        <v>-7.87509220957192E-005</v>
      </c>
      <c r="BK217" s="0" t="n">
        <f aca="false">BD217*1.001</f>
        <v>-0.00928670267595316</v>
      </c>
      <c r="BL217" s="0" t="n">
        <f aca="false">-BK217*$AC$51</f>
        <v>0.972501230094904</v>
      </c>
      <c r="BM217" s="0" t="n">
        <f aca="false">-BK217*$AD$51</f>
        <v>0.486250615047452</v>
      </c>
      <c r="BN217" s="0" t="n">
        <f aca="false">(-BL217+SQRT(BL217^2-4*$C217))/2</f>
        <v>2.70960210353349</v>
      </c>
      <c r="BO217" s="0" t="n">
        <f aca="false">(-BM217+SQRT(BM217^2-4*$D217))/2</f>
        <v>1.7658905842466</v>
      </c>
      <c r="BP217" s="0" t="n">
        <f aca="false">IF(BN217&lt;&gt;0,($C$21-$B217)*$BK217/BN217/$AC$51-$AC$60*$AC$51,0)</f>
        <v>-7.89245275813656E-005</v>
      </c>
      <c r="BQ217" s="0" t="n">
        <f aca="false">IF(BO217&lt;&gt;0,($C$27-$B217)*$BK217/BO217/$AD$51-$AC$60*$AD$51,0)</f>
        <v>-7.88254701172322E-005</v>
      </c>
      <c r="BR217" s="0" t="n">
        <f aca="false">(BP217-BI217)/($BK217-$BD217)</f>
        <v>0.0067509412523712</v>
      </c>
      <c r="BS217" s="0" t="n">
        <f aca="false">(BQ217-BJ217)/($BK217-$BD217)</f>
        <v>0.00803542141256711</v>
      </c>
      <c r="BT217" s="0" t="n">
        <f aca="false">IF(BR217&lt;&gt;BS217,(BJ217-BI217)/(BR217-BS217),0)</f>
        <v>-8.63961439379143E-005</v>
      </c>
      <c r="BU217" s="0" t="n">
        <f aca="false">BD217+BT217</f>
        <v>-0.00936382139464037</v>
      </c>
      <c r="BV217" s="0" t="n">
        <f aca="false">-BU217*$AC$51</f>
        <v>0.980577083430971</v>
      </c>
      <c r="BW217" s="0" t="n">
        <f aca="false">-BU217*$AD$51</f>
        <v>0.490288541715485</v>
      </c>
      <c r="BX217" s="0" t="n">
        <f aca="false">(-BV217+SQRT(BV217^2-4*$C217))/2</f>
        <v>2.70618104086538</v>
      </c>
      <c r="BY217" s="0" t="n">
        <f aca="false">(-BW217+SQRT(BW217^2-4*$D217))/2</f>
        <v>1.76411694953187</v>
      </c>
      <c r="BZ217" s="0" t="n">
        <f aca="false">IF(BX217&lt;&gt;0,($C$21-$B217)*$BU217/BX217/$AC$51-$AC$60*$AC$51,0)</f>
        <v>-7.94458327850069E-005</v>
      </c>
      <c r="CA217" s="0" t="n">
        <f aca="false">IF(BY217&lt;&gt;0,($C$27-$B217)*$BU217/BY217/$AD$51-$AC$60*$AD$51,0)</f>
        <v>-7.9445807285406E-005</v>
      </c>
      <c r="CB217" s="0" t="n">
        <f aca="false">BU217*1.001</f>
        <v>-0.00937318521603501</v>
      </c>
      <c r="CC217" s="0" t="n">
        <f aca="false">-CB217*$AC$51</f>
        <v>0.981557660514402</v>
      </c>
      <c r="CD217" s="0" t="n">
        <f aca="false">-CB217*$AD$51</f>
        <v>0.490778830257201</v>
      </c>
      <c r="CE217" s="0" t="n">
        <f aca="false">(-CC217+SQRT(CC217^2-4*$C217))/2</f>
        <v>2.70576599164908</v>
      </c>
      <c r="CF217" s="0" t="n">
        <f aca="false">(-CD217+SQRT(CD217^2-4*$D217))/2</f>
        <v>1.76390172935105</v>
      </c>
      <c r="CG217" s="0" t="n">
        <f aca="false">IF(CE217&lt;&gt;0,($C$21-$B217)*$CB217/CE217/$AC$51-$AC$60*$AC$51,0)</f>
        <v>-7.95092129657554E-005</v>
      </c>
      <c r="CH217" s="0" t="n">
        <f aca="false">IF(CF217&lt;&gt;0,($C$27-$B217)*$CB217/CF217/$AD$51-$AC$60*$AD$51,0)</f>
        <v>-7.95212089038743E-005</v>
      </c>
      <c r="CI217" s="0" t="n">
        <f aca="false">(CG217-BZ217)/($CB217-$BU217)</f>
        <v>0.00676862341530696</v>
      </c>
      <c r="CJ217" s="0" t="n">
        <f aca="false">(CH217-CA217)/($CB217-$BU217)</f>
        <v>0.00805244090958665</v>
      </c>
      <c r="CK217" s="0" t="n">
        <f aca="false">IF(CI217&lt;&gt;CJ217,(CA217-BZ217)/(CI217-CJ217),0)</f>
        <v>-1.98623254037362E-008</v>
      </c>
      <c r="CL217" s="6" t="str">
        <f aca="false">IF(AND(BU217&gt;0,CE217&gt;0,CE217&lt;$C$15,CF217&lt;$C$15,CG217&gt;0,ABS(CK217)&lt;0.1*BU217),B217,"")</f>
        <v/>
      </c>
      <c r="CM217" s="0" t="n">
        <f aca="false">CG217+BU217^2/$C$39</f>
        <v>-6.48956877806346E-005</v>
      </c>
      <c r="CN217" s="0" t="n">
        <f aca="false">-BU217*$C$15/$C$39</f>
        <v>0.00936382139464037</v>
      </c>
      <c r="CO217" s="0" t="n">
        <f aca="false">IF(CL217&lt;&gt;"",(-CM217+SQRT(CM217^2-4*$AC$60*CN217))/2/$AC$60,0)</f>
        <v>0</v>
      </c>
      <c r="CP217" s="0" t="n">
        <f aca="false">CO217*30/PI()</f>
        <v>0</v>
      </c>
      <c r="DB217" s="6"/>
    </row>
    <row r="218" customFormat="false" ht="12.75" hidden="false" customHeight="false" outlineLevel="0" collapsed="false">
      <c r="A218" s="0" t="n">
        <f aca="false">A217+0.01</f>
        <v>0.69</v>
      </c>
      <c r="B218" s="0" t="n">
        <f aca="false">A218*$AC$68</f>
        <v>1.35682497368216</v>
      </c>
      <c r="C218" s="0" t="n">
        <f aca="false">$C$39*($B218-$C$21)</f>
        <v>-9.85905015790701</v>
      </c>
      <c r="D218" s="0" t="n">
        <f aca="false">$C$39*($B218-$C$27)</f>
        <v>-3.85905015790701</v>
      </c>
      <c r="E218" s="0" t="n">
        <f aca="false">$AC$71</f>
        <v>0.0474257507541105</v>
      </c>
      <c r="F218" s="0" t="n">
        <f aca="false">-E218*$AC$51</f>
        <v>-4.96641300533647</v>
      </c>
      <c r="G218" s="0" t="n">
        <f aca="false">-E218*$AD$51</f>
        <v>-2.48320650266823</v>
      </c>
      <c r="H218" s="0" t="n">
        <f aca="false">(-F218+SQRT(F218^2-4*$C218))/2</f>
        <v>6.48637583368595</v>
      </c>
      <c r="I218" s="0" t="n">
        <f aca="false">(-G218+SQRT(G218^2-4*$D218))/2</f>
        <v>3.56552854953767</v>
      </c>
      <c r="J218" s="0" t="n">
        <f aca="false">IF(H218&lt;&gt;0,($C$21-$B218)*$E218/H218/$AC$51-$AC$60*$AC$51,0)</f>
        <v>9.02253095449015E-005</v>
      </c>
      <c r="K218" s="0" t="n">
        <f aca="false">IF(I218&lt;&gt;0,($C$27-$B218)*$E218/I218/$AD$51-$AC$60*$AD$51,0)</f>
        <v>0.000151137193088212</v>
      </c>
      <c r="L218" s="0" t="n">
        <f aca="false">E218*1.001</f>
        <v>0.0474731765048646</v>
      </c>
      <c r="M218" s="0" t="n">
        <f aca="false">-L218*$AC$51</f>
        <v>-4.97137941834181</v>
      </c>
      <c r="N218" s="0" t="n">
        <f aca="false">-L218*$AD$51</f>
        <v>-2.4856897091709</v>
      </c>
      <c r="O218" s="0" t="n">
        <f aca="false">(-M218+SQRT(M218^2-4*$C218))/2</f>
        <v>6.49039987198982</v>
      </c>
      <c r="P218" s="0" t="n">
        <f aca="false">(-N218+SQRT(N218^2-4*$D218))/2</f>
        <v>3.56743374092139</v>
      </c>
      <c r="Q218" s="0" t="n">
        <f aca="false">IF(O218&lt;&gt;0,($C$21-$B218)*$L218/O218/$AC$51-$AC$60*$AC$51,0)</f>
        <v>9.02688350122871E-005</v>
      </c>
      <c r="R218" s="0" t="n">
        <f aca="false">IF(P218&lt;&gt;0,($C$27-$B218)*$L218/P218/$AD$51-$AC$60*$AD$51,0)</f>
        <v>0.000151213236434694</v>
      </c>
      <c r="S218" s="0" t="n">
        <f aca="false">(Q218-J218)/($L218-$E218)</f>
        <v>0.000917760218731575</v>
      </c>
      <c r="T218" s="0" t="n">
        <f aca="false">(R218-K218)/($L218-$E218)</f>
        <v>0.00160341892901014</v>
      </c>
      <c r="U218" s="0" t="n">
        <f aca="false">IF(S218&lt;&gt;T218,(K218-J218)/(S218-T218),0)</f>
        <v>-0.0888370301874588</v>
      </c>
      <c r="V218" s="0" t="n">
        <f aca="false">E218+U218</f>
        <v>-0.0414112794333483</v>
      </c>
      <c r="W218" s="0" t="n">
        <f aca="false">-V218*$AC$51</f>
        <v>4.33657904145204</v>
      </c>
      <c r="X218" s="0" t="n">
        <f aca="false">-V218*$AD$51</f>
        <v>2.16828952072602</v>
      </c>
      <c r="Y218" s="0" t="n">
        <f aca="false">(-W218+SQRT(W218^2-4*$C218))/2</f>
        <v>1.64753668123828</v>
      </c>
      <c r="Z218" s="0" t="n">
        <f aca="false">(-X218+SQRT(X218^2-4*$D218))/2</f>
        <v>1.1596065670638</v>
      </c>
      <c r="AA218" s="0" t="n">
        <f aca="false">IF(Y218&lt;&gt;0,($C$21-$B218)*$V218/Y218/$AC$51-$AC$60*$AC$51,0)</f>
        <v>-0.000418903819976559</v>
      </c>
      <c r="AB218" s="0" t="n">
        <f aca="false">IF(Z218&lt;&gt;0,($C$27-$B218)*$V218/Z218/$AD$51-$AC$60*$AD$51,0)</f>
        <v>-0.000450921671007337</v>
      </c>
      <c r="AC218" s="0" t="n">
        <f aca="false">V218*1.001</f>
        <v>-0.0414526907127817</v>
      </c>
      <c r="AD218" s="0" t="n">
        <f aca="false">-AC218*$AC$51</f>
        <v>4.34091562049349</v>
      </c>
      <c r="AE218" s="0" t="n">
        <f aca="false">-AC218*$AD$51</f>
        <v>2.17045781024674</v>
      </c>
      <c r="AF218" s="0" t="n">
        <f aca="false">(-AD218+SQRT(AD218^2-4*$C218))/2</f>
        <v>1.64660090871058</v>
      </c>
      <c r="AG218" s="0" t="n">
        <f aca="false">(-AE218+SQRT(AE218^2-4*$D218))/2</f>
        <v>1.15904646443855</v>
      </c>
      <c r="AH218" s="0" t="n">
        <f aca="false">IF(AF218&lt;&gt;0,($C$21-$B218)*$AC218/AF218/$AC$51-$AC$60*$AC$51,0)</f>
        <v>-0.000419522586493755</v>
      </c>
      <c r="AI218" s="0" t="n">
        <f aca="false">IF(AG218&lt;&gt;0,($C$27-$B218)*$AC218/AG218/$AD$51-$AC$60*$AD$51,0)</f>
        <v>-0.00045157253867654</v>
      </c>
      <c r="AJ218" s="0" t="n">
        <f aca="false">(AH218-AA218)/($AC218-$V218)</f>
        <v>0.0149419801962954</v>
      </c>
      <c r="AK218" s="0" t="n">
        <f aca="false">(AI218-AB218)/($AC218-$V218)</f>
        <v>0.015717159143826</v>
      </c>
      <c r="AL218" s="0" t="n">
        <f aca="false">IF(AJ218&lt;&gt;AK218,(AB218-AA218)/(AJ218-AK218),0)</f>
        <v>0.0413038191152823</v>
      </c>
      <c r="AM218" s="0" t="n">
        <f aca="false">V218+AL218</f>
        <v>-0.000107460318066036</v>
      </c>
      <c r="AN218" s="0" t="n">
        <f aca="false">-AM218*$AC$51</f>
        <v>0.011253218192956</v>
      </c>
      <c r="AO218" s="0" t="n">
        <f aca="false">-AM218*$AD$51</f>
        <v>0.00562660909647799</v>
      </c>
      <c r="AP218" s="0" t="n">
        <f aca="false">(-AN218+SQRT(AN218^2-4*$C218))/2</f>
        <v>3.13429087654497</v>
      </c>
      <c r="AQ218" s="0" t="n">
        <f aca="false">(-AO218+SQRT(AO218^2-4*$D218))/2</f>
        <v>1.96163523705052</v>
      </c>
      <c r="AR218" s="0" t="n">
        <f aca="false">IF(AP218&lt;&gt;0,($C$21-$B218)*$AM218/AP218/$AC$51-$AC$60*$AC$51,0)</f>
        <v>-2.50401105899634E-005</v>
      </c>
      <c r="AS218" s="0" t="n">
        <f aca="false">IF(AQ218&lt;&gt;0,($C$27-$B218)*$AM218/AQ218/$AD$51-$AC$60*$AD$51,0)</f>
        <v>-1.29239819190567E-005</v>
      </c>
      <c r="AT218" s="0" t="n">
        <f aca="false">AM218*1.001</f>
        <v>-0.000107567778384102</v>
      </c>
      <c r="AU218" s="0" t="n">
        <f aca="false">-AT218*$AC$51</f>
        <v>0.0112644714111489</v>
      </c>
      <c r="AV218" s="0" t="n">
        <f aca="false">-AT218*$AD$51</f>
        <v>0.00563223570557447</v>
      </c>
      <c r="AW218" s="0" t="n">
        <f aca="false">(-AU218+SQRT(AU218^2-4*$C218))/2</f>
        <v>3.13428526002358</v>
      </c>
      <c r="AX218" s="0" t="n">
        <f aca="false">(-AV218+SQRT(AV218^2-4*$D218))/2</f>
        <v>1.96163242777695</v>
      </c>
      <c r="AY218" s="0" t="n">
        <f aca="false">IF(AW218&lt;&gt;0,($C$21-$B218)*$AT218/AW218/$AC$51-$AC$60*$AC$51,0)</f>
        <v>-2.50406495323618E-005</v>
      </c>
      <c r="AZ218" s="0" t="n">
        <f aca="false">IF(AX218&lt;&gt;0,($C$27-$B218)*$AT218/AX218/$AD$51-$AC$60*$AD$51,0)</f>
        <v>-1.29246557990327E-005</v>
      </c>
      <c r="BA218" s="0" t="n">
        <f aca="false">(AY218-AR218)/($AT218-$AM218)</f>
        <v>0.00501526896657987</v>
      </c>
      <c r="BB218" s="0" t="n">
        <f aca="false">(AZ218-AS218)/($AT218-$AM218)</f>
        <v>0.00627096576874793</v>
      </c>
      <c r="BC218" s="0" t="n">
        <f aca="false">IF(BA218&lt;&gt;BB218,(AS218-AR218)/(BA218-BB218),0)</f>
        <v>-0.00964892850725383</v>
      </c>
      <c r="BD218" s="0" t="n">
        <f aca="false">AM218+BC218</f>
        <v>-0.00975638882531987</v>
      </c>
      <c r="BE218" s="0" t="n">
        <f aca="false">-BD218*$AC$51</f>
        <v>1.02168664863968</v>
      </c>
      <c r="BF218" s="0" t="n">
        <f aca="false">-BD218*$AD$51</f>
        <v>0.510843324319841</v>
      </c>
      <c r="BG218" s="0" t="n">
        <f aca="false">(-BE218+SQRT(BE218^2-4*$C218))/2</f>
        <v>2.67035315812339</v>
      </c>
      <c r="BH218" s="0" t="n">
        <f aca="false">(-BF218+SQRT(BF218^2-4*$D218))/2</f>
        <v>1.72556051428881</v>
      </c>
      <c r="BI218" s="0" t="n">
        <f aca="false">IF(BG218&lt;&gt;0,($C$21-$B218)*$BD218/BG218/$AC$51-$AC$60*$AC$51,0)</f>
        <v>-8.18312969069646E-005</v>
      </c>
      <c r="BJ218" s="0" t="n">
        <f aca="false">IF(BH218&lt;&gt;0,($C$27-$B218)*$BD218/BH218/$AD$51-$AC$60*$AD$51,0)</f>
        <v>-8.17038181957529E-005</v>
      </c>
      <c r="BK218" s="0" t="n">
        <f aca="false">BD218*1.001</f>
        <v>-0.00976614521414519</v>
      </c>
      <c r="BL218" s="0" t="n">
        <f aca="false">-BK218*$AC$51</f>
        <v>1.02270833528832</v>
      </c>
      <c r="BM218" s="0" t="n">
        <f aca="false">-BK218*$AD$51</f>
        <v>0.51135416764416</v>
      </c>
      <c r="BN218" s="0" t="n">
        <f aca="false">(-BL218+SQRT(BL218^2-4*$C218))/2</f>
        <v>2.6699243870684</v>
      </c>
      <c r="BO218" s="0" t="n">
        <f aca="false">(-BM218+SQRT(BM218^2-4*$D218))/2</f>
        <v>1.7253380420916</v>
      </c>
      <c r="BP218" s="0" t="n">
        <f aca="false">IF(BN218&lt;&gt;0,($C$21-$B218)*$BK218/BN218/$AC$51-$AC$60*$AC$51,0)</f>
        <v>-8.1897841937322E-005</v>
      </c>
      <c r="BQ218" s="0" t="n">
        <f aca="false">IF(BO218&lt;&gt;0,($C$27-$B218)*$BK218/BO218/$AD$51-$AC$60*$AD$51,0)</f>
        <v>-8.17822354268813E-005</v>
      </c>
      <c r="BR218" s="0" t="n">
        <f aca="false">(BP218-BI218)/($BK218-$BD218)</f>
        <v>0.00682066198352868</v>
      </c>
      <c r="BS218" s="0" t="n">
        <f aca="false">(BQ218-BJ218)/($BK218-$BD218)</f>
        <v>0.00803752623356614</v>
      </c>
      <c r="BT218" s="0" t="n">
        <f aca="false">IF(BR218&lt;&gt;BS218,(BJ218-BI218)/(BR218-BS218),0)</f>
        <v>-0.000104760010171927</v>
      </c>
      <c r="BU218" s="0" t="n">
        <f aca="false">BD218+BT218</f>
        <v>-0.00986114883549179</v>
      </c>
      <c r="BV218" s="0" t="n">
        <f aca="false">-BU218*$AC$51</f>
        <v>1.03265709125122</v>
      </c>
      <c r="BW218" s="0" t="n">
        <f aca="false">-BU218*$AD$51</f>
        <v>0.516328545625609</v>
      </c>
      <c r="BX218" s="0" t="n">
        <f aca="false">(-BV218+SQRT(BV218^2-4*$C218))/2</f>
        <v>2.66575337112871</v>
      </c>
      <c r="BY218" s="0" t="n">
        <f aca="false">(-BW218+SQRT(BW218^2-4*$D218))/2</f>
        <v>1.72317339393256</v>
      </c>
      <c r="BZ218" s="0" t="n">
        <f aca="false">IF(BX218&lt;&gt;0,($C$21-$B218)*$BU218/BX218/$AC$51-$AC$60*$AC$51,0)</f>
        <v>-8.25468577076552E-005</v>
      </c>
      <c r="CA218" s="0" t="n">
        <f aca="false">IF(BY218&lt;&gt;0,($C$27-$B218)*$BU218/BY218/$AD$51-$AC$60*$AD$51,0)</f>
        <v>-8.25468190321254E-005</v>
      </c>
      <c r="CB218" s="0" t="n">
        <f aca="false">BU218*1.001</f>
        <v>-0.00987100998432728</v>
      </c>
      <c r="CC218" s="0" t="n">
        <f aca="false">-CB218*$AC$51</f>
        <v>1.03368974834247</v>
      </c>
      <c r="CD218" s="0" t="n">
        <f aca="false">-CB218*$AD$51</f>
        <v>0.516844874171235</v>
      </c>
      <c r="CE218" s="0" t="n">
        <f aca="false">(-CC218+SQRT(CC218^2-4*$C218))/2</f>
        <v>2.66532086347728</v>
      </c>
      <c r="CF218" s="0" t="n">
        <f aca="false">(-CD218+SQRT(CD218^2-4*$D218))/2</f>
        <v>1.72294888447334</v>
      </c>
      <c r="CG218" s="0" t="n">
        <f aca="false">IF(CE218&lt;&gt;0,($C$21-$B218)*$CB218/CE218/$AC$51-$AC$60*$AC$51,0)</f>
        <v>-8.26143309000952E-005</v>
      </c>
      <c r="CH218" s="0" t="n">
        <f aca="false">IF(CF218&lt;&gt;0,($C$27-$B218)*$CB218/CF218/$AD$51-$AC$60*$AD$51,0)</f>
        <v>-8.2626283857173E-005</v>
      </c>
      <c r="CI218" s="0" t="n">
        <f aca="false">(CG218-BZ218)/($CB218-$BU218)</f>
        <v>0.00684232573360585</v>
      </c>
      <c r="CJ218" s="0" t="n">
        <f aca="false">(CH218-CA218)/($CB218-$BU218)</f>
        <v>0.00805837396567896</v>
      </c>
      <c r="CK218" s="0" t="n">
        <f aca="false">IF(CI218&lt;&gt;CJ218,(CA218-BZ218)/(CI218-CJ218),0)</f>
        <v>-3.18042728784376E-008</v>
      </c>
      <c r="CL218" s="6" t="str">
        <f aca="false">IF(AND(BU218&gt;0,CE218&gt;0,CE218&lt;$C$15,CF218&lt;$C$15,CG218&gt;0,ABS(CK218)&lt;0.1*BU218),B218,"")</f>
        <v/>
      </c>
      <c r="CM218" s="0" t="n">
        <f aca="false">CG218+BU218^2/$C$39</f>
        <v>-6.64072881741416E-005</v>
      </c>
      <c r="CN218" s="0" t="n">
        <f aca="false">-BU218*$C$15/$C$39</f>
        <v>0.00986114883549179</v>
      </c>
      <c r="CO218" s="0" t="n">
        <f aca="false">IF(CL218&lt;&gt;"",(-CM218+SQRT(CM218^2-4*$AC$60*CN218))/2/$AC$60,0)</f>
        <v>0</v>
      </c>
      <c r="CP218" s="0" t="n">
        <f aca="false">CO218*30/PI()</f>
        <v>0</v>
      </c>
      <c r="DB218" s="6"/>
    </row>
    <row r="219" customFormat="false" ht="12.75" hidden="false" customHeight="false" outlineLevel="0" collapsed="false">
      <c r="A219" s="0" t="n">
        <f aca="false">A218+0.01</f>
        <v>0.7</v>
      </c>
      <c r="B219" s="0" t="n">
        <f aca="false">A219*$AC$68</f>
        <v>1.37648910373553</v>
      </c>
      <c r="C219" s="0" t="n">
        <f aca="false">$C$39*($B219-$C$21)</f>
        <v>-9.74106537758683</v>
      </c>
      <c r="D219" s="0" t="n">
        <f aca="false">$C$39*($B219-$C$27)</f>
        <v>-3.74106537758682</v>
      </c>
      <c r="E219" s="0" t="n">
        <f aca="false">$AC$71</f>
        <v>0.0474257507541105</v>
      </c>
      <c r="F219" s="0" t="n">
        <f aca="false">-E219*$AC$51</f>
        <v>-4.96641300533647</v>
      </c>
      <c r="G219" s="0" t="n">
        <f aca="false">-E219*$AD$51</f>
        <v>-2.48320650266823</v>
      </c>
      <c r="H219" s="0" t="n">
        <f aca="false">(-F219+SQRT(F219^2-4*$C219))/2</f>
        <v>6.47161218821235</v>
      </c>
      <c r="I219" s="0" t="n">
        <f aca="false">(-G219+SQRT(G219^2-4*$D219))/2</f>
        <v>3.54000356705596</v>
      </c>
      <c r="J219" s="0" t="n">
        <f aca="false">IF(H219&lt;&gt;0,($C$21-$B219)*$E219/H219/$AC$51-$AC$60*$AC$51,0)</f>
        <v>8.91109432860345E-005</v>
      </c>
      <c r="K219" s="0" t="n">
        <f aca="false">IF(I219&lt;&gt;0,($C$27-$B219)*$E219/I219/$AD$51-$AC$60*$AD$51,0)</f>
        <v>0.000147283919953654</v>
      </c>
      <c r="L219" s="0" t="n">
        <f aca="false">E219*1.001</f>
        <v>0.0474731765048646</v>
      </c>
      <c r="M219" s="0" t="n">
        <f aca="false">-L219*$AC$51</f>
        <v>-4.97137941834181</v>
      </c>
      <c r="N219" s="0" t="n">
        <f aca="false">-L219*$AD$51</f>
        <v>-2.4856897091709</v>
      </c>
      <c r="O219" s="0" t="n">
        <f aca="false">(-M219+SQRT(M219^2-4*$C219))/2</f>
        <v>6.4756419279155</v>
      </c>
      <c r="P219" s="0" t="n">
        <f aca="false">(-N219+SQRT(N219^2-4*$D219))/2</f>
        <v>3.54191612580702</v>
      </c>
      <c r="Q219" s="0" t="n">
        <f aca="false">IF(O219&lt;&gt;0,($C$21-$B219)*$L219/O219/$AC$51-$AC$60*$AC$51,0)</f>
        <v>8.91537851615552E-005</v>
      </c>
      <c r="R219" s="0" t="n">
        <f aca="false">IF(P219&lt;&gt;0,($C$27-$B219)*$L219/P219/$AD$51-$AC$60*$AD$51,0)</f>
        <v>0.000147357223323245</v>
      </c>
      <c r="S219" s="0" t="n">
        <f aca="false">(Q219-J219)/($L219-$E219)</f>
        <v>0.000903346280015842</v>
      </c>
      <c r="T219" s="0" t="n">
        <f aca="false">(R219-K219)/($L219-$E219)</f>
        <v>0.00154564489597348</v>
      </c>
      <c r="U219" s="0" t="n">
        <f aca="false">IF(S219&lt;&gt;T219,(K219-J219)/(S219-T219),0)</f>
        <v>-0.0905699860194865</v>
      </c>
      <c r="V219" s="0" t="n">
        <f aca="false">E219+U219</f>
        <v>-0.043144235265376</v>
      </c>
      <c r="W219" s="0" t="n">
        <f aca="false">-V219*$AC$51</f>
        <v>4.51805375181517</v>
      </c>
      <c r="X219" s="0" t="n">
        <f aca="false">-V219*$AD$51</f>
        <v>2.25902687590758</v>
      </c>
      <c r="Y219" s="0" t="n">
        <f aca="false">(-W219+SQRT(W219^2-4*$C219))/2</f>
        <v>1.59379907443842</v>
      </c>
      <c r="Z219" s="0" t="n">
        <f aca="false">(-X219+SQRT(X219^2-4*$D219))/2</f>
        <v>1.11032271322</v>
      </c>
      <c r="AA219" s="0" t="n">
        <f aca="false">IF(Y219&lt;&gt;0,($C$21-$B219)*$V219/Y219/$AC$51-$AC$60*$AC$51,0)</f>
        <v>-0.000444179738341197</v>
      </c>
      <c r="AB219" s="0" t="n">
        <f aca="false">IF(Z219&lt;&gt;0,($C$27-$B219)*$V219/Z219/$AD$51-$AC$60*$AD$51,0)</f>
        <v>-0.000474971818117829</v>
      </c>
      <c r="AC219" s="0" t="n">
        <f aca="false">V219*1.001</f>
        <v>-0.0431873795006414</v>
      </c>
      <c r="AD219" s="0" t="n">
        <f aca="false">-AC219*$AC$51</f>
        <v>4.52257180556698</v>
      </c>
      <c r="AE219" s="0" t="n">
        <f aca="false">-AC219*$AD$51</f>
        <v>2.26128590278349</v>
      </c>
      <c r="AF219" s="0" t="n">
        <f aca="false">(-AD219+SQRT(AD219^2-4*$C219))/2</f>
        <v>1.59286501690221</v>
      </c>
      <c r="AG219" s="0" t="n">
        <f aca="false">(-AE219+SQRT(AE219^2-4*$D219))/2</f>
        <v>1.10976300760735</v>
      </c>
      <c r="AH219" s="0" t="n">
        <f aca="false">IF(AF219&lt;&gt;0,($C$21-$B219)*$AC219/AF219/$AC$51-$AC$60*$AC$51,0)</f>
        <v>-0.000444845761386001</v>
      </c>
      <c r="AI219" s="0" t="n">
        <f aca="false">IF(AG219&lt;&gt;0,($C$27-$B219)*$AC219/AG219/$AD$51-$AC$60*$AD$51,0)</f>
        <v>-0.000475668144051125</v>
      </c>
      <c r="AJ219" s="0" t="n">
        <f aca="false">(AH219-AA219)/($AC219-$V219)</f>
        <v>0.0154371271319879</v>
      </c>
      <c r="AK219" s="0" t="n">
        <f aca="false">(AI219-AB219)/($AC219-$V219)</f>
        <v>0.0161394895288427</v>
      </c>
      <c r="AL219" s="0" t="n">
        <f aca="false">IF(AJ219&lt;&gt;AK219,(AB219-AA219)/(AJ219-AK219),0)</f>
        <v>0.043840729393431</v>
      </c>
      <c r="AM219" s="0" t="n">
        <f aca="false">V219+AL219</f>
        <v>0.000696494128054948</v>
      </c>
      <c r="AN219" s="0" t="n">
        <f aca="false">-AM219*$AC$51</f>
        <v>-0.0729366945321951</v>
      </c>
      <c r="AO219" s="0" t="n">
        <f aca="false">-AM219*$AD$51</f>
        <v>-0.0364683472660975</v>
      </c>
      <c r="AP219" s="0" t="n">
        <f aca="false">(-AN219+SQRT(AN219^2-4*$C219))/2</f>
        <v>3.15774938522778</v>
      </c>
      <c r="AQ219" s="0" t="n">
        <f aca="false">(-AO219+SQRT(AO219^2-4*$D219))/2</f>
        <v>1.95250350924143</v>
      </c>
      <c r="AR219" s="0" t="n">
        <f aca="false">IF(AP219&lt;&gt;0,($C$21-$B219)*$AM219/AP219/$AC$51-$AC$60*$AC$51,0)</f>
        <v>-2.10826034139634E-005</v>
      </c>
      <c r="AS219" s="0" t="n">
        <f aca="false">IF(AQ219&lt;&gt;0,($C$27-$B219)*$AM219/AQ219/$AD$51-$AC$60*$AD$51,0)</f>
        <v>-8.00319812042412E-006</v>
      </c>
      <c r="AT219" s="0" t="n">
        <f aca="false">AM219*1.001</f>
        <v>0.000697190622183002</v>
      </c>
      <c r="AU219" s="0" t="n">
        <f aca="false">-AT219*$AC$51</f>
        <v>-0.0730096312267272</v>
      </c>
      <c r="AV219" s="0" t="n">
        <f aca="false">-AT219*$AD$51</f>
        <v>-0.0365048156133636</v>
      </c>
      <c r="AW219" s="0" t="n">
        <f aca="false">(-AU219+SQRT(AU219^2-4*$C219))/2</f>
        <v>3.15778627987605</v>
      </c>
      <c r="AX219" s="0" t="n">
        <f aca="false">(-AV219+SQRT(AV219^2-4*$D219))/2</f>
        <v>1.95252191539283</v>
      </c>
      <c r="AY219" s="0" t="n">
        <f aca="false">IF(AW219&lt;&gt;0,($C$21-$B219)*$AT219/AW219/$AC$51-$AC$60*$AC$51,0)</f>
        <v>-2.10792238769217E-005</v>
      </c>
      <c r="AZ219" s="0" t="n">
        <f aca="false">IF(AX219&lt;&gt;0,($C$27-$B219)*$AT219/AX219/$AD$51-$AC$60*$AD$51,0)</f>
        <v>-7.99899033605597E-006</v>
      </c>
      <c r="BA219" s="0" t="n">
        <f aca="false">(AY219-AR219)/($AT219-$AM219)</f>
        <v>0.00485221182144891</v>
      </c>
      <c r="BB219" s="0" t="n">
        <f aca="false">(AZ219-AS219)/($AT219-$AM219)</f>
        <v>0.00604137809445932</v>
      </c>
      <c r="BC219" s="0" t="n">
        <f aca="false">IF(BA219&lt;&gt;BB219,(AS219-AR219)/(BA219-BB219),0)</f>
        <v>-0.0109988027666042</v>
      </c>
      <c r="BD219" s="0" t="n">
        <f aca="false">AM219+BC219</f>
        <v>-0.0103023086385493</v>
      </c>
      <c r="BE219" s="0" t="n">
        <f aca="false">-BD219*$AC$51</f>
        <v>1.07885523779603</v>
      </c>
      <c r="BF219" s="0" t="n">
        <f aca="false">-BD219*$AD$51</f>
        <v>0.539427618898017</v>
      </c>
      <c r="BG219" s="0" t="n">
        <f aca="false">(-BE219+SQRT(BE219^2-4*$C219))/2</f>
        <v>2.62791314799411</v>
      </c>
      <c r="BH219" s="0" t="n">
        <f aca="false">(-BF219+SQRT(BF219^2-4*$D219))/2</f>
        <v>1.68318427201718</v>
      </c>
      <c r="BI219" s="0" t="n">
        <f aca="false">IF(BG219&lt;&gt;0,($C$21-$B219)*$BD219/BG219/$AC$51-$AC$60*$AC$51,0)</f>
        <v>-8.52806556998867E-005</v>
      </c>
      <c r="BJ219" s="0" t="n">
        <f aca="false">IF(BH219&lt;&gt;0,($C$27-$B219)*$BD219/BH219/$AD$51-$AC$60*$AD$51,0)</f>
        <v>-8.51377715530774E-005</v>
      </c>
      <c r="BK219" s="0" t="n">
        <f aca="false">BD219*1.001</f>
        <v>-0.0103126109471878</v>
      </c>
      <c r="BL219" s="0" t="n">
        <f aca="false">-BK219*$AC$51</f>
        <v>1.07993409303383</v>
      </c>
      <c r="BM219" s="0" t="n">
        <f aca="false">-BK219*$AD$51</f>
        <v>0.539967046516915</v>
      </c>
      <c r="BN219" s="0" t="n">
        <f aca="false">(-BL219+SQRT(BL219^2-4*$C219))/2</f>
        <v>2.62746563452163</v>
      </c>
      <c r="BO219" s="0" t="n">
        <f aca="false">(-BM219+SQRT(BM219^2-4*$D219))/2</f>
        <v>1.68295182652091</v>
      </c>
      <c r="BP219" s="0" t="n">
        <f aca="false">IF(BN219&lt;&gt;0,($C$21-$B219)*$BK219/BN219/$AC$51-$AC$60*$AC$51,0)</f>
        <v>-8.53517964537832E-005</v>
      </c>
      <c r="BQ219" s="0" t="n">
        <f aca="false">IF(BO219&lt;&gt;0,($C$27-$B219)*$BK219/BO219/$AD$51-$AC$60*$AD$51,0)</f>
        <v>-8.52207352716632E-005</v>
      </c>
      <c r="BR219" s="0" t="n">
        <f aca="false">(BP219-BI219)/($BK219-$BD219)</f>
        <v>0.00690532155388303</v>
      </c>
      <c r="BS219" s="0" t="n">
        <f aca="false">(BQ219-BJ219)/($BK219-$BD219)</f>
        <v>0.00805292497987817</v>
      </c>
      <c r="BT219" s="0" t="n">
        <f aca="false">IF(BR219&lt;&gt;BS219,(BJ219-BI219)/(BR219-BS219),0)</f>
        <v>-0.000124506553024074</v>
      </c>
      <c r="BU219" s="0" t="n">
        <f aca="false">BD219+BT219</f>
        <v>-0.0104268151915733</v>
      </c>
      <c r="BV219" s="0" t="n">
        <f aca="false">-BU219*$AC$51</f>
        <v>1.09189353353951</v>
      </c>
      <c r="BW219" s="0" t="n">
        <f aca="false">-BU219*$AD$51</f>
        <v>0.545946766769754</v>
      </c>
      <c r="BX219" s="0" t="n">
        <f aca="false">(-BV219+SQRT(BV219^2-4*$C219))/2</f>
        <v>2.62251078379537</v>
      </c>
      <c r="BY219" s="0" t="n">
        <f aca="false">(-BW219+SQRT(BW219^2-4*$D219))/2</f>
        <v>1.68037754402766</v>
      </c>
      <c r="BZ219" s="0" t="n">
        <f aca="false">IF(BX219&lt;&gt;0,($C$21-$B219)*$BU219/BX219/$AC$51-$AC$60*$AC$51,0)</f>
        <v>-8.61418994403625E-005</v>
      </c>
      <c r="CA219" s="0" t="n">
        <f aca="false">IF(BY219&lt;&gt;0,($C$27-$B219)*$BU219/BY219/$AD$51-$AC$60*$AD$51,0)</f>
        <v>-8.61418433601371E-005</v>
      </c>
      <c r="CB219" s="0" t="n">
        <f aca="false">BU219*1.001</f>
        <v>-0.0104372420067649</v>
      </c>
      <c r="CC219" s="0" t="n">
        <f aca="false">-CB219*$AC$51</f>
        <v>1.09298542707305</v>
      </c>
      <c r="CD219" s="0" t="n">
        <f aca="false">-CB219*$AD$51</f>
        <v>0.546492713536524</v>
      </c>
      <c r="CE219" s="0" t="n">
        <f aca="false">(-CC219+SQRT(CC219^2-4*$C219))/2</f>
        <v>2.62205895300378</v>
      </c>
      <c r="CF219" s="0" t="n">
        <f aca="false">(-CD219+SQRT(CD219^2-4*$D219))/2</f>
        <v>1.68014273633991</v>
      </c>
      <c r="CG219" s="0" t="n">
        <f aca="false">IF(CE219&lt;&gt;0,($C$21-$B219)*$CB219/CE219/$AC$51-$AC$60*$AC$51,0)</f>
        <v>-8.62141715362514E-005</v>
      </c>
      <c r="CH219" s="0" t="n">
        <f aca="false">IF(CF219&lt;&gt;0,($C$27-$B219)*$CB219/CF219/$AD$51-$AC$60*$AD$51,0)</f>
        <v>-8.62260710399429E-005</v>
      </c>
      <c r="CI219" s="0" t="n">
        <f aca="false">(CG219-BZ219)/($CB219-$BU219)</f>
        <v>0.00693136826164601</v>
      </c>
      <c r="CJ219" s="0" t="n">
        <f aca="false">(CH219-CA219)/($CB219-$BU219)</f>
        <v>0.00807798721452562</v>
      </c>
      <c r="CK219" s="0" t="n">
        <f aca="false">IF(CI219&lt;&gt;CJ219,(CA219-BZ219)/(CI219-CJ219),0)</f>
        <v>-4.89092084658669E-008</v>
      </c>
      <c r="CL219" s="6" t="str">
        <f aca="false">IF(AND(BU219&gt;0,CE219&gt;0,CE219&lt;$C$15,CF219&lt;$C$15,CG219&gt;0,ABS(CK219)&lt;0.1*BU219),B219,"")</f>
        <v/>
      </c>
      <c r="CM219" s="0" t="n">
        <f aca="false">CG219+BU219^2/$C$39</f>
        <v>-6.80944256963806E-005</v>
      </c>
      <c r="CN219" s="0" t="n">
        <f aca="false">-BU219*$C$15/$C$39</f>
        <v>0.0104268151915733</v>
      </c>
      <c r="CO219" s="0" t="n">
        <f aca="false">IF(CL219&lt;&gt;"",(-CM219+SQRT(CM219^2-4*$AC$60*CN219))/2/$AC$60,0)</f>
        <v>0</v>
      </c>
      <c r="CP219" s="0" t="n">
        <f aca="false">CO219*30/PI()</f>
        <v>0</v>
      </c>
      <c r="DB219" s="6"/>
    </row>
    <row r="220" customFormat="false" ht="12.75" hidden="false" customHeight="false" outlineLevel="0" collapsed="false">
      <c r="A220" s="0" t="n">
        <f aca="false">A219+0.01</f>
        <v>0.71</v>
      </c>
      <c r="B220" s="0" t="n">
        <f aca="false">A220*$AC$68</f>
        <v>1.39615323378889</v>
      </c>
      <c r="C220" s="0" t="n">
        <f aca="false">$C$39*($B220-$C$21)</f>
        <v>-9.62308059726663</v>
      </c>
      <c r="D220" s="0" t="n">
        <f aca="false">$C$39*($B220-$C$27)</f>
        <v>-3.62308059726663</v>
      </c>
      <c r="E220" s="0" t="n">
        <f aca="false">$AC$71</f>
        <v>0.0474257507541105</v>
      </c>
      <c r="F220" s="0" t="n">
        <f aca="false">-E220*$AC$51</f>
        <v>-4.96641300533647</v>
      </c>
      <c r="G220" s="0" t="n">
        <f aca="false">-E220*$AD$51</f>
        <v>-2.48320650266823</v>
      </c>
      <c r="H220" s="0" t="n">
        <f aca="false">(-F220+SQRT(F220^2-4*$C220))/2</f>
        <v>6.45679368960153</v>
      </c>
      <c r="I220" s="0" t="n">
        <f aca="false">(-G220+SQRT(G220^2-4*$D220))/2</f>
        <v>3.51419191428879</v>
      </c>
      <c r="J220" s="0" t="n">
        <f aca="false">IF(H220&lt;&gt;0,($C$21-$B220)*$E220/H220/$AC$51-$AC$60*$AC$51,0)</f>
        <v>8.79924366889683E-005</v>
      </c>
      <c r="K220" s="0" t="n">
        <f aca="false">IF(I220&lt;&gt;0,($C$27-$B220)*$E220/I220/$AD$51-$AC$60*$AD$51,0)</f>
        <v>0.0001433873708282</v>
      </c>
      <c r="L220" s="0" t="n">
        <f aca="false">E220*1.001</f>
        <v>0.0474731765048646</v>
      </c>
      <c r="M220" s="0" t="n">
        <f aca="false">-L220*$AC$51</f>
        <v>-4.97137941834181</v>
      </c>
      <c r="N220" s="0" t="n">
        <f aca="false">-L220*$AD$51</f>
        <v>-2.4856897091709</v>
      </c>
      <c r="O220" s="0" t="n">
        <f aca="false">(-M220+SQRT(M220^2-4*$C220))/2</f>
        <v>6.46082919446507</v>
      </c>
      <c r="P220" s="0" t="n">
        <f aca="false">(-N220+SQRT(N220^2-4*$D220))/2</f>
        <v>3.51611209136958</v>
      </c>
      <c r="Q220" s="0" t="n">
        <f aca="false">IF(O220&lt;&gt;0,($C$21-$B220)*$L220/O220/$AC$51-$AC$60*$AC$51,0)</f>
        <v>8.80345956498144E-005</v>
      </c>
      <c r="R220" s="0" t="n">
        <f aca="false">IF(P220&lt;&gt;0,($C$27-$B220)*$L220/P220/$AD$51-$AC$60*$AD$51,0)</f>
        <v>0.000143457928868293</v>
      </c>
      <c r="S220" s="0" t="n">
        <f aca="false">(Q220-J220)/($L220-$E220)</f>
        <v>0.00088894662025844</v>
      </c>
      <c r="T220" s="0" t="n">
        <f aca="false">(R220-K220)/($L220-$E220)</f>
        <v>0.00148775800005519</v>
      </c>
      <c r="U220" s="0" t="n">
        <f aca="false">IF(S220&lt;&gt;T220,(K220-J220)/(S220-T220),0)</f>
        <v>-0.0925081519960989</v>
      </c>
      <c r="V220" s="0" t="n">
        <f aca="false">E220+U220</f>
        <v>-0.0450824012419884</v>
      </c>
      <c r="W220" s="0" t="n">
        <f aca="false">-V220*$AC$51</f>
        <v>4.72101801826727</v>
      </c>
      <c r="X220" s="0" t="n">
        <f aca="false">-V220*$AD$51</f>
        <v>2.36050900913364</v>
      </c>
      <c r="Y220" s="0" t="n">
        <f aca="false">(-W220+SQRT(W220^2-4*$C220))/2</f>
        <v>1.53757813451358</v>
      </c>
      <c r="Z220" s="0" t="n">
        <f aca="false">(-X220+SQRT(X220^2-4*$D220))/2</f>
        <v>1.05940647263864</v>
      </c>
      <c r="AA220" s="0" t="n">
        <f aca="false">IF(Y220&lt;&gt;0,($C$21-$B220)*$V220/Y220/$AC$51-$AC$60*$AC$51,0)</f>
        <v>-0.000473561852389143</v>
      </c>
      <c r="AB220" s="0" t="n">
        <f aca="false">IF(Z220&lt;&gt;0,($C$27-$B220)*$V220/Z220/$AD$51-$AC$60*$AD$51,0)</f>
        <v>-0.000503014889164167</v>
      </c>
      <c r="AC220" s="0" t="n">
        <f aca="false">V220*1.001</f>
        <v>-0.0451274836432304</v>
      </c>
      <c r="AD220" s="0" t="n">
        <f aca="false">-AC220*$AC$51</f>
        <v>4.72573903628554</v>
      </c>
      <c r="AE220" s="0" t="n">
        <f aca="false">-AC220*$AD$51</f>
        <v>2.36286951814277</v>
      </c>
      <c r="AF220" s="0" t="n">
        <f aca="false">(-AD220+SQRT(AD220^2-4*$C220))/2</f>
        <v>1.53664749772405</v>
      </c>
      <c r="AG220" s="0" t="n">
        <f aca="false">(-AE220+SQRT(AE220^2-4*$D220))/2</f>
        <v>1.05884841213905</v>
      </c>
      <c r="AH220" s="0" t="n">
        <f aca="false">IF(AF220&lt;&gt;0,($C$21-$B220)*$AC220/AF220/$AC$51-$AC$60*$AC$51,0)</f>
        <v>-0.000474283147222442</v>
      </c>
      <c r="AI220" s="0" t="n">
        <f aca="false">IF(AG220&lt;&gt;0,($C$27-$B220)*$AC220/AG220/$AD$51-$AC$60*$AD$51,0)</f>
        <v>-0.000503764566138763</v>
      </c>
      <c r="AJ220" s="0" t="n">
        <f aca="false">(AH220-AA220)/($AC220-$V220)</f>
        <v>0.0159994768119686</v>
      </c>
      <c r="AK220" s="0" t="n">
        <f aca="false">(AI220-AB220)/($AC220-$V220)</f>
        <v>0.0166290382486791</v>
      </c>
      <c r="AL220" s="0" t="n">
        <f aca="false">IF(AJ220&lt;&gt;AK220,(AB220-AA220)/(AJ220-AK220),0)</f>
        <v>0.0467834194688304</v>
      </c>
      <c r="AM220" s="0" t="n">
        <f aca="false">V220+AL220</f>
        <v>0.00170101822684203</v>
      </c>
      <c r="AN220" s="0" t="n">
        <f aca="false">-AM220*$AC$51</f>
        <v>-0.178130212168975</v>
      </c>
      <c r="AO220" s="0" t="n">
        <f aca="false">-AM220*$AD$51</f>
        <v>-0.0890651060844876</v>
      </c>
      <c r="AP220" s="0" t="n">
        <f aca="false">(-AN220+SQRT(AN220^2-4*$C220))/2</f>
        <v>3.1924524796472</v>
      </c>
      <c r="AQ220" s="0" t="n">
        <f aca="false">(-AO220+SQRT(AO220^2-4*$D220))/2</f>
        <v>1.94849256983543</v>
      </c>
      <c r="AR220" s="0" t="n">
        <f aca="false">IF(AP220&lt;&gt;0,($C$21-$B220)*$AM220/AP220/$AC$51-$AC$60*$AC$51,0)</f>
        <v>-1.63415953938218E-005</v>
      </c>
      <c r="AS220" s="0" t="n">
        <f aca="false">IF(AQ220&lt;&gt;0,($C$27-$B220)*$AM220/AQ220/$AD$51-$AC$60*$AD$51,0)</f>
        <v>-2.18317952005244E-006</v>
      </c>
      <c r="AT220" s="0" t="n">
        <f aca="false">AM220*1.001</f>
        <v>0.00170271924506887</v>
      </c>
      <c r="AU220" s="0" t="n">
        <f aca="false">-AT220*$AC$51</f>
        <v>-0.178308342381144</v>
      </c>
      <c r="AV220" s="0" t="n">
        <f aca="false">-AT220*$AD$51</f>
        <v>-0.0891541711905721</v>
      </c>
      <c r="AW220" s="0" t="n">
        <f aca="false">(-AU220+SQRT(AU220^2-4*$C220))/2</f>
        <v>3.19254410213823</v>
      </c>
      <c r="AX220" s="0" t="n">
        <f aca="false">(-AV220+SQRT(AV220^2-4*$D220))/2</f>
        <v>1.94853814450033</v>
      </c>
      <c r="AY220" s="0" t="n">
        <f aca="false">IF(AW220&lt;&gt;0,($C$21-$B220)*$AT220/AW220/$AC$51-$AC$60*$AC$51,0)</f>
        <v>-1.63336692886483E-005</v>
      </c>
      <c r="AZ220" s="0" t="n">
        <f aca="false">IF(AX220&lt;&gt;0,($C$27-$B220)*$AT220/AX220/$AD$51-$AC$60*$AD$51,0)</f>
        <v>-2.17334734784953E-006</v>
      </c>
      <c r="BA220" s="0" t="n">
        <f aca="false">(AY220-AR220)/($AT220-$AM220)</f>
        <v>0.00465962389374836</v>
      </c>
      <c r="BB220" s="0" t="n">
        <f aca="false">(AZ220-AS220)/($AT220-$AM220)</f>
        <v>0.00578016863533019</v>
      </c>
      <c r="BC220" s="0" t="n">
        <f aca="false">IF(BA220&lt;&gt;BB220,(AS220-AR220)/(BA220-BB220),0)</f>
        <v>-0.0126352972338994</v>
      </c>
      <c r="BD220" s="0" t="n">
        <f aca="false">AM220+BC220</f>
        <v>-0.0109342790070573</v>
      </c>
      <c r="BE220" s="0" t="n">
        <f aca="false">-BD220*$AC$51</f>
        <v>1.14503502002908</v>
      </c>
      <c r="BF220" s="0" t="n">
        <f aca="false">-BD220*$AD$51</f>
        <v>0.57251751001454</v>
      </c>
      <c r="BG220" s="0" t="n">
        <f aca="false">(-BE220+SQRT(BE220^2-4*$C220))/2</f>
        <v>2.58198037341158</v>
      </c>
      <c r="BH220" s="0" t="n">
        <f aca="false">(-BF220+SQRT(BF220^2-4*$D220))/2</f>
        <v>1.63858530934832</v>
      </c>
      <c r="BI220" s="0" t="n">
        <f aca="false">IF(BG220&lt;&gt;0,($C$21-$B220)*$BD220/BG220/$AC$51-$AC$60*$AC$51,0)</f>
        <v>-8.93613155692062E-005</v>
      </c>
      <c r="BJ220" s="0" t="n">
        <f aca="false">IF(BH220&lt;&gt;0,($C$27-$B220)*$BD220/BH220/$AD$51-$AC$60*$AD$51,0)</f>
        <v>-8.92082593511228E-005</v>
      </c>
      <c r="BK220" s="0" t="n">
        <f aca="false">BD220*1.001</f>
        <v>-0.0109452132860644</v>
      </c>
      <c r="BL220" s="0" t="n">
        <f aca="false">-BK220*$AC$51</f>
        <v>1.14618005504911</v>
      </c>
      <c r="BM220" s="0" t="n">
        <f aca="false">-BK220*$AD$51</f>
        <v>0.573090027524555</v>
      </c>
      <c r="BN220" s="0" t="n">
        <f aca="false">(-BL220+SQRT(BL220^2-4*$C220))/2</f>
        <v>2.58151181374079</v>
      </c>
      <c r="BO220" s="0" t="n">
        <f aca="false">(-BM220+SQRT(BM220^2-4*$D220))/2</f>
        <v>1.63834164320708</v>
      </c>
      <c r="BP220" s="0" t="n">
        <f aca="false">IF(BN220&lt;&gt;0,($C$21-$B220)*$BK220/BN220/$AC$51-$AC$60*$AC$51,0)</f>
        <v>-8.94379588493283E-005</v>
      </c>
      <c r="BQ220" s="0" t="n">
        <f aca="false">IF(BO220&lt;&gt;0,($C$27-$B220)*$BK220/BO220/$AD$51-$AC$60*$AD$51,0)</f>
        <v>-8.92966736255803E-005</v>
      </c>
      <c r="BR220" s="0" t="n">
        <f aca="false">(BP220-BI220)/($BK220-$BD220)</f>
        <v>0.00700944982953032</v>
      </c>
      <c r="BS220" s="0" t="n">
        <f aca="false">(BQ220-BJ220)/($BK220-$BD220)</f>
        <v>0.00808597205179127</v>
      </c>
      <c r="BT220" s="0" t="n">
        <f aca="false">IF(BR220&lt;&gt;BS220,(BJ220-BI220)/(BR220-BS220),0)</f>
        <v>-0.000142176552344624</v>
      </c>
      <c r="BU220" s="0" t="n">
        <f aca="false">BD220+BT220</f>
        <v>-0.011076455559402</v>
      </c>
      <c r="BV220" s="0" t="n">
        <f aca="false">-BU220*$AC$51</f>
        <v>1.15992371377437</v>
      </c>
      <c r="BW220" s="0" t="n">
        <f aca="false">-BU220*$AD$51</f>
        <v>0.579961856887183</v>
      </c>
      <c r="BX220" s="0" t="n">
        <f aca="false">(-BV220+SQRT(BV220^2-4*$C220))/2</f>
        <v>2.5758956102223</v>
      </c>
      <c r="BY220" s="0" t="n">
        <f aca="false">(-BW220+SQRT(BW220^2-4*$D220))/2</f>
        <v>1.63542020797646</v>
      </c>
      <c r="BZ220" s="0" t="n">
        <f aca="false">IF(BX220&lt;&gt;0,($C$21-$B220)*$BU220/BX220/$AC$51-$AC$60*$AC$51,0)</f>
        <v>-9.0359870464618E-005</v>
      </c>
      <c r="CA220" s="0" t="n">
        <f aca="false">IF(BY220&lt;&gt;0,($C$27-$B220)*$BU220/BY220/$AD$51-$AC$60*$AD$51,0)</f>
        <v>-9.03597958112694E-005</v>
      </c>
      <c r="CB220" s="0" t="n">
        <f aca="false">BU220*1.001</f>
        <v>-0.0110875320149614</v>
      </c>
      <c r="CC220" s="0" t="n">
        <f aca="false">-CB220*$AC$51</f>
        <v>1.16108363748814</v>
      </c>
      <c r="CD220" s="0" t="n">
        <f aca="false">-CB220*$AD$51</f>
        <v>0.580541818744071</v>
      </c>
      <c r="CE220" s="0" t="n">
        <f aca="false">(-CC220+SQRT(CC220^2-4*$C220))/2</f>
        <v>2.57542228126995</v>
      </c>
      <c r="CF220" s="0" t="n">
        <f aca="false">(-CD220+SQRT(CD220^2-4*$D220))/2</f>
        <v>1.6351739218538</v>
      </c>
      <c r="CG220" s="0" t="n">
        <f aca="false">IF(CE220&lt;&gt;0,($C$21-$B220)*$CB220/CE220/$AC$51-$AC$60*$AC$51,0)</f>
        <v>-9.04378440969775E-005</v>
      </c>
      <c r="CH220" s="0" t="n">
        <f aca="false">IF(CF220&lt;&gt;0,($C$27-$B220)*$CB220/CF220/$AD$51-$AC$60*$AD$51,0)</f>
        <v>-9.04496808615866E-005</v>
      </c>
      <c r="CI220" s="0" t="n">
        <f aca="false">(CG220-BZ220)/($CB220-$BU220)</f>
        <v>0.00703958337044732</v>
      </c>
      <c r="CJ220" s="0" t="n">
        <f aca="false">(CH220-CA220)/($CB220-$BU220)</f>
        <v>0.00811496510189615</v>
      </c>
      <c r="CK220" s="0" t="n">
        <f aca="false">IF(CI220&lt;&gt;CJ220,(CA220-BZ220)/(CI220-CJ220),0)</f>
        <v>-6.94203243717395E-008</v>
      </c>
      <c r="CL220" s="6" t="str">
        <f aca="false">IF(AND(BU220&gt;0,CE220&gt;0,CE220&lt;$C$15,CF220&lt;$C$15,CG220&gt;0,ABS(CK220)&lt;0.1*BU220),B220,"")</f>
        <v/>
      </c>
      <c r="CM220" s="0" t="n">
        <f aca="false">CG220+BU220^2/$C$39</f>
        <v>-6.99898661370764E-005</v>
      </c>
      <c r="CN220" s="0" t="n">
        <f aca="false">-BU220*$C$15/$C$39</f>
        <v>0.011076455559402</v>
      </c>
      <c r="CO220" s="0" t="n">
        <f aca="false">IF(CL220&lt;&gt;"",(-CM220+SQRT(CM220^2-4*$AC$60*CN220))/2/$AC$60,0)</f>
        <v>0</v>
      </c>
      <c r="CP220" s="0" t="n">
        <f aca="false">CO220*30/PI()</f>
        <v>0</v>
      </c>
      <c r="DB220" s="6"/>
    </row>
    <row r="221" customFormat="false" ht="12.75" hidden="false" customHeight="false" outlineLevel="0" collapsed="false">
      <c r="A221" s="0" t="n">
        <f aca="false">A220+0.01</f>
        <v>0.72</v>
      </c>
      <c r="B221" s="0" t="n">
        <f aca="false">A221*$AC$68</f>
        <v>1.41581736384226</v>
      </c>
      <c r="C221" s="0" t="n">
        <f aca="false">$C$39*($B221-$C$21)</f>
        <v>-9.50509581694645</v>
      </c>
      <c r="D221" s="0" t="n">
        <f aca="false">$C$39*($B221-$C$27)</f>
        <v>-3.50509581694645</v>
      </c>
      <c r="E221" s="0" t="n">
        <f aca="false">$AC$71</f>
        <v>0.0474257507541105</v>
      </c>
      <c r="F221" s="0" t="n">
        <f aca="false">-E221*$AC$51</f>
        <v>-4.96641300533647</v>
      </c>
      <c r="G221" s="0" t="n">
        <f aca="false">-E221*$AD$51</f>
        <v>-2.48320650266823</v>
      </c>
      <c r="H221" s="0" t="n">
        <f aca="false">(-F221+SQRT(F221^2-4*$C221))/2</f>
        <v>6.44191972186463</v>
      </c>
      <c r="I221" s="0" t="n">
        <f aca="false">(-G221+SQRT(G221^2-4*$D221))/2</f>
        <v>3.48808370988921</v>
      </c>
      <c r="J221" s="0" t="n">
        <f aca="false">IF(H221&lt;&gt;0,($C$21-$B221)*$E221/H221/$AC$51-$AC$60*$AC$51,0)</f>
        <v>8.68697432586011E-005</v>
      </c>
      <c r="K221" s="0" t="n">
        <f aca="false">IF(I221&lt;&gt;0,($C$27-$B221)*$E221/I221/$AD$51-$AC$60*$AD$51,0)</f>
        <v>0.000139446054015287</v>
      </c>
      <c r="L221" s="0" t="n">
        <f aca="false">E221*1.001</f>
        <v>0.0474731765048646</v>
      </c>
      <c r="M221" s="0" t="n">
        <f aca="false">-L221*$AC$51</f>
        <v>-4.97137941834181</v>
      </c>
      <c r="N221" s="0" t="n">
        <f aca="false">-L221*$AD$51</f>
        <v>-2.4856897091709</v>
      </c>
      <c r="O221" s="0" t="n">
        <f aca="false">(-M221+SQRT(M221^2-4*$C221))/2</f>
        <v>6.44596105684704</v>
      </c>
      <c r="P221" s="0" t="n">
        <f aca="false">(-N221+SQRT(N221^2-4*$D221))/2</f>
        <v>3.49001177084156</v>
      </c>
      <c r="Q221" s="0" t="n">
        <f aca="false">IF(O221&lt;&gt;0,($C$21-$B221)*$L221/O221/$AC$51-$AC$60*$AC$51,0)</f>
        <v>8.69112200259366E-005</v>
      </c>
      <c r="R221" s="0" t="n">
        <f aca="false">IF(P221&lt;&gt;0,($C$27-$B221)*$L221/P221/$AD$51-$AC$60*$AD$51,0)</f>
        <v>0.000139513862084699</v>
      </c>
      <c r="S221" s="0" t="n">
        <f aca="false">(Q221-J221)/($L221-$E221)</f>
        <v>0.000874562166670447</v>
      </c>
      <c r="T221" s="0" t="n">
        <f aca="false">(R221-K221)/($L221-$E221)</f>
        <v>0.00142977324204477</v>
      </c>
      <c r="U221" s="0" t="n">
        <f aca="false">IF(S221&lt;&gt;T221,(K221-J221)/(S221-T221),0)</f>
        <v>-0.0946960770212294</v>
      </c>
      <c r="V221" s="0" t="n">
        <f aca="false">E221+U221</f>
        <v>-0.0472703262671189</v>
      </c>
      <c r="W221" s="0" t="n">
        <f aca="false">-V221*$AC$51</f>
        <v>4.95013699111911</v>
      </c>
      <c r="X221" s="0" t="n">
        <f aca="false">-V221*$AD$51</f>
        <v>2.47506849555956</v>
      </c>
      <c r="Y221" s="0" t="n">
        <f aca="false">(-W221+SQRT(W221^2-4*$C221))/2</f>
        <v>1.47854502559522</v>
      </c>
      <c r="Z221" s="0" t="n">
        <f aca="false">(-X221+SQRT(X221^2-4*$D221))/2</f>
        <v>1.00669988246918</v>
      </c>
      <c r="AA221" s="0" t="n">
        <f aca="false">IF(Y221&lt;&gt;0,($C$21-$B221)*$V221/Y221/$AC$51-$AC$60*$AC$51,0)</f>
        <v>-0.000508151558666915</v>
      </c>
      <c r="AB221" s="0" t="n">
        <f aca="false">IF(Z221&lt;&gt;0,($C$27-$B221)*$V221/Z221/$AD$51-$AC$60*$AD$51,0)</f>
        <v>-0.000536139251232939</v>
      </c>
      <c r="AC221" s="0" t="n">
        <f aca="false">V221*1.001</f>
        <v>-0.047317596593386</v>
      </c>
      <c r="AD221" s="0" t="n">
        <f aca="false">-AC221*$AC$51</f>
        <v>4.95508712811023</v>
      </c>
      <c r="AE221" s="0" t="n">
        <f aca="false">-AC221*$AD$51</f>
        <v>2.47754356405511</v>
      </c>
      <c r="AF221" s="0" t="n">
        <f aca="false">(-AD221+SQRT(AD221^2-4*$C221))/2</f>
        <v>1.47761988752781</v>
      </c>
      <c r="AG221" s="0" t="n">
        <f aca="false">(-AE221+SQRT(AE221^2-4*$D221))/2</f>
        <v>1.00614499703</v>
      </c>
      <c r="AH221" s="0" t="n">
        <f aca="false">IF(AF221&lt;&gt;0,($C$21-$B221)*$AC221/AF221/$AC$51-$AC$60*$AC$51,0)</f>
        <v>-0.000508938323894408</v>
      </c>
      <c r="AI221" s="0" t="n">
        <f aca="false">IF(AG221&lt;&gt;0,($C$27-$B221)*$AC221/AG221/$AD$51-$AC$60*$AD$51,0)</f>
        <v>-0.000536952350837597</v>
      </c>
      <c r="AJ221" s="0" t="n">
        <f aca="false">(AH221-AA221)/($AC221-$V221)</f>
        <v>0.0166439559364816</v>
      </c>
      <c r="AK221" s="0" t="n">
        <f aca="false">(AI221-AB221)/($AC221-$V221)</f>
        <v>0.017201057595078</v>
      </c>
      <c r="AL221" s="0" t="n">
        <f aca="false">IF(AJ221&lt;&gt;AK221,(AB221-AA221)/(AJ221-AK221),0)</f>
        <v>0.0502380348975135</v>
      </c>
      <c r="AM221" s="0" t="n">
        <f aca="false">V221+AL221</f>
        <v>0.00296770863039463</v>
      </c>
      <c r="AN221" s="0" t="n">
        <f aca="false">-AM221*$AC$51</f>
        <v>-0.310777721041427</v>
      </c>
      <c r="AO221" s="0" t="n">
        <f aca="false">-AM221*$AD$51</f>
        <v>-0.155388860520713</v>
      </c>
      <c r="AP221" s="0" t="n">
        <f aca="false">(-AN221+SQRT(AN221^2-4*$C221))/2</f>
        <v>3.24233581745411</v>
      </c>
      <c r="AQ221" s="0" t="n">
        <f aca="false">(-AO221+SQRT(AO221^2-4*$D221))/2</f>
        <v>1.95149597830111</v>
      </c>
      <c r="AR221" s="0" t="n">
        <f aca="false">IF(AP221&lt;&gt;0,($C$21-$B221)*$AM221/AP221/$AC$51-$AC$60*$AC$51,0)</f>
        <v>-1.06556368075159E-005</v>
      </c>
      <c r="AS221" s="0" t="n">
        <f aca="false">IF(AQ221&lt;&gt;0,($C$27-$B221)*$AM221/AQ221/$AD$51-$AC$60*$AD$51,0)</f>
        <v>4.71587718846928E-006</v>
      </c>
      <c r="AT221" s="0" t="n">
        <f aca="false">AM221*1.001</f>
        <v>0.00297067633902503</v>
      </c>
      <c r="AU221" s="0" t="n">
        <f aca="false">-AT221*$AC$51</f>
        <v>-0.311088498762468</v>
      </c>
      <c r="AV221" s="0" t="n">
        <f aca="false">-AT221*$AD$51</f>
        <v>-0.155544249381234</v>
      </c>
      <c r="AW221" s="0" t="n">
        <f aca="false">(-AU221+SQRT(AU221^2-4*$C221))/2</f>
        <v>3.24249903208571</v>
      </c>
      <c r="AX221" s="0" t="n">
        <f aca="false">(-AV221+SQRT(AV221^2-4*$D221))/2</f>
        <v>1.95157689582483</v>
      </c>
      <c r="AY221" s="0" t="n">
        <f aca="false">IF(AW221&lt;&gt;0,($C$21-$B221)*$AT221/AW221/$AC$51-$AC$60*$AC$51,0)</f>
        <v>-1.06424879862079E-005</v>
      </c>
      <c r="AZ221" s="0" t="n">
        <f aca="false">IF(AX221&lt;&gt;0,($C$27-$B221)*$AT221/AX221/$AD$51-$AC$60*$AD$51,0)</f>
        <v>4.73213993453388E-006</v>
      </c>
      <c r="BA221" s="0" t="n">
        <f aca="false">(AY221-AR221)/($AT221-$AM221)</f>
        <v>0.00443063081506737</v>
      </c>
      <c r="BB221" s="0" t="n">
        <f aca="false">(AZ221-AS221)/($AT221-$AM221)</f>
        <v>0.00547989984530279</v>
      </c>
      <c r="BC221" s="0" t="n">
        <f aca="false">IF(BA221&lt;&gt;BB221,(AS221-AR221)/(BA221-BB221),0)</f>
        <v>-0.0146497357236745</v>
      </c>
      <c r="BD221" s="0" t="n">
        <f aca="false">AM221+BC221</f>
        <v>-0.0116820270932799</v>
      </c>
      <c r="BE221" s="0" t="n">
        <f aca="false">-BD221*$AC$51</f>
        <v>1.2233390165095</v>
      </c>
      <c r="BF221" s="0" t="n">
        <f aca="false">-BD221*$AD$51</f>
        <v>0.611669508254751</v>
      </c>
      <c r="BG221" s="0" t="n">
        <f aca="false">(-BE221+SQRT(BE221^2-4*$C221))/2</f>
        <v>2.53145559334001</v>
      </c>
      <c r="BH221" s="0" t="n">
        <f aca="false">(-BF221+SQRT(BF221^2-4*$D221))/2</f>
        <v>1.59117096905287</v>
      </c>
      <c r="BI221" s="0" t="n">
        <f aca="false">IF(BG221&lt;&gt;0,($C$21-$B221)*$BD221/BG221/$AC$51-$AC$60*$AC$51,0)</f>
        <v>-9.43132404836764E-005</v>
      </c>
      <c r="BJ221" s="0" t="n">
        <f aca="false">IF(BH221&lt;&gt;0,($C$27-$B221)*$BD221/BH221/$AD$51-$AC$60*$AD$51,0)</f>
        <v>-9.41637935961424E-005</v>
      </c>
      <c r="BK221" s="0" t="n">
        <f aca="false">BD221*1.001</f>
        <v>-0.0116937091203732</v>
      </c>
      <c r="BL221" s="0" t="n">
        <f aca="false">-BK221*$AC$51</f>
        <v>1.22456235552601</v>
      </c>
      <c r="BM221" s="0" t="n">
        <f aca="false">-BK221*$AD$51</f>
        <v>0.612281177763006</v>
      </c>
      <c r="BN221" s="0" t="n">
        <f aca="false">(-BL221+SQRT(BL221^2-4*$C221))/2</f>
        <v>2.53096301535806</v>
      </c>
      <c r="BO221" s="0" t="n">
        <f aca="false">(-BM221+SQRT(BM221^2-4*$D221))/2</f>
        <v>1.5909144649077</v>
      </c>
      <c r="BP221" s="0" t="n">
        <f aca="false">IF(BN221&lt;&gt;0,($C$21-$B221)*$BK221/BN221/$AC$51-$AC$60*$AC$51,0)</f>
        <v>-9.43966518694217E-005</v>
      </c>
      <c r="BQ221" s="0" t="n">
        <f aca="false">IF(BO221&lt;&gt;0,($C$27-$B221)*$BK221/BO221/$AD$51-$AC$60*$AD$51,0)</f>
        <v>-9.42589263707544E-005</v>
      </c>
      <c r="BR221" s="0" t="n">
        <f aca="false">(BP221-BI221)/($BK221-$BD221)</f>
        <v>0.00714014657552844</v>
      </c>
      <c r="BS221" s="0" t="n">
        <f aca="false">(BQ221-BJ221)/($BK221-$BD221)</f>
        <v>0.00814351600559996</v>
      </c>
      <c r="BT221" s="0" t="n">
        <f aca="false">IF(BR221&lt;&gt;BS221,(BJ221-BI221)/(BR221-BS221),0)</f>
        <v>-0.000148945027678673</v>
      </c>
      <c r="BU221" s="0" t="n">
        <f aca="false">BD221+BT221</f>
        <v>-0.0118309721209586</v>
      </c>
      <c r="BV221" s="0" t="n">
        <f aca="false">-BU221*$AC$51</f>
        <v>1.2389365033343</v>
      </c>
      <c r="BW221" s="0" t="n">
        <f aca="false">-BU221*$AD$51</f>
        <v>0.619468251667152</v>
      </c>
      <c r="BX221" s="0" t="n">
        <f aca="false">(-BV221+SQRT(BV221^2-4*$C221))/2</f>
        <v>2.5251838327088</v>
      </c>
      <c r="BY221" s="0" t="n">
        <f aca="false">(-BW221+SQRT(BW221^2-4*$D221))/2</f>
        <v>1.58790415520218</v>
      </c>
      <c r="BZ221" s="0" t="n">
        <f aca="false">IF(BX221&lt;&gt;0,($C$21-$B221)*$BU221/BX221/$AC$51-$AC$60*$AC$51,0)</f>
        <v>-9.53789266937118E-005</v>
      </c>
      <c r="CA221" s="0" t="n">
        <f aca="false">IF(BY221&lt;&gt;0,($C$27-$B221)*$BU221/BY221/$AD$51-$AC$60*$AD$51,0)</f>
        <v>-9.53788437641738E-005</v>
      </c>
      <c r="CB221" s="0" t="n">
        <f aca="false">BU221*1.001</f>
        <v>-0.0118428030930795</v>
      </c>
      <c r="CC221" s="0" t="n">
        <f aca="false">-CB221*$AC$51</f>
        <v>1.24017543983764</v>
      </c>
      <c r="CD221" s="0" t="n">
        <f aca="false">-CB221*$AD$51</f>
        <v>0.620087719918819</v>
      </c>
      <c r="CE221" s="0" t="n">
        <f aca="false">(-CC221+SQRT(CC221^2-4*$C221))/2</f>
        <v>2.52468645279066</v>
      </c>
      <c r="CF221" s="0" t="n">
        <f aca="false">(-CD221+SQRT(CD221^2-4*$D221))/2</f>
        <v>1.58764500074589</v>
      </c>
      <c r="CG221" s="0" t="n">
        <f aca="false">IF(CE221&lt;&gt;0,($C$21-$B221)*$CB221/CE221/$AC$51-$AC$60*$AC$51,0)</f>
        <v>-9.54637806471923E-005</v>
      </c>
      <c r="CH221" s="0" t="n">
        <f aca="false">IF(CF221&lt;&gt;0,($C$27-$B221)*$CB221/CF221/$AD$51-$AC$60*$AD$51,0)</f>
        <v>-9.5475554223125E-005</v>
      </c>
      <c r="CI221" s="0" t="n">
        <f aca="false">(CG221-BZ221)/($CB221-$BU221)</f>
        <v>0.00717218776385888</v>
      </c>
      <c r="CJ221" s="0" t="n">
        <f aca="false">(CH221-CA221)/($CB221-$BU221)</f>
        <v>0.00817434594235947</v>
      </c>
      <c r="CK221" s="0" t="n">
        <f aca="false">IF(CI221&lt;&gt;CJ221,(CA221-BZ221)/(CI221-CJ221),0)</f>
        <v>-8.27509466650262E-008</v>
      </c>
      <c r="CL221" s="6" t="str">
        <f aca="false">IF(AND(BU221&gt;0,CE221&gt;0,CE221&lt;$C$15,CF221&lt;$C$15,CG221&gt;0,ABS(CK221)&lt;0.1*BU221),B221,"")</f>
        <v/>
      </c>
      <c r="CM221" s="0" t="n">
        <f aca="false">CG221+BU221^2/$C$39</f>
        <v>-7.21351304260425E-005</v>
      </c>
      <c r="CN221" s="0" t="n">
        <f aca="false">-BU221*$C$15/$C$39</f>
        <v>0.0118309721209586</v>
      </c>
      <c r="CO221" s="0" t="n">
        <f aca="false">IF(CL221&lt;&gt;"",(-CM221+SQRT(CM221^2-4*$AC$60*CN221))/2/$AC$60,0)</f>
        <v>0</v>
      </c>
      <c r="CP221" s="0" t="n">
        <f aca="false">CO221*30/PI()</f>
        <v>0</v>
      </c>
      <c r="DB221" s="6"/>
    </row>
    <row r="222" customFormat="false" ht="12.75" hidden="false" customHeight="false" outlineLevel="0" collapsed="false">
      <c r="A222" s="0" t="n">
        <f aca="false">A221+0.01</f>
        <v>0.73</v>
      </c>
      <c r="B222" s="0" t="n">
        <f aca="false">A222*$AC$68</f>
        <v>1.43548149389562</v>
      </c>
      <c r="C222" s="0" t="n">
        <f aca="false">$C$39*($B222-$C$21)</f>
        <v>-9.38711103662626</v>
      </c>
      <c r="D222" s="0" t="n">
        <f aca="false">$C$39*($B222-$C$27)</f>
        <v>-3.38711103662626</v>
      </c>
      <c r="E222" s="0" t="n">
        <f aca="false">$AC$71</f>
        <v>0.0474257507541105</v>
      </c>
      <c r="F222" s="0" t="n">
        <f aca="false">-E222*$AC$51</f>
        <v>-4.96641300533647</v>
      </c>
      <c r="G222" s="0" t="n">
        <f aca="false">-E222*$AD$51</f>
        <v>-2.48320650266823</v>
      </c>
      <c r="H222" s="0" t="n">
        <f aca="false">(-F222+SQRT(F222^2-4*$C222))/2</f>
        <v>6.42698965739671</v>
      </c>
      <c r="I222" s="0" t="n">
        <f aca="false">(-G222+SQRT(G222^2-4*$D222))/2</f>
        <v>3.46166849144525</v>
      </c>
      <c r="J222" s="0" t="n">
        <f aca="false">IF(H222&lt;&gt;0,($C$21-$B222)*$E222/H222/$AC$51-$AC$60*$AC$51,0)</f>
        <v>8.57428156230447E-005</v>
      </c>
      <c r="K222" s="0" t="n">
        <f aca="false">IF(I222&lt;&gt;0,($C$27-$B222)*$E222/I222/$AD$51-$AC$60*$AD$51,0)</f>
        <v>0.000135458390100276</v>
      </c>
      <c r="L222" s="0" t="n">
        <f aca="false">E222*1.001</f>
        <v>0.0474731765048646</v>
      </c>
      <c r="M222" s="0" t="n">
        <f aca="false">-L222*$AC$51</f>
        <v>-4.97137941834181</v>
      </c>
      <c r="N222" s="0" t="n">
        <f aca="false">-L222*$AD$51</f>
        <v>-2.4856897091709</v>
      </c>
      <c r="O222" s="0" t="n">
        <f aca="false">(-M222+SQRT(M222^2-4*$C222))/2</f>
        <v>6.43103688868558</v>
      </c>
      <c r="P222" s="0" t="n">
        <f aca="false">(-N222+SQRT(N222^2-4*$D222))/2</f>
        <v>3.46360471760437</v>
      </c>
      <c r="Q222" s="0" t="n">
        <f aca="false">IF(O222&lt;&gt;0,($C$21-$B222)*$L222/O222/$AC$51-$AC$60*$AC$51,0)</f>
        <v>8.57836109635269E-005</v>
      </c>
      <c r="R222" s="0" t="n">
        <f aca="false">IF(P222&lt;&gt;0,($C$27-$B222)*$L222/P222/$AD$51-$AC$60*$AD$51,0)</f>
        <v>0.00013552344436498</v>
      </c>
      <c r="S222" s="0" t="n">
        <f aca="false">(Q222-J222)/($L222-$E222)</f>
        <v>0.000860193878506984</v>
      </c>
      <c r="T222" s="0" t="n">
        <f aca="false">(R222-K222)/($L222-$E222)</f>
        <v>0.00137170764130589</v>
      </c>
      <c r="U222" s="0" t="n">
        <f aca="false">IF(S222&lt;&gt;T222,(K222-J222)/(S222-T222),0)</f>
        <v>-0.0971930338788878</v>
      </c>
      <c r="V222" s="0" t="n">
        <f aca="false">E222+U222</f>
        <v>-0.0497672831247773</v>
      </c>
      <c r="W222" s="0" t="n">
        <f aca="false">-V222*$AC$51</f>
        <v>5.21161770179746</v>
      </c>
      <c r="X222" s="0" t="n">
        <f aca="false">-V222*$AD$51</f>
        <v>2.60580885089873</v>
      </c>
      <c r="Y222" s="0" t="n">
        <f aca="false">(-W222+SQRT(W222^2-4*$C222))/2</f>
        <v>1.41629890549572</v>
      </c>
      <c r="Z222" s="0" t="n">
        <f aca="false">(-X222+SQRT(X222^2-4*$D222))/2</f>
        <v>0.952017076173651</v>
      </c>
      <c r="AA222" s="0" t="n">
        <f aca="false">IF(Y222&lt;&gt;0,($C$21-$B222)*$V222/Y222/$AC$51-$AC$60*$AC$51,0)</f>
        <v>-0.000549480127944116</v>
      </c>
      <c r="AB222" s="0" t="n">
        <f aca="false">IF(Z222&lt;&gt;0,($C$27-$B222)*$V222/Z222/$AD$51-$AC$60*$AD$51,0)</f>
        <v>-0.000575861151496072</v>
      </c>
      <c r="AC222" s="0" t="n">
        <f aca="false">V222*1.001</f>
        <v>-0.0498170504079021</v>
      </c>
      <c r="AD222" s="0" t="n">
        <f aca="false">-AC222*$AC$51</f>
        <v>5.21682931949925</v>
      </c>
      <c r="AE222" s="0" t="n">
        <f aca="false">-AC222*$AD$51</f>
        <v>2.60841465974963</v>
      </c>
      <c r="AF222" s="0" t="n">
        <f aca="false">(-AD222+SQRT(AD222^2-4*$C222))/2</f>
        <v>1.41538181544926</v>
      </c>
      <c r="AG222" s="0" t="n">
        <f aca="false">(-AE222+SQRT(AE222^2-4*$D222))/2</f>
        <v>0.951467246815151</v>
      </c>
      <c r="AH222" s="0" t="n">
        <f aca="false">IF(AF222&lt;&gt;0,($C$21-$B222)*$AC222/AF222/$AC$51-$AC$60*$AC$51,0)</f>
        <v>-0.000550345603139293</v>
      </c>
      <c r="AI222" s="0" t="n">
        <f aca="false">IF(AG222&lt;&gt;0,($C$27-$B222)*$AC222/AG222/$AD$51-$AC$60*$AD$51,0)</f>
        <v>-0.000576750783587337</v>
      </c>
      <c r="AJ222" s="0" t="n">
        <f aca="false">(AH222-AA222)/($AC222-$V222)</f>
        <v>0.0173904449034772</v>
      </c>
      <c r="AK222" s="0" t="n">
        <f aca="false">(AI222-AB222)/($AC222-$V222)</f>
        <v>0.0178758420272723</v>
      </c>
      <c r="AL222" s="0" t="n">
        <f aca="false">IF(AJ222&lt;&gt;AK222,(AB222-AA222)/(AJ222-AK222),0)</f>
        <v>0.0543493610874596</v>
      </c>
      <c r="AM222" s="0" t="n">
        <f aca="false">V222+AL222</f>
        <v>0.00458207796268229</v>
      </c>
      <c r="AN222" s="0" t="n">
        <f aca="false">-AM222*$AC$51</f>
        <v>-0.479834082191278</v>
      </c>
      <c r="AO222" s="0" t="n">
        <f aca="false">-AM222*$AD$51</f>
        <v>-0.239917041095639</v>
      </c>
      <c r="AP222" s="0" t="n">
        <f aca="false">(-AN222+SQRT(AN222^2-4*$C222))/2</f>
        <v>3.31313542305849</v>
      </c>
      <c r="AQ222" s="0" t="n">
        <f aca="false">(-AO222+SQRT(AO222^2-4*$D222))/2</f>
        <v>1.96427440544343</v>
      </c>
      <c r="AR222" s="0" t="n">
        <f aca="false">IF(AP222&lt;&gt;0,($C$21-$B222)*$AM222/AP222/$AC$51-$AC$60*$AC$51,0)</f>
        <v>-3.83998970650601E-006</v>
      </c>
      <c r="AS222" s="0" t="n">
        <f aca="false">IF(AQ222&lt;&gt;0,($C$27-$B222)*$AM222/AQ222/$AD$51-$AC$60*$AD$51,0)</f>
        <v>1.28990427604896E-005</v>
      </c>
      <c r="AT222" s="0" t="n">
        <f aca="false">AM222*1.001</f>
        <v>0.00458666004064497</v>
      </c>
      <c r="AU222" s="0" t="n">
        <f aca="false">-AT222*$AC$51</f>
        <v>-0.48031391627347</v>
      </c>
      <c r="AV222" s="0" t="n">
        <f aca="false">-AT222*$AD$51</f>
        <v>-0.240156958136735</v>
      </c>
      <c r="AW222" s="0" t="n">
        <f aca="false">(-AU222+SQRT(AU222^2-4*$C222))/2</f>
        <v>3.31339407901884</v>
      </c>
      <c r="AX222" s="0" t="n">
        <f aca="false">(-AV222+SQRT(AV222^2-4*$D222))/2</f>
        <v>1.964402170225</v>
      </c>
      <c r="AY222" s="0" t="n">
        <f aca="false">IF(AW222&lt;&gt;0,($C$21-$B222)*$AT222/AW222/$AC$51-$AC$60*$AC$51,0)</f>
        <v>-3.82094214034772E-006</v>
      </c>
      <c r="AZ222" s="0" t="n">
        <f aca="false">IF(AX222&lt;&gt;0,($C$27-$B222)*$AT222/AX222/$AD$51-$AC$60*$AD$51,0)</f>
        <v>1.29225554701444E-005</v>
      </c>
      <c r="BA222" s="0" t="n">
        <f aca="false">(AY222-AR222)/($AT222-$AM222)</f>
        <v>0.00415697120682492</v>
      </c>
      <c r="BB222" s="0" t="n">
        <f aca="false">(AZ222-AS222)/($AT222-$AM222)</f>
        <v>0.00513145124248149</v>
      </c>
      <c r="BC222" s="0" t="n">
        <f aca="false">IF(BA222&lt;&gt;BB222,(AS222-AR222)/(BA222-BB222),0)</f>
        <v>-0.0171773990790049</v>
      </c>
      <c r="BD222" s="0" t="n">
        <f aca="false">AM222+BC222</f>
        <v>-0.0125953211163226</v>
      </c>
      <c r="BE222" s="0" t="n">
        <f aca="false">-BD222*$AC$51</f>
        <v>1.31897894295478</v>
      </c>
      <c r="BF222" s="0" t="n">
        <f aca="false">-BD222*$AD$51</f>
        <v>0.65948947147739</v>
      </c>
      <c r="BG222" s="0" t="n">
        <f aca="false">(-BE222+SQRT(BE222^2-4*$C222))/2</f>
        <v>2.474523515033</v>
      </c>
      <c r="BH222" s="0" t="n">
        <f aca="false">(-BF222+SQRT(BF222^2-4*$D222))/2</f>
        <v>1.53997252293269</v>
      </c>
      <c r="BI222" s="0" t="n">
        <f aca="false">IF(BG222&lt;&gt;0,($C$21-$B222)*$BD222/BG222/$AC$51-$AC$60*$AC$51,0)</f>
        <v>-0.000100546972357661</v>
      </c>
      <c r="BJ222" s="0" t="n">
        <f aca="false">IF(BH222&lt;&gt;0,($C$27-$B222)*$BD222/BH222/$AD$51-$AC$60*$AD$51,0)</f>
        <v>-0.000100432231875086</v>
      </c>
      <c r="BK222" s="0" t="n">
        <f aca="false">BD222*1.001</f>
        <v>-0.0126079164374389</v>
      </c>
      <c r="BL222" s="0" t="n">
        <f aca="false">-BK222*$AC$51</f>
        <v>1.32029792189774</v>
      </c>
      <c r="BM222" s="0" t="n">
        <f aca="false">-BK222*$AD$51</f>
        <v>0.660148960948868</v>
      </c>
      <c r="BN222" s="0" t="n">
        <f aca="false">(-BL222+SQRT(BL222^2-4*$C222))/2</f>
        <v>2.47400286805816</v>
      </c>
      <c r="BO222" s="0" t="n">
        <f aca="false">(-BM222+SQRT(BM222^2-4*$D222))/2</f>
        <v>1.5397009603972</v>
      </c>
      <c r="BP222" s="0" t="n">
        <f aca="false">IF(BN222&lt;&gt;0,($C$21-$B222)*$BK222/BN222/$AC$51-$AC$60*$AC$51,0)</f>
        <v>-0.000100639036623681</v>
      </c>
      <c r="BQ222" s="0" t="n">
        <f aca="false">IF(BO222&lt;&gt;0,($C$27-$B222)*$BK222/BO222/$AD$51-$AC$60*$AD$51,0)</f>
        <v>-0.000100535981418994</v>
      </c>
      <c r="BR222" s="0" t="n">
        <f aca="false">(BP222-BI222)/($BK222-$BD222)</f>
        <v>0.0073094020525319</v>
      </c>
      <c r="BS222" s="0" t="n">
        <f aca="false">(BQ222-BJ222)/($BK222-$BD222)</f>
        <v>0.00823714956927946</v>
      </c>
      <c r="BT222" s="0" t="n">
        <f aca="false">IF(BR222&lt;&gt;BS222,(BJ222-BI222)/(BR222-BS222),0)</f>
        <v>-0.000123676410342102</v>
      </c>
      <c r="BU222" s="0" t="n">
        <f aca="false">BD222+BT222</f>
        <v>-0.0127189975266647</v>
      </c>
      <c r="BV222" s="0" t="n">
        <f aca="false">-BU222*$AC$51</f>
        <v>1.33193030635988</v>
      </c>
      <c r="BW222" s="0" t="n">
        <f aca="false">-BU222*$AD$51</f>
        <v>0.665965153179942</v>
      </c>
      <c r="BX222" s="0" t="n">
        <f aca="false">(-BV222+SQRT(BV222^2-4*$C222))/2</f>
        <v>2.46941690039443</v>
      </c>
      <c r="BY222" s="0" t="n">
        <f aca="false">(-BW222+SQRT(BW222^2-4*$D222))/2</f>
        <v>1.53730842561764</v>
      </c>
      <c r="BZ222" s="0" t="n">
        <f aca="false">IF(BX222&lt;&gt;0,($C$21-$B222)*$BU222/BX222/$AC$51-$AC$60*$AC$51,0)</f>
        <v>-0.000101452475027042</v>
      </c>
      <c r="CA222" s="0" t="n">
        <f aca="false">IF(BY222&lt;&gt;0,($C$27-$B222)*$BU222/BY222/$AD$51-$AC$60*$AD$51,0)</f>
        <v>-0.000101452418550732</v>
      </c>
      <c r="CB222" s="0" t="n">
        <f aca="false">BU222*1.001</f>
        <v>-0.0127317165241913</v>
      </c>
      <c r="CC222" s="0" t="n">
        <f aca="false">-CB222*$AC$51</f>
        <v>1.33326223666624</v>
      </c>
      <c r="CD222" s="0" t="n">
        <f aca="false">-CB222*$AD$51</f>
        <v>0.666631118333122</v>
      </c>
      <c r="CE222" s="0" t="n">
        <f aca="false">(-CC222+SQRT(CC222^2-4*$C222))/2</f>
        <v>2.46889245589756</v>
      </c>
      <c r="CF222" s="0" t="n">
        <f aca="false">(-CD222+SQRT(CD222^2-4*$D222))/2</f>
        <v>1.53703475524215</v>
      </c>
      <c r="CG222" s="0" t="n">
        <f aca="false">IF(CE222&lt;&gt;0,($C$21-$B222)*$CB222/CE222/$AC$51-$AC$60*$AC$51,0)</f>
        <v>-0.000101545787579956</v>
      </c>
      <c r="CH222" s="0" t="n">
        <f aca="false">IF(CF222&lt;&gt;0,($C$27-$B222)*$CB222/CF222/$AD$51-$AC$60*$AD$51,0)</f>
        <v>-0.000101557518163392</v>
      </c>
      <c r="CI222" s="0" t="n">
        <f aca="false">(CG222-BZ222)/($CB222-$BU222)</f>
        <v>0.00733647071777927</v>
      </c>
      <c r="CJ222" s="0" t="n">
        <f aca="false">(CH222-CA222)/($CB222-$BU222)</f>
        <v>0.00826319939442534</v>
      </c>
      <c r="CK222" s="0" t="n">
        <f aca="false">IF(CI222&lt;&gt;CJ222,(CA222-BZ222)/(CI222-CJ222),0)</f>
        <v>-6.09415808422219E-008</v>
      </c>
      <c r="CL222" s="6" t="str">
        <f aca="false">IF(AND(BU222&gt;0,CE222&gt;0,CE222&lt;$C$15,CF222&lt;$C$15,CG222&gt;0,ABS(CK222)&lt;0.1*BU222),B222,"")</f>
        <v/>
      </c>
      <c r="CM222" s="0" t="n">
        <f aca="false">CG222+BU222^2/$C$39</f>
        <v>-7.45836378994057E-005</v>
      </c>
      <c r="CN222" s="0" t="n">
        <f aca="false">-BU222*$C$15/$C$39</f>
        <v>0.0127189975266647</v>
      </c>
      <c r="CO222" s="0" t="n">
        <f aca="false">IF(CL222&lt;&gt;"",(-CM222+SQRT(CM222^2-4*$AC$60*CN222))/2/$AC$60,0)</f>
        <v>0</v>
      </c>
      <c r="CP222" s="0" t="n">
        <f aca="false">CO222*30/PI()</f>
        <v>0</v>
      </c>
      <c r="DB222" s="6"/>
    </row>
    <row r="223" customFormat="false" ht="12.75" hidden="false" customHeight="false" outlineLevel="0" collapsed="false">
      <c r="A223" s="0" t="n">
        <f aca="false">A222+0.01</f>
        <v>0.74</v>
      </c>
      <c r="B223" s="0" t="n">
        <f aca="false">A223*$AC$68</f>
        <v>1.45514562394899</v>
      </c>
      <c r="C223" s="0" t="n">
        <f aca="false">$C$39*($B223-$C$21)</f>
        <v>-9.26912625630607</v>
      </c>
      <c r="D223" s="0" t="n">
        <f aca="false">$C$39*($B223-$C$27)</f>
        <v>-3.26912625630607</v>
      </c>
      <c r="E223" s="0" t="n">
        <f aca="false">$AC$71</f>
        <v>0.0474257507541105</v>
      </c>
      <c r="F223" s="0" t="n">
        <f aca="false">-E223*$AC$51</f>
        <v>-4.96641300533647</v>
      </c>
      <c r="G223" s="0" t="n">
        <f aca="false">-E223*$AD$51</f>
        <v>-2.48320650266823</v>
      </c>
      <c r="H223" s="0" t="n">
        <f aca="false">(-F223+SQRT(F223^2-4*$C223))/2</f>
        <v>6.41200285666775</v>
      </c>
      <c r="I223" s="0" t="n">
        <f aca="false">(-G223+SQRT(G223^2-4*$D223))/2</f>
        <v>3.4349351664873</v>
      </c>
      <c r="J223" s="0" t="n">
        <f aca="false">IF(H223&lt;&gt;0,($C$21-$B223)*$E223/H223/$AC$51-$AC$60*$AC$51,0)</f>
        <v>8.46116055102999E-005</v>
      </c>
      <c r="K223" s="0" t="n">
        <f aca="false">IF(I223&lt;&gt;0,($C$27-$B223)*$E223/I223/$AD$51-$AC$60*$AD$51,0)</f>
        <v>0.000131422704554488</v>
      </c>
      <c r="L223" s="0" t="n">
        <f aca="false">E223*1.001</f>
        <v>0.0474731765048646</v>
      </c>
      <c r="M223" s="0" t="n">
        <f aca="false">-L223*$AC$51</f>
        <v>-4.97137941834181</v>
      </c>
      <c r="N223" s="0" t="n">
        <f aca="false">-L223*$AD$51</f>
        <v>-2.4856897091709</v>
      </c>
      <c r="O223" s="0" t="n">
        <f aca="false">(-M223+SQRT(M223^2-4*$C223))/2</f>
        <v>6.41605605171255</v>
      </c>
      <c r="P223" s="0" t="n">
        <f aca="false">(-N223+SQRT(N223^2-4*$D223))/2</f>
        <v>3.43687985632895</v>
      </c>
      <c r="Q223" s="0" t="n">
        <f aca="false">IF(O223&lt;&gt;0,($C$21-$B223)*$L223/O223/$AC$51-$AC$60*$AC$51,0)</f>
        <v>8.46517202376582E-005</v>
      </c>
      <c r="R223" s="0" t="n">
        <f aca="false">IF(P223&lt;&gt;0,($C$27-$B223)*$L223/P223/$AD$51-$AC$60*$AD$51,0)</f>
        <v>0.000131485002096069</v>
      </c>
      <c r="S223" s="0" t="n">
        <f aca="false">(Q223-J223)/($L223-$E223)</f>
        <v>0.000845842748307136</v>
      </c>
      <c r="T223" s="0" t="n">
        <f aca="false">(R223-K223)/($L223-$E223)</f>
        <v>0.00131358050405361</v>
      </c>
      <c r="U223" s="0" t="n">
        <f aca="false">IF(S223&lt;&gt;T223,(K223-J223)/(S223-T223),0)</f>
        <v>-0.100079795716899</v>
      </c>
      <c r="V223" s="0" t="n">
        <f aca="false">E223+U223</f>
        <v>-0.0526540449627889</v>
      </c>
      <c r="W223" s="0" t="n">
        <f aca="false">-V223*$AC$51</f>
        <v>5.51391869456281</v>
      </c>
      <c r="X223" s="0" t="n">
        <f aca="false">-V223*$AD$51</f>
        <v>2.7569593472814</v>
      </c>
      <c r="Y223" s="0" t="n">
        <f aca="false">(-W223+SQRT(W223^2-4*$C223))/2</f>
        <v>1.35034525535868</v>
      </c>
      <c r="Z223" s="0" t="n">
        <f aca="false">(-X223+SQRT(X223^2-4*$D223))/2</f>
        <v>0.895136931450545</v>
      </c>
      <c r="AA223" s="0" t="n">
        <f aca="false">IF(Y223&lt;&gt;0,($C$21-$B223)*$V223/Y223/$AC$51-$AC$60*$AC$51,0)</f>
        <v>-0.00059973785358681</v>
      </c>
      <c r="AB223" s="0" t="n">
        <f aca="false">IF(Z223&lt;&gt;0,($C$27-$B223)*$V223/Z223/$AD$51-$AC$60*$AD$51,0)</f>
        <v>-0.000624353470925498</v>
      </c>
      <c r="AC223" s="0" t="n">
        <f aca="false">V223*1.001</f>
        <v>-0.0527066990077517</v>
      </c>
      <c r="AD223" s="0" t="n">
        <f aca="false">-AC223*$AC$51</f>
        <v>5.51943261325737</v>
      </c>
      <c r="AE223" s="0" t="n">
        <f aca="false">-AC223*$AD$51</f>
        <v>2.75971630662868</v>
      </c>
      <c r="AF223" s="0" t="n">
        <f aca="false">(-AD223+SQRT(AD223^2-4*$C223))/2</f>
        <v>1.34943936691039</v>
      </c>
      <c r="AG223" s="0" t="n">
        <f aca="false">(-AE223+SQRT(AE223^2-4*$D223))/2</f>
        <v>0.89459447964466</v>
      </c>
      <c r="AH223" s="0" t="n">
        <f aca="false">IF(AF223&lt;&gt;0,($C$21-$B223)*$AC223/AF223/$AC$51-$AC$60*$AC$51,0)</f>
        <v>-0.000600699635384291</v>
      </c>
      <c r="AI223" s="0" t="n">
        <f aca="false">IF(AG223&lt;&gt;0,($C$27-$B223)*$AC223/AG223/$AD$51-$AC$60*$AD$51,0)</f>
        <v>-0.000625337102663211</v>
      </c>
      <c r="AJ223" s="0" t="n">
        <f aca="false">(AH223-AA223)/($AC223-$V223)</f>
        <v>0.018266057207208</v>
      </c>
      <c r="AK223" s="0" t="n">
        <f aca="false">(AI223-AB223)/($AC223-$V223)</f>
        <v>0.018681028939143</v>
      </c>
      <c r="AL223" s="0" t="n">
        <f aca="false">IF(AJ223&lt;&gt;AK223,(AB223-AA223)/(AJ223-AK223),0)</f>
        <v>0.0593187811225252</v>
      </c>
      <c r="AM223" s="0" t="n">
        <f aca="false">V223+AL223</f>
        <v>0.00666473615973626</v>
      </c>
      <c r="AN223" s="0" t="n">
        <f aca="false">-AM223*$AC$51</f>
        <v>-0.697929538584723</v>
      </c>
      <c r="AO223" s="0" t="n">
        <f aca="false">-AM223*$AD$51</f>
        <v>-0.348964769292362</v>
      </c>
      <c r="AP223" s="0" t="n">
        <f aca="false">(-AN223+SQRT(AN223^2-4*$C223))/2</f>
        <v>3.41342274200358</v>
      </c>
      <c r="AQ223" s="0" t="n">
        <f aca="false">(-AO223+SQRT(AO223^2-4*$D223))/2</f>
        <v>1.99095433842303</v>
      </c>
      <c r="AR223" s="0" t="n">
        <f aca="false">IF(AP223&lt;&gt;0,($C$21-$B223)*$AM223/AP223/$AC$51-$AC$60*$AC$51,0)</f>
        <v>4.30180121421126E-006</v>
      </c>
      <c r="AS223" s="0" t="n">
        <f aca="false">IF(AQ223&lt;&gt;0,($C$27-$B223)*$AM223/AQ223/$AD$51-$AC$60*$AD$51,0)</f>
        <v>2.25829442454632E-005</v>
      </c>
      <c r="AT223" s="0" t="n">
        <f aca="false">AM223*1.001</f>
        <v>0.006671400895896</v>
      </c>
      <c r="AU223" s="0" t="n">
        <f aca="false">-AT223*$AC$51</f>
        <v>-0.698627468123308</v>
      </c>
      <c r="AV223" s="0" t="n">
        <f aca="false">-AT223*$AD$51</f>
        <v>-0.349313734061654</v>
      </c>
      <c r="AW223" s="0" t="n">
        <f aca="false">(-AU223+SQRT(AU223^2-4*$C223))/2</f>
        <v>3.41381146470369</v>
      </c>
      <c r="AX223" s="0" t="n">
        <f aca="false">(-AV223+SQRT(AV223^2-4*$D223))/2</f>
        <v>1.99114558912824</v>
      </c>
      <c r="AY223" s="0" t="n">
        <f aca="false">IF(AW223&lt;&gt;0,($C$21-$B223)*$AT223/AW223/$AC$51-$AC$60*$AC$51,0)</f>
        <v>4.32732203236506E-006</v>
      </c>
      <c r="AZ223" s="0" t="n">
        <f aca="false">IF(AX223&lt;&gt;0,($C$27-$B223)*$AT223/AX223/$AD$51-$AC$60*$AD$51,0)</f>
        <v>2.26144290832431E-005</v>
      </c>
      <c r="BA223" s="0" t="n">
        <f aca="false">(AY223-AR223)/($AT223-$AM223)</f>
        <v>0.00382923157678482</v>
      </c>
      <c r="BB223" s="0" t="n">
        <f aca="false">(AZ223-AS223)/($AT223-$AM223)</f>
        <v>0.00472409365131289</v>
      </c>
      <c r="BC223" s="0" t="n">
        <f aca="false">IF(BA223&lt;&gt;BB223,(AS223-AR223)/(BA223-BB223),0)</f>
        <v>-0.020429006381674</v>
      </c>
      <c r="BD223" s="0" t="n">
        <f aca="false">AM223+BC223</f>
        <v>-0.0137642702219378</v>
      </c>
      <c r="BE223" s="0" t="n">
        <f aca="false">-BD223*$AC$51</f>
        <v>1.44139100704215</v>
      </c>
      <c r="BF223" s="0" t="n">
        <f aca="false">-BD223*$AD$51</f>
        <v>0.720695503521075</v>
      </c>
      <c r="BG223" s="0" t="n">
        <f aca="false">(-BE223+SQRT(BE223^2-4*$C223))/2</f>
        <v>2.40796687281511</v>
      </c>
      <c r="BH223" s="0" t="n">
        <f aca="false">(-BF223+SQRT(BF223^2-4*$D223))/2</f>
        <v>1.48328365351139</v>
      </c>
      <c r="BI223" s="0" t="n">
        <f aca="false">IF(BG223&lt;&gt;0,($C$21-$B223)*$BD223/BG223/$AC$51-$AC$60*$AC$51,0)</f>
        <v>-0.00010882815486463</v>
      </c>
      <c r="BJ223" s="0" t="n">
        <f aca="false">IF(BH223&lt;&gt;0,($C$27-$B223)*$BD223/BH223/$AD$51-$AC$60*$AD$51,0)</f>
        <v>-0.000108814077863815</v>
      </c>
      <c r="BK223" s="0" t="n">
        <f aca="false">BD223*1.001</f>
        <v>-0.0137780344921597</v>
      </c>
      <c r="BL223" s="0" t="n">
        <f aca="false">-BK223*$AC$51</f>
        <v>1.44283239804919</v>
      </c>
      <c r="BM223" s="0" t="n">
        <f aca="false">-BK223*$AD$51</f>
        <v>0.721416199024596</v>
      </c>
      <c r="BN223" s="0" t="n">
        <f aca="false">(-BL223+SQRT(BL223^2-4*$C223))/2</f>
        <v>2.40741226999079</v>
      </c>
      <c r="BO223" s="0" t="n">
        <f aca="false">(-BM223+SQRT(BM223^2-4*$D223))/2</f>
        <v>1.48299377155033</v>
      </c>
      <c r="BP223" s="0" t="n">
        <f aca="false">IF(BN223&lt;&gt;0,($C$21-$B223)*$BK223/BN223/$AC$51-$AC$60*$AC$51,0)</f>
        <v>-0.000108931926752646</v>
      </c>
      <c r="BQ223" s="0" t="n">
        <f aca="false">IF(BO223&lt;&gt;0,($C$27-$B223)*$BK223/BO223/$AD$51-$AC$60*$AD$51,0)</f>
        <v>-0.000108929534998231</v>
      </c>
      <c r="BR223" s="0" t="n">
        <f aca="false">(BP223-BI223)/($BK223-$BD223)</f>
        <v>0.00753922193788018</v>
      </c>
      <c r="BS223" s="0" t="n">
        <f aca="false">(BQ223-BJ223)/($BK223-$BD223)</f>
        <v>0.00838817696503857</v>
      </c>
      <c r="BT223" s="0" t="n">
        <f aca="false">IF(BR223&lt;&gt;BS223,(BJ223-BI223)/(BR223-BS223),0)</f>
        <v>-1.65815624669685E-005</v>
      </c>
      <c r="BU223" s="0" t="n">
        <f aca="false">BD223+BT223</f>
        <v>-0.0137808517844048</v>
      </c>
      <c r="BV223" s="0" t="n">
        <f aca="false">-BU223*$AC$51</f>
        <v>1.44312742420319</v>
      </c>
      <c r="BW223" s="0" t="n">
        <f aca="false">-BU223*$AD$51</f>
        <v>0.721563712101596</v>
      </c>
      <c r="BX223" s="0" t="n">
        <f aca="false">(-BV223+SQRT(BV223^2-4*$C223))/2</f>
        <v>2.40729877240102</v>
      </c>
      <c r="BY223" s="0" t="n">
        <f aca="false">(-BW223+SQRT(BW223^2-4*$D223))/2</f>
        <v>1.48293444641049</v>
      </c>
      <c r="BZ223" s="0" t="n">
        <f aca="false">IF(BX223&lt;&gt;0,($C$21-$B223)*$BU223/BX223/$AC$51-$AC$60*$AC$51,0)</f>
        <v>-0.000108953172159283</v>
      </c>
      <c r="CA223" s="0" t="n">
        <f aca="false">IF(BY223&lt;&gt;0,($C$27-$B223)*$BU223/BY223/$AD$51-$AC$60*$AD$51,0)</f>
        <v>-0.000108953171964652</v>
      </c>
      <c r="CB223" s="0" t="n">
        <f aca="false">BU223*1.001</f>
        <v>-0.0137946326361892</v>
      </c>
      <c r="CC223" s="0" t="n">
        <f aca="false">-CB223*$AC$51</f>
        <v>1.4445705516274</v>
      </c>
      <c r="CD223" s="0" t="n">
        <f aca="false">-CB223*$AD$51</f>
        <v>0.722285275813698</v>
      </c>
      <c r="CE223" s="0" t="n">
        <f aca="false">(-CC223+SQRT(CC223^2-4*$C223))/2</f>
        <v>2.4067436911285</v>
      </c>
      <c r="CF223" s="0" t="n">
        <f aca="false">(-CD223+SQRT(CD223^2-4*$D223))/2</f>
        <v>1.48264429696941</v>
      </c>
      <c r="CG223" s="0" t="n">
        <f aca="false">IF(CE223&lt;&gt;0,($C$21-$B223)*$CB223/CE223/$AC$51-$AC$60*$AC$51,0)</f>
        <v>-0.000109057120109177</v>
      </c>
      <c r="CH223" s="0" t="n">
        <f aca="false">IF(CF223&lt;&gt;0,($C$27-$B223)*$CB223/CF223/$AD$51-$AC$60*$AD$51,0)</f>
        <v>-0.000109068817332369</v>
      </c>
      <c r="CI223" s="0" t="n">
        <f aca="false">(CG223-BZ223)/($CB223-$BU223)</f>
        <v>0.007542926338677</v>
      </c>
      <c r="CJ223" s="0" t="n">
        <f aca="false">(CH223-CA223)/($CB223-$BU223)</f>
        <v>0.0083917430886223</v>
      </c>
      <c r="CK223" s="0" t="n">
        <f aca="false">IF(CI223&lt;&gt;CJ223,(CA223-BZ223)/(CI223-CJ223),0)</f>
        <v>-2.29296921864831E-010</v>
      </c>
      <c r="CL223" s="6" t="str">
        <f aca="false">IF(AND(BU223&gt;0,CE223&gt;0,CE223&lt;$C$15,CF223&lt;$C$15,CG223&gt;0,ABS(CK223)&lt;0.1*BU223),B223,"")</f>
        <v/>
      </c>
      <c r="CM223" s="0" t="n">
        <f aca="false">CG223+BU223^2/$C$39</f>
        <v>-7.74051407918888E-005</v>
      </c>
      <c r="CN223" s="0" t="n">
        <f aca="false">-BU223*$C$15/$C$39</f>
        <v>0.0137808517844048</v>
      </c>
      <c r="CO223" s="0" t="n">
        <f aca="false">IF(CL223&lt;&gt;"",(-CM223+SQRT(CM223^2-4*$AC$60*CN223))/2/$AC$60,0)</f>
        <v>0</v>
      </c>
      <c r="CP223" s="0" t="n">
        <f aca="false">CO223*30/PI()</f>
        <v>0</v>
      </c>
      <c r="DB223" s="6"/>
    </row>
    <row r="224" customFormat="false" ht="12.75" hidden="false" customHeight="false" outlineLevel="0" collapsed="false">
      <c r="A224" s="0" t="n">
        <f aca="false">A223+0.01</f>
        <v>0.75</v>
      </c>
      <c r="B224" s="0" t="n">
        <f aca="false">A224*$AC$68</f>
        <v>1.47480975400235</v>
      </c>
      <c r="C224" s="0" t="n">
        <f aca="false">$C$39*($B224-$C$21)</f>
        <v>-9.15114147598588</v>
      </c>
      <c r="D224" s="0" t="n">
        <f aca="false">$C$39*($B224-$C$27)</f>
        <v>-3.15114147598588</v>
      </c>
      <c r="E224" s="0" t="n">
        <f aca="false">$AC$71</f>
        <v>0.0474257507541105</v>
      </c>
      <c r="F224" s="0" t="n">
        <f aca="false">-E224*$AC$51</f>
        <v>-4.96641300533647</v>
      </c>
      <c r="G224" s="0" t="n">
        <f aca="false">-E224*$AD$51</f>
        <v>-2.48320650266823</v>
      </c>
      <c r="H224" s="0" t="n">
        <f aca="false">(-F224+SQRT(F224^2-4*$C224))/2</f>
        <v>6.39695866790298</v>
      </c>
      <c r="I224" s="0" t="n">
        <f aca="false">(-G224+SQRT(G224^2-4*$D224))/2</f>
        <v>3.40787195805296</v>
      </c>
      <c r="J224" s="0" t="n">
        <f aca="false">IF(H224&lt;&gt;0,($C$21-$B224)*$E224/H224/$AC$51-$AC$60*$AC$51,0)</f>
        <v>8.34760637241293E-005</v>
      </c>
      <c r="K224" s="0" t="n">
        <f aca="false">IF(I224&lt;&gt;0,($C$27-$B224)*$E224/I224/$AD$51-$AC$60*$AD$51,0)</f>
        <v>0.000127337219517633</v>
      </c>
      <c r="L224" s="0" t="n">
        <f aca="false">E224*1.001</f>
        <v>0.0474731765048646</v>
      </c>
      <c r="M224" s="0" t="n">
        <f aca="false">-L224*$AC$51</f>
        <v>-4.97137941834181</v>
      </c>
      <c r="N224" s="0" t="n">
        <f aca="false">-L224*$AD$51</f>
        <v>-2.4856897091709</v>
      </c>
      <c r="O224" s="0" t="n">
        <f aca="false">(-M224+SQRT(M224^2-4*$C224))/2</f>
        <v>6.40101789544904</v>
      </c>
      <c r="P224" s="0" t="n">
        <f aca="false">(-N224+SQRT(N224^2-4*$D224))/2</f>
        <v>3.40982542869206</v>
      </c>
      <c r="Q224" s="0" t="n">
        <f aca="false">IF(O224&lt;&gt;0,($C$21-$B224)*$L224/O224/$AC$51-$AC$60*$AC$51,0)</f>
        <v>8.35154987008053E-005</v>
      </c>
      <c r="R224" s="0" t="n">
        <f aca="false">IF(P224&lt;&gt;0,($C$27-$B224)*$L224/P224/$AD$51-$AC$60*$AD$51,0)</f>
        <v>0.000127396758456408</v>
      </c>
      <c r="S224" s="0" t="n">
        <f aca="false">(Q224-J224)/($L224-$E224)</f>
        <v>0.000831509803196175</v>
      </c>
      <c r="T224" s="0" t="n">
        <f aca="false">(R224-K224)/($L224-$E224)</f>
        <v>0.001255413732594</v>
      </c>
      <c r="U224" s="0" t="n">
        <f aca="false">IF(S224&lt;&gt;T224,(K224-J224)/(S224-T224),0)</f>
        <v>-0.10346956645533</v>
      </c>
      <c r="V224" s="0" t="n">
        <f aca="false">E224+U224</f>
        <v>-0.0560438157012192</v>
      </c>
      <c r="W224" s="0" t="n">
        <f aca="false">-V224*$AC$51</f>
        <v>5.86889465620301</v>
      </c>
      <c r="X224" s="0" t="n">
        <f aca="false">-V224*$AD$51</f>
        <v>2.93444732810151</v>
      </c>
      <c r="Y224" s="0" t="n">
        <f aca="false">(-W224+SQRT(W224^2-4*$C224))/2</f>
        <v>1.2800660005508</v>
      </c>
      <c r="Z224" s="0" t="n">
        <f aca="false">(-X224+SQRT(X224^2-4*$D224))/2</f>
        <v>0.835793217419376</v>
      </c>
      <c r="AA224" s="0" t="n">
        <f aca="false">IF(Y224&lt;&gt;0,($C$21-$B224)*$V224/Y224/$AC$51-$AC$60*$AC$51,0)</f>
        <v>-0.000662164423756467</v>
      </c>
      <c r="AB224" s="0" t="n">
        <f aca="false">IF(Z224&lt;&gt;0,($C$27-$B224)*$V224/Z224/$AD$51-$AC$60*$AD$51,0)</f>
        <v>-0.000684835610746963</v>
      </c>
      <c r="AC224" s="0" t="n">
        <f aca="false">V224*1.001</f>
        <v>-0.0560998595169204</v>
      </c>
      <c r="AD224" s="0" t="n">
        <f aca="false">-AC224*$AC$51</f>
        <v>5.87476355085922</v>
      </c>
      <c r="AE224" s="0" t="n">
        <f aca="false">-AC224*$AD$51</f>
        <v>2.93738177542961</v>
      </c>
      <c r="AF224" s="0" t="n">
        <f aca="false">(-AD224+SQRT(AD224^2-4*$C224))/2</f>
        <v>1.27917525259834</v>
      </c>
      <c r="AG224" s="0" t="n">
        <f aca="false">(-AE224+SQRT(AE224^2-4*$D224))/2</f>
        <v>0.835261021427915</v>
      </c>
      <c r="AH224" s="0" t="n">
        <f aca="false">IF(AF224&lt;&gt;0,($C$21-$B224)*$AC224/AF224/$AC$51-$AC$60*$AC$51,0)</f>
        <v>-0.000663246563357634</v>
      </c>
      <c r="AI224" s="0" t="n">
        <f aca="false">IF(AG224&lt;&gt;0,($C$27-$B224)*$AC224/AG224/$AD$51-$AC$60*$AD$51,0)</f>
        <v>-0.000685937168672994</v>
      </c>
      <c r="AJ224" s="0" t="n">
        <f aca="false">(AH224-AA224)/($AC224-$V224)</f>
        <v>0.0193088137848469</v>
      </c>
      <c r="AK224" s="0" t="n">
        <f aca="false">(AI224-AB224)/($AC224-$V224)</f>
        <v>0.0196552984883085</v>
      </c>
      <c r="AL224" s="0" t="n">
        <f aca="false">IF(AJ224&lt;&gt;AK224,(AB224-AA224)/(AJ224-AK224),0)</f>
        <v>0.0654319996351918</v>
      </c>
      <c r="AM224" s="0" t="n">
        <f aca="false">V224+AL224</f>
        <v>0.00938818393397264</v>
      </c>
      <c r="AN224" s="0" t="n">
        <f aca="false">-AM224*$AC$51</f>
        <v>-0.983128322583939</v>
      </c>
      <c r="AO224" s="0" t="n">
        <f aca="false">-AM224*$AD$51</f>
        <v>-0.49156416129197</v>
      </c>
      <c r="AP224" s="0" t="n">
        <f aca="false">(-AN224+SQRT(AN224^2-4*$C224))/2</f>
        <v>3.55632790433197</v>
      </c>
      <c r="AQ224" s="0" t="n">
        <f aca="false">(-AO224+SQRT(AO224^2-4*$D224))/2</f>
        <v>2.03786196367368</v>
      </c>
      <c r="AR224" s="0" t="n">
        <f aca="false">IF(AP224&lt;&gt;0,($C$21-$B224)*$AM224/AP224/$AC$51-$AC$60*$AC$51,0)</f>
        <v>1.39459942973027E-005</v>
      </c>
      <c r="AS224" s="0" t="n">
        <f aca="false">IF(AQ224&lt;&gt;0,($C$27-$B224)*$AM224/AQ224/$AD$51-$AC$60*$AD$51,0)</f>
        <v>3.39577509890392E-005</v>
      </c>
      <c r="AT224" s="0" t="n">
        <f aca="false">AM224*1.001</f>
        <v>0.00939757211790661</v>
      </c>
      <c r="AU224" s="0" t="n">
        <f aca="false">-AT224*$AC$51</f>
        <v>-0.984111450906523</v>
      </c>
      <c r="AV224" s="0" t="n">
        <f aca="false">-AT224*$AD$51</f>
        <v>-0.492055725453262</v>
      </c>
      <c r="AW224" s="0" t="n">
        <f aca="false">(-AU224+SQRT(AU224^2-4*$C224))/2</f>
        <v>3.55689834995084</v>
      </c>
      <c r="AX224" s="0" t="n">
        <f aca="false">(-AV224+SQRT(AV224^2-4*$D224))/2</f>
        <v>2.03814147107397</v>
      </c>
      <c r="AY224" s="0" t="n">
        <f aca="false">IF(AW224&lt;&gt;0,($C$21-$B224)*$AT224/AW224/$AC$51-$AC$60*$AC$51,0)</f>
        <v>1.39782700531667E-005</v>
      </c>
      <c r="AZ224" s="0" t="n">
        <f aca="false">IF(AX224&lt;&gt;0,($C$27-$B224)*$AT224/AX224/$AD$51-$AC$60*$AD$51,0)</f>
        <v>3.39976164676733E-005</v>
      </c>
      <c r="BA224" s="0" t="n">
        <f aca="false">(AY224-AR224)/($AT224-$AM224)</f>
        <v>0.0034379126028061</v>
      </c>
      <c r="BB224" s="0" t="n">
        <f aca="false">(AZ224-AS224)/($AT224-$AM224)</f>
        <v>0.00424634614260121</v>
      </c>
      <c r="BC224" s="0" t="n">
        <f aca="false">IF(BA224&lt;&gt;BB224,(AS224-AR224)/(BA224-BB224),0)</f>
        <v>-0.0247537437608146</v>
      </c>
      <c r="BD224" s="0" t="n">
        <f aca="false">AM224+BC224</f>
        <v>-0.015365559826842</v>
      </c>
      <c r="BE224" s="0" t="n">
        <f aca="false">-BD224*$AC$51</f>
        <v>1.60907766234337</v>
      </c>
      <c r="BF224" s="0" t="n">
        <f aca="false">-BD224*$AD$51</f>
        <v>0.804538831171686</v>
      </c>
      <c r="BG224" s="0" t="n">
        <f aca="false">(-BE224+SQRT(BE224^2-4*$C224))/2</f>
        <v>2.32570464288093</v>
      </c>
      <c r="BH224" s="0" t="n">
        <f aca="false">(-BF224+SQRT(BF224^2-4*$D224))/2</f>
        <v>1.41788501706586</v>
      </c>
      <c r="BI224" s="0" t="n">
        <f aca="false">IF(BG224&lt;&gt;0,($C$21-$B224)*$BD224/BG224/$AC$51-$AC$60*$AC$51,0)</f>
        <v>-0.000120727423327521</v>
      </c>
      <c r="BJ224" s="0" t="n">
        <f aca="false">IF(BH224&lt;&gt;0,($C$27-$B224)*$BD224/BH224/$AD$51-$AC$60*$AD$51,0)</f>
        <v>-0.000120950030357288</v>
      </c>
      <c r="BK224" s="0" t="n">
        <f aca="false">BD224*1.001</f>
        <v>-0.0153809253866688</v>
      </c>
      <c r="BL224" s="0" t="n">
        <f aca="false">-BK224*$AC$51</f>
        <v>1.61068674000572</v>
      </c>
      <c r="BM224" s="0" t="n">
        <f aca="false">-BK224*$AD$51</f>
        <v>0.805343370002858</v>
      </c>
      <c r="BN224" s="0" t="n">
        <f aca="false">(-BL224+SQRT(BL224^2-4*$C224))/2</f>
        <v>2.32510698411449</v>
      </c>
      <c r="BO224" s="0" t="n">
        <f aca="false">(-BM224+SQRT(BM224^2-4*$D224))/2</f>
        <v>1.41757169484858</v>
      </c>
      <c r="BP224" s="0" t="n">
        <f aca="false">IF(BN224&lt;&gt;0,($C$21-$B224)*$BK224/BN224/$AC$51-$AC$60*$AC$51,0)</f>
        <v>-0.000120848407649601</v>
      </c>
      <c r="BQ224" s="0" t="n">
        <f aca="false">IF(BO224&lt;&gt;0,($C$27-$B224)*$BK224/BO224/$AD$51-$AC$60*$AD$51,0)</f>
        <v>-0.000121082778798242</v>
      </c>
      <c r="BR224" s="0" t="n">
        <f aca="false">(BP224-BI224)/($BK224-$BD224)</f>
        <v>0.00787373343003738</v>
      </c>
      <c r="BS224" s="0" t="n">
        <f aca="false">(BQ224-BJ224)/($BK224-$BD224)</f>
        <v>0.00863934945746344</v>
      </c>
      <c r="BT224" s="0" t="n">
        <f aca="false">IF(BR224&lt;&gt;BS224,(BJ224-BI224)/(BR224-BS224),0)</f>
        <v>0.00029075544632417</v>
      </c>
      <c r="BU224" s="0" t="n">
        <f aca="false">BD224+BT224</f>
        <v>-0.0150748043805178</v>
      </c>
      <c r="BV224" s="0" t="n">
        <f aca="false">-BU224*$AC$51</f>
        <v>1.5786298232046</v>
      </c>
      <c r="BW224" s="0" t="n">
        <f aca="false">-BU224*$AD$51</f>
        <v>0.789314911602299</v>
      </c>
      <c r="BX224" s="0" t="n">
        <f aca="false">(-BV224+SQRT(BV224^2-4*$C224))/2</f>
        <v>2.3370503110906</v>
      </c>
      <c r="BY224" s="0" t="n">
        <f aca="false">(-BW224+SQRT(BW224^2-4*$D224))/2</f>
        <v>1.42382982306701</v>
      </c>
      <c r="BZ224" s="0" t="n">
        <f aca="false">IF(BX224&lt;&gt;0,($C$21-$B224)*$BU224/BX224/$AC$51-$AC$60*$AC$51,0)</f>
        <v>-0.000118448291318304</v>
      </c>
      <c r="CA224" s="0" t="n">
        <f aca="false">IF(BY224&lt;&gt;0,($C$27-$B224)*$BU224/BY224/$AD$51-$AC$60*$AD$51,0)</f>
        <v>-0.000118447915199604</v>
      </c>
      <c r="CB224" s="0" t="n">
        <f aca="false">BU224*1.001</f>
        <v>-0.0150898791848983</v>
      </c>
      <c r="CC224" s="0" t="n">
        <f aca="false">-CB224*$AC$51</f>
        <v>1.5802084530278</v>
      </c>
      <c r="CD224" s="0" t="n">
        <f aca="false">-CB224*$AD$51</f>
        <v>0.790104226513901</v>
      </c>
      <c r="CE224" s="0" t="n">
        <f aca="false">(-CC224+SQRT(CC224^2-4*$C224))/2</f>
        <v>2.33646036817162</v>
      </c>
      <c r="CF224" s="0" t="n">
        <f aca="false">(-CD224+SQRT(CD224^2-4*$D224))/2</f>
        <v>1.423520857007</v>
      </c>
      <c r="CG224" s="0" t="n">
        <f aca="false">IF(CE224&lt;&gt;0,($C$21-$B224)*$CB224/CE224/$AC$51-$AC$60*$AC$51,0)</f>
        <v>-0.000118565982066487</v>
      </c>
      <c r="CH224" s="0" t="n">
        <f aca="false">IF(CF224&lt;&gt;0,($C$27-$B224)*$CB224/CF224/$AD$51-$AC$60*$AD$51,0)</f>
        <v>-0.000118577184441533</v>
      </c>
      <c r="CI224" s="0" t="n">
        <f aca="false">(CG224-BZ224)/($CB224-$BU224)</f>
        <v>0.00780711611324488</v>
      </c>
      <c r="CJ224" s="0" t="n">
        <f aca="false">(CH224-CA224)/($CB224-$BU224)</f>
        <v>0.00857518536669933</v>
      </c>
      <c r="CK224" s="0" t="n">
        <f aca="false">IF(CI224&lt;&gt;CJ224,(CA224-BZ224)/(CI224-CJ224),0)</f>
        <v>-4.89693733431739E-007</v>
      </c>
      <c r="CL224" s="6" t="str">
        <f aca="false">IF(AND(BU224&gt;0,CE224&gt;0,CE224&lt;$C$15,CF224&lt;$C$15,CG224&gt;0,ABS(CK224)&lt;0.1*BU224),B224,"")</f>
        <v/>
      </c>
      <c r="CM224" s="0" t="n">
        <f aca="false">CG224+BU224^2/$C$39</f>
        <v>-8.06910275480074E-005</v>
      </c>
      <c r="CN224" s="0" t="n">
        <f aca="false">-BU224*$C$15/$C$39</f>
        <v>0.0150748043805178</v>
      </c>
      <c r="CO224" s="0" t="n">
        <f aca="false">IF(CL224&lt;&gt;"",(-CM224+SQRT(CM224^2-4*$AC$60*CN224))/2/$AC$60,0)</f>
        <v>0</v>
      </c>
      <c r="CP224" s="0" t="n">
        <f aca="false">CO224*30/PI()</f>
        <v>0</v>
      </c>
      <c r="DB224" s="6"/>
    </row>
    <row r="225" customFormat="false" ht="12.75" hidden="false" customHeight="false" outlineLevel="0" collapsed="false">
      <c r="A225" s="0" t="n">
        <f aca="false">A224+0.01</f>
        <v>0.76</v>
      </c>
      <c r="B225" s="0" t="n">
        <f aca="false">A225*$AC$68</f>
        <v>1.49447388405572</v>
      </c>
      <c r="C225" s="0" t="n">
        <f aca="false">$C$39*($B225-$C$21)</f>
        <v>-9.03315669566569</v>
      </c>
      <c r="D225" s="0" t="n">
        <f aca="false">$C$39*($B225-$C$27)</f>
        <v>-3.03315669566569</v>
      </c>
      <c r="E225" s="0" t="n">
        <f aca="false">$AC$71</f>
        <v>0.0474257507541105</v>
      </c>
      <c r="F225" s="0" t="n">
        <f aca="false">-E225*$AC$51</f>
        <v>-4.96641300533647</v>
      </c>
      <c r="G225" s="0" t="n">
        <f aca="false">-E225*$AD$51</f>
        <v>-2.48320650266823</v>
      </c>
      <c r="H225" s="0" t="n">
        <f aca="false">(-F225+SQRT(F225^2-4*$C225))/2</f>
        <v>6.38185642675215</v>
      </c>
      <c r="I225" s="0" t="n">
        <f aca="false">(-G225+SQRT(G225^2-4*$D225))/2</f>
        <v>3.38046634405164</v>
      </c>
      <c r="J225" s="0" t="n">
        <f aca="false">IF(H225&lt;&gt;0,($C$21-$B225)*$E225/H225/$AC$51-$AC$60*$AC$51,0)</f>
        <v>8.23361401190916E-005</v>
      </c>
      <c r="K225" s="0" t="n">
        <f aca="false">IF(I225&lt;&gt;0,($C$27-$B225)*$E225/I225/$AD$51-$AC$60*$AD$51,0)</f>
        <v>0.000123200044644229</v>
      </c>
      <c r="L225" s="0" t="n">
        <f aca="false">E225*1.001</f>
        <v>0.0474731765048646</v>
      </c>
      <c r="M225" s="0" t="n">
        <f aca="false">-L225*$AC$51</f>
        <v>-4.97137941834181</v>
      </c>
      <c r="N225" s="0" t="n">
        <f aca="false">-L225*$AD$51</f>
        <v>-2.4856897091709</v>
      </c>
      <c r="O225" s="0" t="n">
        <f aca="false">(-M225+SQRT(M225^2-4*$C225))/2</f>
        <v>6.38592175687573</v>
      </c>
      <c r="P225" s="0" t="n">
        <f aca="false">(-N225+SQRT(N225^2-4*$D225))/2</f>
        <v>3.38242893291358</v>
      </c>
      <c r="Q225" s="0" t="n">
        <f aca="false">IF(O225&lt;&gt;0,($C$21-$B225)*$L225/O225/$AC$51-$AC$60*$AC$51,0)</f>
        <v>8.23748962579436E-005</v>
      </c>
      <c r="R225" s="0" t="n">
        <f aca="false">IF(P225&lt;&gt;0,($C$27-$B225)*$L225/P225/$AD$51-$AC$60*$AD$51,0)</f>
        <v>0.000123256824279326</v>
      </c>
      <c r="S225" s="0" t="n">
        <f aca="false">(Q225-J225)/($L225-$E225)</f>
        <v>0.000817196106245222</v>
      </c>
      <c r="T225" s="0" t="n">
        <f aca="false">(R225-K225)/($L225-$E225)</f>
        <v>0.00119723218282056</v>
      </c>
      <c r="U225" s="0" t="n">
        <f aca="false">IF(S225&lt;&gt;T225,(K225-J225)/(S225-T225),0)</f>
        <v>-0.107526382477628</v>
      </c>
      <c r="V225" s="0" t="n">
        <f aca="false">E225+U225</f>
        <v>-0.0601006317235174</v>
      </c>
      <c r="W225" s="0" t="n">
        <f aca="false">-V225*$AC$51</f>
        <v>6.2937234366236</v>
      </c>
      <c r="X225" s="0" t="n">
        <f aca="false">-V225*$AD$51</f>
        <v>3.1468617183118</v>
      </c>
      <c r="Y225" s="0" t="n">
        <f aca="false">(-W225+SQRT(W225^2-4*$C225))/2</f>
        <v>1.20467770697691</v>
      </c>
      <c r="Z225" s="0" t="n">
        <f aca="false">(-X225+SQRT(X225^2-4*$D225))/2</f>
        <v>0.77366124900896</v>
      </c>
      <c r="AA225" s="0" t="n">
        <f aca="false">IF(Y225&lt;&gt;0,($C$21-$B225)*$V225/Y225/$AC$51-$AC$60*$AC$51,0)</f>
        <v>-0.000741747644208713</v>
      </c>
      <c r="AB225" s="0" t="n">
        <f aca="false">IF(Z225&lt;&gt;0,($C$27-$B225)*$V225/Z225/$AD$51-$AC$60*$AD$51,0)</f>
        <v>-0.000762271623058433</v>
      </c>
      <c r="AC225" s="0" t="n">
        <f aca="false">V225*1.001</f>
        <v>-0.0601607323552409</v>
      </c>
      <c r="AD225" s="0" t="n">
        <f aca="false">-AC225*$AC$51</f>
        <v>6.30001716006022</v>
      </c>
      <c r="AE225" s="0" t="n">
        <f aca="false">-AC225*$AD$51</f>
        <v>3.15000858003011</v>
      </c>
      <c r="AF225" s="0" t="n">
        <f aca="false">(-AD225+SQRT(AD225^2-4*$C225))/2</f>
        <v>1.2038070740748</v>
      </c>
      <c r="AG225" s="0" t="n">
        <f aca="false">(-AE225+SQRT(AE225^2-4*$D225))/2</f>
        <v>0.773142896434619</v>
      </c>
      <c r="AH225" s="0" t="n">
        <f aca="false">IF(AF225&lt;&gt;0,($C$21-$B225)*$AC225/AF225/$AC$51-$AC$60*$AC$51,0)</f>
        <v>-0.000742984144018681</v>
      </c>
      <c r="AI225" s="0" t="n">
        <f aca="false">IF(AG225&lt;&gt;0,($C$27-$B225)*$AC225/AG225/$AD$51-$AC$60*$AD$51,0)</f>
        <v>-0.000763524996698954</v>
      </c>
      <c r="AJ225" s="0" t="n">
        <f aca="false">(AH225-AA225)/($AC225-$V225)</f>
        <v>0.0205738238435834</v>
      </c>
      <c r="AK225" s="0" t="n">
        <f aca="false">(AI225-AB225)/($AC225-$V225)</f>
        <v>0.0208545834640563</v>
      </c>
      <c r="AL225" s="0" t="n">
        <f aca="false">IF(AJ225&lt;&gt;AK225,(AB225-AA225)/(AJ225-AK225),0)</f>
        <v>0.07310160490726</v>
      </c>
      <c r="AM225" s="0" t="n">
        <f aca="false">V225+AL225</f>
        <v>0.0130009731837426</v>
      </c>
      <c r="AN225" s="0" t="n">
        <f aca="false">-AM225*$AC$51</f>
        <v>-1.36145872811878</v>
      </c>
      <c r="AO225" s="0" t="n">
        <f aca="false">-AM225*$AD$51</f>
        <v>-0.680729364059392</v>
      </c>
      <c r="AP225" s="0" t="n">
        <f aca="false">(-AN225+SQRT(AN225^2-4*$C225))/2</f>
        <v>3.76237651497697</v>
      </c>
      <c r="AQ225" s="0" t="n">
        <f aca="false">(-AO225+SQRT(AO225^2-4*$D225))/2</f>
        <v>2.11490823247834</v>
      </c>
      <c r="AR225" s="0" t="n">
        <f aca="false">IF(AP225&lt;&gt;0,($C$21-$B225)*$AM225/AP225/$AC$51-$AC$60*$AC$51,0)</f>
        <v>2.51769169043097E-005</v>
      </c>
      <c r="AS225" s="0" t="n">
        <f aca="false">IF(AQ225&lt;&gt;0,($C$27-$B225)*$AM225/AQ225/$AD$51-$AC$60*$AD$51,0)</f>
        <v>4.71001067264388E-005</v>
      </c>
      <c r="AT225" s="0" t="n">
        <f aca="false">AM225*1.001</f>
        <v>0.0130139741569263</v>
      </c>
      <c r="AU225" s="0" t="n">
        <f aca="false">-AT225*$AC$51</f>
        <v>-1.3628201868469</v>
      </c>
      <c r="AV225" s="0" t="n">
        <f aca="false">-AT225*$AD$51</f>
        <v>-0.681410093423451</v>
      </c>
      <c r="AW225" s="0" t="n">
        <f aca="false">(-AU225+SQRT(AU225^2-4*$C225))/2</f>
        <v>3.76320768753716</v>
      </c>
      <c r="AX225" s="0" t="n">
        <f aca="false">(-AV225+SQRT(AV225^2-4*$D225))/2</f>
        <v>2.1153139119326</v>
      </c>
      <c r="AY225" s="0" t="n">
        <f aca="false">IF(AW225&lt;&gt;0,($C$21-$B225)*$AT225/AW225/$AC$51-$AC$60*$AC$51,0)</f>
        <v>2.52156124641086E-005</v>
      </c>
      <c r="AZ225" s="0" t="n">
        <f aca="false">IF(AX225&lt;&gt;0,($C$27-$B225)*$AT225/AX225/$AD$51-$AC$60*$AD$51,0)</f>
        <v>4.71480640215193E-005</v>
      </c>
      <c r="BA225" s="0" t="n">
        <f aca="false">(AY225-AR225)/($AT225-$AM225)</f>
        <v>0.00297635871192634</v>
      </c>
      <c r="BB225" s="0" t="n">
        <f aca="false">(AZ225-AS225)/($AT225-$AM225)</f>
        <v>0.00368874655787072</v>
      </c>
      <c r="BC225" s="0" t="n">
        <f aca="false">IF(BA225&lt;&gt;BB225,(AS225-AR225)/(BA225-BB225),0)</f>
        <v>-0.030774233371523</v>
      </c>
      <c r="BD225" s="0" t="n">
        <f aca="false">AM225+BC225</f>
        <v>-0.0177732601877805</v>
      </c>
      <c r="BE225" s="0" t="n">
        <f aca="false">-BD225*$AC$51</f>
        <v>1.86121145454237</v>
      </c>
      <c r="BF225" s="0" t="n">
        <f aca="false">-BD225*$AD$51</f>
        <v>0.930605727271185</v>
      </c>
      <c r="BG225" s="0" t="n">
        <f aca="false">(-BE225+SQRT(BE225^2-4*$C225))/2</f>
        <v>2.21569109841066</v>
      </c>
      <c r="BH225" s="0" t="n">
        <f aca="false">(-BF225+SQRT(BF225^2-4*$D225))/2</f>
        <v>1.33737942966325</v>
      </c>
      <c r="BI225" s="0" t="n">
        <f aca="false">IF(BG225&lt;&gt;0,($C$21-$B225)*$BD225/BG225/$AC$51-$AC$60*$AC$51,0)</f>
        <v>-0.000139825565958498</v>
      </c>
      <c r="BJ225" s="0" t="n">
        <f aca="false">IF(BH225&lt;&gt;0,($C$27-$B225)*$BD225/BH225/$AD$51-$AC$60*$AD$51,0)</f>
        <v>-0.000140560159278636</v>
      </c>
      <c r="BK225" s="0" t="n">
        <f aca="false">BD225*1.001</f>
        <v>-0.0177910334479683</v>
      </c>
      <c r="BL225" s="0" t="n">
        <f aca="false">-BK225*$AC$51</f>
        <v>1.86307266599691</v>
      </c>
      <c r="BM225" s="0" t="n">
        <f aca="false">-BK225*$AD$51</f>
        <v>0.931536332998456</v>
      </c>
      <c r="BN225" s="0" t="n">
        <f aca="false">(-BL225+SQRT(BL225^2-4*$C225))/2</f>
        <v>2.21503587106137</v>
      </c>
      <c r="BO225" s="0" t="n">
        <f aca="false">(-BM225+SQRT(BM225^2-4*$D225))/2</f>
        <v>1.3370342854044</v>
      </c>
      <c r="BP225" s="0" t="n">
        <f aca="false">IF(BN225&lt;&gt;0,($C$21-$B225)*$BK225/BN225/$AC$51-$AC$60*$AC$51,0)</f>
        <v>-0.000139975037204047</v>
      </c>
      <c r="BQ225" s="0" t="n">
        <f aca="false">IF(BO225&lt;&gt;0,($C$27-$B225)*$BK225/BO225/$AD$51-$AC$60*$AD$51,0)</f>
        <v>-0.000140721623416278</v>
      </c>
      <c r="BR225" s="0" t="n">
        <f aca="false">(BP225-BI225)/($BK225-$BD225)</f>
        <v>0.0084098946377985</v>
      </c>
      <c r="BS225" s="0" t="n">
        <f aca="false">(BQ225-BJ225)/($BK225-$BD225)</f>
        <v>0.00908466628722895</v>
      </c>
      <c r="BT225" s="0" t="n">
        <f aca="false">IF(BR225&lt;&gt;BS225,(BJ225-BI225)/(BR225-BS225),0)</f>
        <v>0.00108865468897207</v>
      </c>
      <c r="BU225" s="0" t="n">
        <f aca="false">BD225+BT225</f>
        <v>-0.0166846054988084</v>
      </c>
      <c r="BV225" s="0" t="n">
        <f aca="false">-BU225*$AC$51</f>
        <v>1.74720780210335</v>
      </c>
      <c r="BW225" s="0" t="n">
        <f aca="false">-BU225*$AD$51</f>
        <v>0.873603901051673</v>
      </c>
      <c r="BX225" s="0" t="n">
        <f aca="false">(-BV225+SQRT(BV225^2-4*$C225))/2</f>
        <v>2.25630671613828</v>
      </c>
      <c r="BY225" s="0" t="n">
        <f aca="false">(-BW225+SQRT(BW225^2-4*$D225))/2</f>
        <v>1.35873491616581</v>
      </c>
      <c r="BZ225" s="0" t="n">
        <f aca="false">IF(BX225&lt;&gt;0,($C$21-$B225)*$BU225/BX225/$AC$51-$AC$60*$AC$51,0)</f>
        <v>-0.000130812956571064</v>
      </c>
      <c r="CA225" s="0" t="n">
        <f aca="false">IF(BY225&lt;&gt;0,($C$27-$B225)*$BU225/BY225/$AD$51-$AC$60*$AD$51,0)</f>
        <v>-0.000130807788016344</v>
      </c>
      <c r="CB225" s="0" t="n">
        <f aca="false">BU225*1.001</f>
        <v>-0.0167012901043072</v>
      </c>
      <c r="CC225" s="0" t="n">
        <f aca="false">-CB225*$AC$51</f>
        <v>1.74895500990545</v>
      </c>
      <c r="CD225" s="0" t="n">
        <f aca="false">-CB225*$AD$51</f>
        <v>0.874477504952724</v>
      </c>
      <c r="CE225" s="0" t="n">
        <f aca="false">(-CC225+SQRT(CC225^2-4*$C225))/2</f>
        <v>2.25567706029386</v>
      </c>
      <c r="CF225" s="0" t="n">
        <f aca="false">(-CD225+SQRT(CD225^2-4*$D225))/2</f>
        <v>1.35840442542196</v>
      </c>
      <c r="CG225" s="0" t="n">
        <f aca="false">IF(CE225&lt;&gt;0,($C$21-$B225)*$CB225/CE225/$AC$51-$AC$60*$AC$51,0)</f>
        <v>-0.000130948972963419</v>
      </c>
      <c r="CH225" s="0" t="n">
        <f aca="false">IF(CF225&lt;&gt;0,($C$27-$B225)*$CB225/CF225/$AD$51-$AC$60*$AD$51,0)</f>
        <v>-0.000130955217642046</v>
      </c>
      <c r="CI225" s="0" t="n">
        <f aca="false">(CG225-BZ225)/($CB225-$BU225)</f>
        <v>0.00815220907463845</v>
      </c>
      <c r="CJ225" s="0" t="n">
        <f aca="false">(CH225-CA225)/($CB225-$BU225)</f>
        <v>0.00883626680371487</v>
      </c>
      <c r="CK225" s="0" t="n">
        <f aca="false">IF(CI225&lt;&gt;CJ225,(CA225-BZ225)/(CI225-CJ225),0)</f>
        <v>-7.55572885226911E-006</v>
      </c>
      <c r="CL225" s="6" t="str">
        <f aca="false">IF(AND(BU225&gt;0,CE225&gt;0,CE225&lt;$C$15,CF225&lt;$C$15,CG225&gt;0,ABS(CK225)&lt;0.1*BU225),B225,"")</f>
        <v/>
      </c>
      <c r="CM225" s="0" t="n">
        <f aca="false">CG225+BU225^2/$C$39</f>
        <v>-8.45529628549405E-005</v>
      </c>
      <c r="CN225" s="0" t="n">
        <f aca="false">-BU225*$C$15/$C$39</f>
        <v>0.0166846054988084</v>
      </c>
      <c r="CO225" s="0" t="n">
        <f aca="false">IF(CL225&lt;&gt;"",(-CM225+SQRT(CM225^2-4*$AC$60*CN225))/2/$AC$60,0)</f>
        <v>0</v>
      </c>
      <c r="CP225" s="0" t="n">
        <f aca="false">CO225*30/PI()</f>
        <v>0</v>
      </c>
      <c r="DB225" s="6"/>
    </row>
    <row r="226" customFormat="false" ht="12.75" hidden="false" customHeight="false" outlineLevel="0" collapsed="false">
      <c r="A226" s="0" t="n">
        <f aca="false">A225+0.01</f>
        <v>0.77</v>
      </c>
      <c r="B226" s="0" t="n">
        <f aca="false">A226*$AC$68</f>
        <v>1.51413801410908</v>
      </c>
      <c r="C226" s="0" t="n">
        <f aca="false">$C$39*($B226-$C$21)</f>
        <v>-8.91517191534551</v>
      </c>
      <c r="D226" s="0" t="n">
        <f aca="false">$C$39*($B226-$C$27)</f>
        <v>-2.91517191534551</v>
      </c>
      <c r="E226" s="0" t="n">
        <f aca="false">$AC$71</f>
        <v>0.0474257507541105</v>
      </c>
      <c r="F226" s="0" t="n">
        <f aca="false">-E226*$AC$51</f>
        <v>-4.96641300533647</v>
      </c>
      <c r="G226" s="0" t="n">
        <f aca="false">-E226*$AD$51</f>
        <v>-2.48320650266823</v>
      </c>
      <c r="H226" s="0" t="n">
        <f aca="false">(-F226+SQRT(F226^2-4*$C226))/2</f>
        <v>6.36669545594714</v>
      </c>
      <c r="I226" s="0" t="n">
        <f aca="false">(-G226+SQRT(G226^2-4*$D226))/2</f>
        <v>3.35270498954309</v>
      </c>
      <c r="J226" s="0" t="n">
        <f aca="false">IF(H226&lt;&gt;0,($C$21-$B226)*$E226/H226/$AC$51-$AC$60*$AC$51,0)</f>
        <v>8.11917835747017E-005</v>
      </c>
      <c r="K226" s="0" t="n">
        <f aca="false">IF(I226&lt;&gt;0,($C$27-$B226)*$E226/I226/$AD$51-$AC$60*$AD$51,0)</f>
        <v>0.000119009166880321</v>
      </c>
      <c r="L226" s="0" t="n">
        <f aca="false">E226*1.001</f>
        <v>0.0474731765048646</v>
      </c>
      <c r="M226" s="0" t="n">
        <f aca="false">-L226*$AC$51</f>
        <v>-4.97137941834181</v>
      </c>
      <c r="N226" s="0" t="n">
        <f aca="false">-L226*$AD$51</f>
        <v>-2.4856897091709</v>
      </c>
      <c r="O226" s="0" t="n">
        <f aca="false">(-M226+SQRT(M226^2-4*$C226))/2</f>
        <v>6.37076696009187</v>
      </c>
      <c r="P226" s="0" t="n">
        <f aca="false">(-N226+SQRT(N226^2-4*$D226))/2</f>
        <v>3.35467705623288</v>
      </c>
      <c r="Q226" s="0" t="n">
        <f aca="false">IF(O226&lt;&gt;0,($C$21-$B226)*$L226/O226/$AC$51-$AC$60*$AC$51,0)</f>
        <v>8.12298618407769E-005</v>
      </c>
      <c r="R226" s="0" t="n">
        <f aca="false">IF(P226&lt;&gt;0,($C$27-$B226)*$L226/P226/$AD$51-$AC$60*$AD$51,0)</f>
        <v>0.000119063187849414</v>
      </c>
      <c r="S226" s="0" t="n">
        <f aca="false">(Q226-J226)/($L226-$E226)</f>
        <v>0.000802902757882915</v>
      </c>
      <c r="T226" s="0" t="n">
        <f aca="false">(R226-K226)/($L226-$E226)</f>
        <v>0.00113906407877299</v>
      </c>
      <c r="U226" s="0" t="n">
        <f aca="false">IF(S226&lt;&gt;T226,(K226-J226)/(S226-T226),0)</f>
        <v>-0.112497723430787</v>
      </c>
      <c r="V226" s="0" t="n">
        <f aca="false">E226+U226</f>
        <v>-0.0650719726766761</v>
      </c>
      <c r="W226" s="0" t="n">
        <f aca="false">-V226*$AC$51</f>
        <v>6.81432104385471</v>
      </c>
      <c r="X226" s="0" t="n">
        <f aca="false">-V226*$AD$51</f>
        <v>3.40716052192735</v>
      </c>
      <c r="Y226" s="0" t="n">
        <f aca="false">(-W226+SQRT(W226^2-4*$C226))/2</f>
        <v>1.12317221833862</v>
      </c>
      <c r="Z226" s="0" t="n">
        <f aca="false">(-X226+SQRT(X226^2-4*$D226))/2</f>
        <v>0.708339642534484</v>
      </c>
      <c r="AA226" s="0" t="n">
        <f aca="false">IF(Y226&lt;&gt;0,($C$21-$B226)*$V226/Y226/$AC$51-$AC$60*$AC$51,0)</f>
        <v>-0.000846550695229291</v>
      </c>
      <c r="AB226" s="0" t="n">
        <f aca="false">IF(Z226&lt;&gt;0,($C$27-$B226)*$V226/Z226/$AD$51-$AC$60*$AD$51,0)</f>
        <v>-0.000864696764629258</v>
      </c>
      <c r="AC226" s="0" t="n">
        <f aca="false">V226*1.001</f>
        <v>-0.0651370446493527</v>
      </c>
      <c r="AD226" s="0" t="n">
        <f aca="false">-AC226*$AC$51</f>
        <v>6.82113536489856</v>
      </c>
      <c r="AE226" s="0" t="n">
        <f aca="false">-AC226*$AD$51</f>
        <v>3.41056768244928</v>
      </c>
      <c r="AF226" s="0" t="n">
        <f aca="false">(-AD226+SQRT(AD226^2-4*$C226))/2</f>
        <v>1.12232806220589</v>
      </c>
      <c r="AG226" s="0" t="n">
        <f aca="false">(-AE226+SQRT(AE226^2-4*$D226))/2</f>
        <v>0.707839631473632</v>
      </c>
      <c r="AH226" s="0" t="n">
        <f aca="false">IF(AF226&lt;&gt;0,($C$21-$B226)*$AC226/AF226/$AC$51-$AC$60*$AC$51,0)</f>
        <v>-0.000847991663780742</v>
      </c>
      <c r="AI226" s="0" t="n">
        <f aca="false">IF(AG226&lt;&gt;0,($C$27-$B226)*$AC226/AG226/$AD$51-$AC$60*$AD$51,0)</f>
        <v>-0.000866151971872561</v>
      </c>
      <c r="AJ226" s="0" t="n">
        <f aca="false">(AH226-AA226)/($AC226-$V226)</f>
        <v>0.0221442272637281</v>
      </c>
      <c r="AK226" s="0" t="n">
        <f aca="false">(AI226-AB226)/($AC226-$V226)</f>
        <v>0.0223630417742781</v>
      </c>
      <c r="AL226" s="0" t="n">
        <f aca="false">IF(AJ226&lt;&gt;AK226,(AB226-AA226)/(AJ226-AK226),0)</f>
        <v>0.0829290039054409</v>
      </c>
      <c r="AM226" s="0" t="n">
        <f aca="false">V226+AL226</f>
        <v>0.0178570312287649</v>
      </c>
      <c r="AN226" s="0" t="n">
        <f aca="false">-AM226*$AC$51</f>
        <v>-1.86998393744037</v>
      </c>
      <c r="AO226" s="0" t="n">
        <f aca="false">-AM226*$AD$51</f>
        <v>-0.934991968720186</v>
      </c>
      <c r="AP226" s="0" t="n">
        <f aca="false">(-AN226+SQRT(AN226^2-4*$C226))/2</f>
        <v>4.06379076329243</v>
      </c>
      <c r="AQ226" s="0" t="n">
        <f aca="false">(-AO226+SQRT(AO226^2-4*$D226))/2</f>
        <v>2.2377288534308</v>
      </c>
      <c r="AR226" s="0" t="n">
        <f aca="false">IF(AP226&lt;&gt;0,($C$21-$B226)*$AM226/AP226/$AC$51-$AC$60*$AC$51,0)</f>
        <v>3.78466200033217E-005</v>
      </c>
      <c r="AS226" s="0" t="n">
        <f aca="false">IF(AQ226&lt;&gt;0,($C$27-$B226)*$AM226/AQ226/$AD$51-$AC$60*$AD$51,0)</f>
        <v>6.17974043498602E-005</v>
      </c>
      <c r="AT226" s="0" t="n">
        <f aca="false">AM226*1.001</f>
        <v>0.0178748882599936</v>
      </c>
      <c r="AU226" s="0" t="n">
        <f aca="false">-AT226*$AC$51</f>
        <v>-1.87185392137781</v>
      </c>
      <c r="AV226" s="0" t="n">
        <f aca="false">-AT226*$AD$51</f>
        <v>-0.935926960688906</v>
      </c>
      <c r="AW226" s="0" t="n">
        <f aca="false">(-AU226+SQRT(AU226^2-4*$C226))/2</f>
        <v>4.06500529002007</v>
      </c>
      <c r="AX226" s="0" t="n">
        <f aca="false">(-AV226+SQRT(AV226^2-4*$D226))/2</f>
        <v>2.23831986657904</v>
      </c>
      <c r="AY226" s="0" t="n">
        <f aca="false">IF(AW226&lt;&gt;0,($C$21-$B226)*$AT226/AW226/$AC$51-$AC$60*$AC$51,0)</f>
        <v>3.78903218062642E-005</v>
      </c>
      <c r="AZ226" s="0" t="n">
        <f aca="false">IF(AX226&lt;&gt;0,($C$27-$B226)*$AT226/AX226/$AD$51-$AC$60*$AD$51,0)</f>
        <v>6.18518812733204E-005</v>
      </c>
      <c r="BA226" s="0" t="n">
        <f aca="false">(AY226-AR226)/($AT226-$AM226)</f>
        <v>0.00244731626341732</v>
      </c>
      <c r="BB226" s="0" t="n">
        <f aca="false">(AZ226-AS226)/($AT226-$AM226)</f>
        <v>0.00305072678443999</v>
      </c>
      <c r="BC226" s="0" t="n">
        <f aca="false">IF(BA226&lt;&gt;BB226,(AS226-AR226)/(BA226-BB226),0)</f>
        <v>-0.0396923545614462</v>
      </c>
      <c r="BD226" s="0" t="n">
        <f aca="false">AM226+BC226</f>
        <v>-0.0218353233326813</v>
      </c>
      <c r="BE226" s="0" t="n">
        <f aca="false">-BD226*$AC$51</f>
        <v>2.28658971235698</v>
      </c>
      <c r="BF226" s="0" t="n">
        <f aca="false">-BD226*$AD$51</f>
        <v>1.14329485617849</v>
      </c>
      <c r="BG226" s="0" t="n">
        <f aca="false">(-BE226+SQRT(BE226^2-4*$C226))/2</f>
        <v>2.05393754755911</v>
      </c>
      <c r="BH226" s="0" t="n">
        <f aca="false">(-BF226+SQRT(BF226^2-4*$D226))/2</f>
        <v>1.22889490614968</v>
      </c>
      <c r="BI226" s="0" t="n">
        <f aca="false">IF(BG226&lt;&gt;0,($C$21-$B226)*$BD226/BG226/$AC$51-$AC$60*$AC$51,0)</f>
        <v>-0.000175344121006084</v>
      </c>
      <c r="BJ226" s="0" t="n">
        <f aca="false">IF(BH226&lt;&gt;0,($C$27-$B226)*$BD226/BH226/$AD$51-$AC$60*$AD$51,0)</f>
        <v>-0.000177127726870714</v>
      </c>
      <c r="BK226" s="0" t="n">
        <f aca="false">BD226*1.001</f>
        <v>-0.021857158656014</v>
      </c>
      <c r="BL226" s="0" t="n">
        <f aca="false">-BK226*$AC$51</f>
        <v>2.28887630206934</v>
      </c>
      <c r="BM226" s="0" t="n">
        <f aca="false">-BK226*$AD$51</f>
        <v>1.14443815103467</v>
      </c>
      <c r="BN226" s="0" t="n">
        <f aca="false">(-BL226+SQRT(BL226^2-4*$C226))/2</f>
        <v>2.05320326051997</v>
      </c>
      <c r="BO226" s="0" t="n">
        <f aca="false">(-BM226+SQRT(BM226^2-4*$D226))/2</f>
        <v>1.22850483050808</v>
      </c>
      <c r="BP226" s="0" t="n">
        <f aca="false">IF(BN226&lt;&gt;0,($C$21-$B226)*$BK226/BN226/$AC$51-$AC$60*$AC$51,0)</f>
        <v>-0.000175548962556465</v>
      </c>
      <c r="BQ226" s="0" t="n">
        <f aca="false">IF(BO226&lt;&gt;0,($C$27-$B226)*$BK226/BO226/$AD$51-$AC$60*$AD$51,0)</f>
        <v>-0.000177345007625635</v>
      </c>
      <c r="BR226" s="0" t="n">
        <f aca="false">(BP226-BI226)/($BK226-$BD226)</f>
        <v>0.00938120069302467</v>
      </c>
      <c r="BS226" s="0" t="n">
        <f aca="false">(BQ226-BJ226)/($BK226-$BD226)</f>
        <v>0.00995088332838912</v>
      </c>
      <c r="BT226" s="0" t="n">
        <f aca="false">IF(BR226&lt;&gt;BS226,(BJ226-BI226)/(BR226-BS226),0)</f>
        <v>0.00313087630534631</v>
      </c>
      <c r="BU226" s="0" t="n">
        <f aca="false">BD226+BT226</f>
        <v>-0.018704447027335</v>
      </c>
      <c r="BV226" s="0" t="n">
        <f aca="false">-BU226*$AC$51</f>
        <v>1.95872511235117</v>
      </c>
      <c r="BW226" s="0" t="n">
        <f aca="false">-BU226*$AD$51</f>
        <v>0.979362556175584</v>
      </c>
      <c r="BX226" s="0" t="n">
        <f aca="false">(-BV226+SQRT(BV226^2-4*$C226))/2</f>
        <v>2.16298098516172</v>
      </c>
      <c r="BY226" s="0" t="n">
        <f aca="false">(-BW226+SQRT(BW226^2-4*$D226))/2</f>
        <v>1.28653933587186</v>
      </c>
      <c r="BZ226" s="0" t="n">
        <f aca="false">IF(BX226&lt;&gt;0,($C$21-$B226)*$BU226/BX226/$AC$51-$AC$60*$AC$51,0)</f>
        <v>-0.000147201416427236</v>
      </c>
      <c r="CA226" s="0" t="n">
        <f aca="false">IF(BY226&lt;&gt;0,($C$27-$B226)*$BU226/BY226/$AD$51-$AC$60*$AD$51,0)</f>
        <v>-0.000147158569197729</v>
      </c>
      <c r="CB226" s="0" t="n">
        <f aca="false">BU226*1.001</f>
        <v>-0.0187231514743623</v>
      </c>
      <c r="CC226" s="0" t="n">
        <f aca="false">-CB226*$AC$51</f>
        <v>1.96068383746352</v>
      </c>
      <c r="CD226" s="0" t="n">
        <f aca="false">-CB226*$AD$51</f>
        <v>0.98034191873176</v>
      </c>
      <c r="CE226" s="0" t="n">
        <f aca="false">(-CC226+SQRT(CC226^2-4*$C226))/2</f>
        <v>2.16230699468001</v>
      </c>
      <c r="CF226" s="0" t="n">
        <f aca="false">(-CD226+SQRT(CD226^2-4*$D226))/2</f>
        <v>1.28618471581608</v>
      </c>
      <c r="CG226" s="0" t="n">
        <f aca="false">IF(CE226&lt;&gt;0,($C$21-$B226)*$CB226/CE226/$AC$51-$AC$60*$AC$51,0)</f>
        <v>-0.000147362399287858</v>
      </c>
      <c r="CH226" s="0" t="n">
        <f aca="false">IF(CF226&lt;&gt;0,($C$27-$B226)*$CB226/CF226/$AD$51-$AC$60*$AD$51,0)</f>
        <v>-0.000147330709880305</v>
      </c>
      <c r="CI226" s="0" t="n">
        <f aca="false">(CG226-BZ226)/($CB226-$BU226)</f>
        <v>0.00860666238285836</v>
      </c>
      <c r="CJ226" s="0" t="n">
        <f aca="false">(CH226-CA226)/($CB226-$BU226)</f>
        <v>0.00920319549272305</v>
      </c>
      <c r="CK226" s="0" t="n">
        <f aca="false">IF(CI226&lt;&gt;CJ226,(CA226-BZ226)/(CI226-CJ226),0)</f>
        <v>-7.18270768187561E-005</v>
      </c>
      <c r="CL226" s="6" t="str">
        <f aca="false">IF(AND(BU226&gt;0,CE226&gt;0,CE226&lt;$C$15,CF226&lt;$C$15,CG226&gt;0,ABS(CK226)&lt;0.1*BU226),B226,"")</f>
        <v/>
      </c>
      <c r="CM226" s="0" t="n">
        <f aca="false">CG226+BU226^2/$C$39</f>
        <v>-8.90530095214614E-005</v>
      </c>
      <c r="CN226" s="0" t="n">
        <f aca="false">-BU226*$C$15/$C$39</f>
        <v>0.018704447027335</v>
      </c>
      <c r="CO226" s="0" t="n">
        <f aca="false">IF(CL226&lt;&gt;"",(-CM226+SQRT(CM226^2-4*$AC$60*CN226))/2/$AC$60,0)</f>
        <v>0</v>
      </c>
      <c r="CP226" s="0" t="n">
        <f aca="false">CO226*30/PI()</f>
        <v>0</v>
      </c>
      <c r="DB226" s="6"/>
    </row>
    <row r="227" customFormat="false" ht="12.75" hidden="false" customHeight="false" outlineLevel="0" collapsed="false">
      <c r="A227" s="0" t="n">
        <f aca="false">A226+0.01</f>
        <v>0.78</v>
      </c>
      <c r="B227" s="0" t="n">
        <f aca="false">A227*$AC$68</f>
        <v>1.53380214416245</v>
      </c>
      <c r="C227" s="0" t="n">
        <f aca="false">$C$39*($B227-$C$21)</f>
        <v>-8.79718713502532</v>
      </c>
      <c r="D227" s="0" t="n">
        <f aca="false">$C$39*($B227-$C$27)</f>
        <v>-2.79718713502532</v>
      </c>
      <c r="E227" s="0" t="n">
        <f aca="false">$AC$71</f>
        <v>0.0474257507541105</v>
      </c>
      <c r="F227" s="0" t="n">
        <f aca="false">-E227*$AC$51</f>
        <v>-4.96641300533647</v>
      </c>
      <c r="G227" s="0" t="n">
        <f aca="false">-E227*$AD$51</f>
        <v>-2.48320650266823</v>
      </c>
      <c r="H227" s="0" t="n">
        <f aca="false">(-F227+SQRT(F227^2-4*$C227))/2</f>
        <v>6.35147506494763</v>
      </c>
      <c r="I227" s="0" t="n">
        <f aca="false">(-G227+SQRT(G227^2-4*$D227))/2</f>
        <v>3.32457367089095</v>
      </c>
      <c r="J227" s="0" t="n">
        <f aca="false">IF(H227&lt;&gt;0,($C$21-$B227)*$E227/H227/$AC$51-$AC$60*$AC$51,0)</f>
        <v>8.00429419686806E-005</v>
      </c>
      <c r="K227" s="0" t="n">
        <f aca="false">IF(I227&lt;&gt;0,($C$27-$B227)*$E227/I227/$AD$51-$AC$60*$AD$51,0)</f>
        <v>0.000114762439013624</v>
      </c>
      <c r="L227" s="0" t="n">
        <f aca="false">E227*1.001</f>
        <v>0.0474731765048646</v>
      </c>
      <c r="M227" s="0" t="n">
        <f aca="false">-L227*$AC$51</f>
        <v>-4.97137941834181</v>
      </c>
      <c r="N227" s="0" t="n">
        <f aca="false">-L227*$AD$51</f>
        <v>-2.4856897091709</v>
      </c>
      <c r="O227" s="0" t="n">
        <f aca="false">(-M227+SQRT(M227^2-4*$C227))/2</f>
        <v>6.35555281596208</v>
      </c>
      <c r="P227" s="0" t="n">
        <f aca="false">(-N227+SQRT(N227^2-4*$D227))/2</f>
        <v>3.32655559928944</v>
      </c>
      <c r="Q227" s="0" t="n">
        <f aca="false">IF(O227&lt;&gt;0,($C$21-$B227)*$L227/O227/$AC$51-$AC$60*$AC$51,0)</f>
        <v>8.00803433810573E-005</v>
      </c>
      <c r="R227" s="0" t="n">
        <f aca="false">IF(P227&lt;&gt;0,($C$27-$B227)*$L227/P227/$AD$51-$AC$60*$AD$51,0)</f>
        <v>0.000114813703475542</v>
      </c>
      <c r="S227" s="0" t="n">
        <f aca="false">(Q227-J227)/($L227-$E227)</f>
        <v>0.000788630897393095</v>
      </c>
      <c r="T227" s="0" t="n">
        <f aca="false">(R227-K227)/($L227-$E227)</f>
        <v>0.00108094149491886</v>
      </c>
      <c r="U227" s="0" t="n">
        <f aca="false">IF(S227&lt;&gt;T227,(K227-J227)/(S227-T227),0)</f>
        <v>-0.118776046228988</v>
      </c>
      <c r="V227" s="0" t="n">
        <f aca="false">E227+U227</f>
        <v>-0.0713502954748772</v>
      </c>
      <c r="W227" s="0" t="n">
        <f aca="false">-V227*$AC$51</f>
        <v>7.4717854698445</v>
      </c>
      <c r="X227" s="0" t="n">
        <f aca="false">-V227*$AD$51</f>
        <v>3.73589273492225</v>
      </c>
      <c r="Y227" s="0" t="n">
        <f aca="false">(-W227+SQRT(W227^2-4*$C227))/2</f>
        <v>1.03423112739728</v>
      </c>
      <c r="Z227" s="0" t="n">
        <f aca="false">(-X227+SQRT(X227^2-4*$D227))/2</f>
        <v>0.639325210716342</v>
      </c>
      <c r="AA227" s="0" t="n">
        <f aca="false">IF(Y227&lt;&gt;0,($C$21-$B227)*$V227/Y227/$AC$51-$AC$60*$AC$51,0)</f>
        <v>-0.000990424301416538</v>
      </c>
      <c r="AB227" s="0" t="n">
        <f aca="false">IF(Z227&lt;&gt;0,($C$27-$B227)*$V227/Z227/$AD$51-$AC$60*$AD$51,0)</f>
        <v>-0.00100592888421956</v>
      </c>
      <c r="AC227" s="0" t="n">
        <f aca="false">V227*1.001</f>
        <v>-0.071421645770352</v>
      </c>
      <c r="AD227" s="0" t="n">
        <f aca="false">-AC227*$AC$51</f>
        <v>7.47925725531435</v>
      </c>
      <c r="AE227" s="0" t="n">
        <f aca="false">-AC227*$AD$51</f>
        <v>3.73962862765717</v>
      </c>
      <c r="AF227" s="0" t="n">
        <f aca="false">(-AD227+SQRT(AD227^2-4*$C227))/2</f>
        <v>1.03342169763989</v>
      </c>
      <c r="AG227" s="0" t="n">
        <f aca="false">(-AE227+SQRT(AE227^2-4*$D227))/2</f>
        <v>0.638849215468155</v>
      </c>
      <c r="AH227" s="0" t="n">
        <f aca="false">IF(AF227&lt;&gt;0,($C$21-$B227)*$AC227/AF227/$AC$51-$AC$60*$AC$51,0)</f>
        <v>-0.000992147540751818</v>
      </c>
      <c r="AI227" s="0" t="n">
        <f aca="false">IF(AG227&lt;&gt;0,($C$27-$B227)*$AC227/AG227/$AD$51-$AC$60*$AD$51,0)</f>
        <v>-0.00100766367417112</v>
      </c>
      <c r="AJ227" s="0" t="n">
        <f aca="false">(AH227-AA227)/($AC227-$V227)</f>
        <v>0.0241518177859166</v>
      </c>
      <c r="AK227" s="0" t="n">
        <f aca="false">(AI227-AB227)/($AC227-$V227)</f>
        <v>0.0243137038187687</v>
      </c>
      <c r="AL227" s="0" t="n">
        <f aca="false">IF(AJ227&lt;&gt;AK227,(AB227-AA227)/(AJ227-AK227),0)</f>
        <v>0.0957746788272734</v>
      </c>
      <c r="AM227" s="0" t="n">
        <f aca="false">V227+AL227</f>
        <v>0.0244243833523963</v>
      </c>
      <c r="AN227" s="0" t="n">
        <f aca="false">-AM227*$AC$51</f>
        <v>-2.55771544361163</v>
      </c>
      <c r="AO227" s="0" t="n">
        <f aca="false">-AM227*$AD$51</f>
        <v>-1.27885772180582</v>
      </c>
      <c r="AP227" s="0" t="n">
        <f aca="false">(-AN227+SQRT(AN227^2-4*$C227))/2</f>
        <v>4.50882122123544</v>
      </c>
      <c r="AQ227" s="0" t="n">
        <f aca="false">(-AO227+SQRT(AO227^2-4*$D227))/2</f>
        <v>2.4299752588443</v>
      </c>
      <c r="AR227" s="0" t="n">
        <f aca="false">IF(AP227&lt;&gt;0,($C$21-$B227)*$AM227/AP227/$AC$51-$AC$60*$AC$51,0)</f>
        <v>5.1342447454013E-005</v>
      </c>
      <c r="AS227" s="0" t="n">
        <f aca="false">IF(AQ227&lt;&gt;0,($C$27-$B227)*$AM227/AQ227/$AD$51-$AC$60*$AD$51,0)</f>
        <v>7.72428274527196E-005</v>
      </c>
      <c r="AT227" s="0" t="n">
        <f aca="false">AM227*1.001</f>
        <v>0.0244488077357486</v>
      </c>
      <c r="AU227" s="0" t="n">
        <f aca="false">-AT227*$AC$51</f>
        <v>-2.56027315905524</v>
      </c>
      <c r="AV227" s="0" t="n">
        <f aca="false">-AT227*$AD$51</f>
        <v>-1.28013657952762</v>
      </c>
      <c r="AW227" s="0" t="n">
        <f aca="false">(-AU227+SQRT(AU227^2-4*$C227))/2</f>
        <v>4.51060663778075</v>
      </c>
      <c r="AX227" s="0" t="n">
        <f aca="false">(-AV227+SQRT(AV227^2-4*$D227))/2</f>
        <v>2.43084313618825</v>
      </c>
      <c r="AY227" s="0" t="n">
        <f aca="false">IF(AW227&lt;&gt;0,($C$21-$B227)*$AT227/AW227/$AC$51-$AC$60*$AC$51,0)</f>
        <v>5.13882407368592E-005</v>
      </c>
      <c r="AZ227" s="0" t="n">
        <f aca="false">IF(AX227&lt;&gt;0,($C$27-$B227)*$AT227/AX227/$AD$51-$AC$60*$AD$51,0)</f>
        <v>7.73003376322977E-005</v>
      </c>
      <c r="BA227" s="0" t="n">
        <f aca="false">(AY227-AR227)/($AT227-$AM227)</f>
        <v>0.00187490026607805</v>
      </c>
      <c r="BB227" s="0" t="n">
        <f aca="false">(AZ227-AS227)/($AT227-$AM227)</f>
        <v>0.00235462155782488</v>
      </c>
      <c r="BC227" s="0" t="n">
        <f aca="false">IF(BA227&lt;&gt;BB227,(AS227-AR227)/(BA227-BB227),0)</f>
        <v>-0.0539904741446728</v>
      </c>
      <c r="BD227" s="0" t="n">
        <f aca="false">AM227+BC227</f>
        <v>-0.0295660907922765</v>
      </c>
      <c r="BE227" s="0" t="n">
        <f aca="false">-BD227*$AC$51</f>
        <v>3.09615378761283</v>
      </c>
      <c r="BF227" s="0" t="n">
        <f aca="false">-BD227*$AD$51</f>
        <v>1.54807689380641</v>
      </c>
      <c r="BG227" s="0" t="n">
        <f aca="false">(-BE227+SQRT(BE227^2-4*$C227))/2</f>
        <v>1.79762620183173</v>
      </c>
      <c r="BH227" s="0" t="n">
        <f aca="false">(-BF227+SQRT(BF227^2-4*$D227))/2</f>
        <v>1.06887301388639</v>
      </c>
      <c r="BI227" s="0" t="n">
        <f aca="false">IF(BG227&lt;&gt;0,($C$21-$B227)*$BD227/BG227/$AC$51-$AC$60*$AC$51,0)</f>
        <v>-0.000254783330404739</v>
      </c>
      <c r="BJ227" s="0" t="n">
        <f aca="false">IF(BH227&lt;&gt;0,($C$27-$B227)*$BD227/BH227/$AD$51-$AC$60*$AD$51,0)</f>
        <v>-0.000258536906617646</v>
      </c>
      <c r="BK227" s="0" t="n">
        <f aca="false">BD227*1.001</f>
        <v>-0.0295956568830688</v>
      </c>
      <c r="BL227" s="0" t="n">
        <f aca="false">-BK227*$AC$51</f>
        <v>3.09924994140044</v>
      </c>
      <c r="BM227" s="0" t="n">
        <f aca="false">-BK227*$AD$51</f>
        <v>1.54962497070022</v>
      </c>
      <c r="BN227" s="0" t="n">
        <f aca="false">(-BL227+SQRT(BL227^2-4*$C227))/2</f>
        <v>1.79679471081658</v>
      </c>
      <c r="BO227" s="0" t="n">
        <f aca="false">(-BM227+SQRT(BM227^2-4*$D227))/2</f>
        <v>1.06842421200586</v>
      </c>
      <c r="BP227" s="0" t="n">
        <f aca="false">IF(BN227&lt;&gt;0,($C$21-$B227)*$BK227/BN227/$AC$51-$AC$60*$AC$51,0)</f>
        <v>-0.000255120283901261</v>
      </c>
      <c r="BQ227" s="0" t="n">
        <f aca="false">IF(BO227&lt;&gt;0,($C$27-$B227)*$BK227/BO227/$AD$51-$AC$60*$AD$51,0)</f>
        <v>-0.000258886750651553</v>
      </c>
      <c r="BR227" s="0" t="n">
        <f aca="false">(BP227-BI227)/($BK227-$BD227)</f>
        <v>0.0113966198267255</v>
      </c>
      <c r="BS227" s="0" t="n">
        <f aca="false">(BQ227-BJ227)/($BK227-$BD227)</f>
        <v>0.0118326104173038</v>
      </c>
      <c r="BT227" s="0" t="n">
        <f aca="false">IF(BR227&lt;&gt;BS227,(BJ227-BI227)/(BR227-BS227),0)</f>
        <v>0.00860930555388548</v>
      </c>
      <c r="BU227" s="0" t="n">
        <f aca="false">BD227+BT227</f>
        <v>-0.0209567852383911</v>
      </c>
      <c r="BV227" s="0" t="n">
        <f aca="false">-BU227*$AC$51</f>
        <v>2.19458941825961</v>
      </c>
      <c r="BW227" s="0" t="n">
        <f aca="false">-BU227*$AD$51</f>
        <v>1.09729470912981</v>
      </c>
      <c r="BX227" s="0" t="n">
        <f aca="false">(-BV227+SQRT(BV227^2-4*$C227))/2</f>
        <v>2.06517945103492</v>
      </c>
      <c r="BY227" s="0" t="n">
        <f aca="false">(-BW227+SQRT(BW227^2-4*$D227))/2</f>
        <v>1.21152339132777</v>
      </c>
      <c r="BZ227" s="0" t="n">
        <f aca="false">IF(BX227&lt;&gt;0,($C$21-$B227)*$BU227/BX227/$AC$51-$AC$60*$AC$51,0)</f>
        <v>-0.000166581440094375</v>
      </c>
      <c r="CA227" s="0" t="n">
        <f aca="false">IF(BY227&lt;&gt;0,($C$27-$B227)*$BU227/BY227/$AD$51-$AC$60*$AD$51,0)</f>
        <v>-0.000166266594453647</v>
      </c>
      <c r="CB227" s="0" t="n">
        <f aca="false">BU227*1.001</f>
        <v>-0.0209777420236294</v>
      </c>
      <c r="CC227" s="0" t="n">
        <f aca="false">-CB227*$AC$51</f>
        <v>2.19678400767787</v>
      </c>
      <c r="CD227" s="0" t="n">
        <f aca="false">-CB227*$AD$51</f>
        <v>1.09839200383894</v>
      </c>
      <c r="CE227" s="0" t="n">
        <f aca="false">(-CC227+SQRT(CC227^2-4*$C227))/2</f>
        <v>2.06446305593264</v>
      </c>
      <c r="CF227" s="0" t="n">
        <f aca="false">(-CD227+SQRT(CD227^2-4*$D227))/2</f>
        <v>1.21114583521037</v>
      </c>
      <c r="CG227" s="0" t="n">
        <f aca="false">IF(CE227&lt;&gt;0,($C$21-$B227)*$CB227/CE227/$AC$51-$AC$60*$AC$51,0)</f>
        <v>-0.000166772872042503</v>
      </c>
      <c r="CH227" s="0" t="n">
        <f aca="false">IF(CF227&lt;&gt;0,($C$27-$B227)*$CB227/CF227/$AD$51-$AC$60*$AD$51,0)</f>
        <v>-0.000166468669969436</v>
      </c>
      <c r="CI227" s="0" t="n">
        <f aca="false">(CG227-BZ227)/($CB227-$BU227)</f>
        <v>0.00913460466147435</v>
      </c>
      <c r="CJ227" s="0" t="n">
        <f aca="false">(CH227-CA227)/($CB227-$BU227)</f>
        <v>0.0096424863589861</v>
      </c>
      <c r="CK227" s="0" t="n">
        <f aca="false">IF(CI227&lt;&gt;CJ227,(CA227-BZ227)/(CI227-CJ227),0)</f>
        <v>-0.000619919249444651</v>
      </c>
      <c r="CL227" s="6" t="str">
        <f aca="false">IF(AND(BU227&gt;0,CE227&gt;0,CE227&lt;$C$15,CF227&lt;$C$15,CG227&gt;0,ABS(CK227)&lt;0.1*BU227),B227,"")</f>
        <v/>
      </c>
      <c r="CM227" s="0" t="n">
        <f aca="false">CG227+BU227^2/$C$39</f>
        <v>-9.35750641211619E-005</v>
      </c>
      <c r="CN227" s="0" t="n">
        <f aca="false">-BU227*$C$15/$C$39</f>
        <v>0.0209567852383911</v>
      </c>
      <c r="CO227" s="0" t="n">
        <f aca="false">IF(CL227&lt;&gt;"",(-CM227+SQRT(CM227^2-4*$AC$60*CN227))/2/$AC$60,0)</f>
        <v>0</v>
      </c>
      <c r="CP227" s="0" t="n">
        <f aca="false">CO227*30/PI()</f>
        <v>0</v>
      </c>
      <c r="DB227" s="6"/>
    </row>
    <row r="228" customFormat="false" ht="12.75" hidden="false" customHeight="false" outlineLevel="0" collapsed="false">
      <c r="A228" s="0" t="n">
        <f aca="false">A227+0.01</f>
        <v>0.790000000000001</v>
      </c>
      <c r="B228" s="0" t="n">
        <f aca="false">A228*$AC$68</f>
        <v>1.55346627421581</v>
      </c>
      <c r="C228" s="0" t="n">
        <f aca="false">$C$39*($B228-$C$21)</f>
        <v>-8.67920235470513</v>
      </c>
      <c r="D228" s="0" t="n">
        <f aca="false">$C$39*($B228-$C$27)</f>
        <v>-2.67920235470513</v>
      </c>
      <c r="E228" s="0" t="n">
        <f aca="false">$AC$71</f>
        <v>0.0474257507541105</v>
      </c>
      <c r="F228" s="0" t="n">
        <f aca="false">-E228*$AC$51</f>
        <v>-4.96641300533647</v>
      </c>
      <c r="G228" s="0" t="n">
        <f aca="false">-E228*$AD$51</f>
        <v>-2.48320650266823</v>
      </c>
      <c r="H228" s="0" t="n">
        <f aca="false">(-F228+SQRT(F228^2-4*$C228))/2</f>
        <v>6.33619454957403</v>
      </c>
      <c r="I228" s="0" t="n">
        <f aca="false">(-G228+SQRT(G228^2-4*$D228))/2</f>
        <v>3.29605719056677</v>
      </c>
      <c r="J228" s="0" t="n">
        <f aca="false">IF(H228&lt;&gt;0,($C$21-$B228)*$E228/H228/$AC$51-$AC$60*$AC$51,0)</f>
        <v>7.88895621492524E-005</v>
      </c>
      <c r="K228" s="0" t="n">
        <f aca="false">IF(I228&lt;&gt;0,($C$27-$B228)*$E228/I228/$AD$51-$AC$60*$AD$51,0)</f>
        <v>0.000110457566812279</v>
      </c>
      <c r="L228" s="0" t="n">
        <f aca="false">E228*1.001</f>
        <v>0.0474731765048646</v>
      </c>
      <c r="M228" s="0" t="n">
        <f aca="false">-L228*$AC$51</f>
        <v>-4.97137941834181</v>
      </c>
      <c r="N228" s="0" t="n">
        <f aca="false">-L228*$AD$51</f>
        <v>-2.4856897091709</v>
      </c>
      <c r="O228" s="0" t="n">
        <f aca="false">(-M228+SQRT(M228^2-4*$C228))/2</f>
        <v>6.34027862175072</v>
      </c>
      <c r="P228" s="0" t="n">
        <f aca="false">(-N228+SQRT(N228^2-4*$D228))/2</f>
        <v>3.29804939118872</v>
      </c>
      <c r="Q228" s="0" t="n">
        <f aca="false">IF(O228&lt;&gt;0,($C$21-$B228)*$L228/O228/$AC$51-$AC$60*$AC$51,0)</f>
        <v>7.89262877829568E-005</v>
      </c>
      <c r="R228" s="0" t="n">
        <f aca="false">IF(P228&lt;&gt;0,($C$27-$B228)*$L228/P228/$AD$51-$AC$60*$AD$51,0)</f>
        <v>0.000110506078656317</v>
      </c>
      <c r="S228" s="0" t="n">
        <f aca="false">(Q228-J228)/($L228-$E228)</f>
        <v>0.000774381704461925</v>
      </c>
      <c r="T228" s="0" t="n">
        <f aca="false">(R228-K228)/($L228-$E228)</f>
        <v>0.00102290091915605</v>
      </c>
      <c r="U228" s="0" t="n">
        <f aca="false">IF(S228&lt;&gt;T228,(K228-J228)/(S228-T228),0)</f>
        <v>-0.127024402124719</v>
      </c>
      <c r="V228" s="0" t="n">
        <f aca="false">E228+U228</f>
        <v>-0.0795986513706089</v>
      </c>
      <c r="W228" s="0" t="n">
        <f aca="false">-V228*$AC$51</f>
        <v>8.33555127938533</v>
      </c>
      <c r="X228" s="0" t="n">
        <f aca="false">-V228*$AD$51</f>
        <v>4.16777563969267</v>
      </c>
      <c r="Y228" s="0" t="n">
        <f aca="false">(-W228+SQRT(W228^2-4*$C228))/2</f>
        <v>0.936100939685086</v>
      </c>
      <c r="Z228" s="0" t="n">
        <f aca="false">(-X228+SQRT(X228^2-4*$D228))/2</f>
        <v>0.565978365531531</v>
      </c>
      <c r="AA228" s="0" t="n">
        <f aca="false">IF(Y228&lt;&gt;0,($C$21-$B228)*$V228/Y228/$AC$51-$AC$60*$AC$51,0)</f>
        <v>-0.00119908314033077</v>
      </c>
      <c r="AB228" s="0" t="n">
        <f aca="false">IF(Z228&lt;&gt;0,($C$27-$B228)*$V228/Z228/$AD$51-$AC$60*$AD$51,0)</f>
        <v>-0.00121164410154387</v>
      </c>
      <c r="AC228" s="0" t="n">
        <f aca="false">V228*1.001</f>
        <v>-0.0796782500219795</v>
      </c>
      <c r="AD228" s="0" t="n">
        <f aca="false">-AC228*$AC$51</f>
        <v>8.34388683066472</v>
      </c>
      <c r="AE228" s="0" t="n">
        <f aca="false">-AC228*$AD$51</f>
        <v>4.17194341533236</v>
      </c>
      <c r="AF228" s="0" t="n">
        <f aca="false">(-AD228+SQRT(AD228^2-4*$C228))/2</f>
        <v>0.935337095413077</v>
      </c>
      <c r="AG228" s="0" t="n">
        <f aca="false">(-AE228+SQRT(AE228^2-4*$D228))/2</f>
        <v>0.565533585537831</v>
      </c>
      <c r="AH228" s="0" t="n">
        <f aca="false">IF(AF228&lt;&gt;0,($C$21-$B228)*$AC228/AF228/$AC$51-$AC$60*$AC$51,0)</f>
        <v>-0.00120121790368895</v>
      </c>
      <c r="AI228" s="0" t="n">
        <f aca="false">IF(AG228&lt;&gt;0,($C$27-$B228)*$AC228/AG228/$AD$51-$AC$60*$AD$51,0)</f>
        <v>-0.00121378773468446</v>
      </c>
      <c r="AJ228" s="0" t="n">
        <f aca="false">(AH228-AA228)/($AC228-$V228)</f>
        <v>0.0268190895375894</v>
      </c>
      <c r="AK228" s="0" t="n">
        <f aca="false">(AI228-AB228)/($AC228-$V228)</f>
        <v>0.0269305208528373</v>
      </c>
      <c r="AL228" s="0" t="n">
        <f aca="false">IF(AJ228&lt;&gt;AK228,(AB228-AA228)/(AJ228-AK228),0)</f>
        <v>0.112723799276216</v>
      </c>
      <c r="AM228" s="0" t="n">
        <f aca="false">V228+AL228</f>
        <v>0.033125147905607</v>
      </c>
      <c r="AN228" s="0" t="n">
        <f aca="false">-AM228*$AC$51</f>
        <v>-3.46885737697767</v>
      </c>
      <c r="AO228" s="0" t="n">
        <f aca="false">-AM228*$AD$51</f>
        <v>-1.73442868848884</v>
      </c>
      <c r="AP228" s="0" t="n">
        <f aca="false">(-AN228+SQRT(AN228^2-4*$C228))/2</f>
        <v>5.1531192609388</v>
      </c>
      <c r="AQ228" s="0" t="n">
        <f aca="false">(-AO228+SQRT(AO228^2-4*$D228))/2</f>
        <v>2.71958122841408</v>
      </c>
      <c r="AR228" s="0" t="n">
        <f aca="false">IF(AP228&lt;&gt;0,($C$21-$B228)*$AM228/AP228/$AC$51-$AC$60*$AC$51,0)</f>
        <v>6.42926759550434E-005</v>
      </c>
      <c r="AS228" s="0" t="n">
        <f aca="false">IF(AQ228&lt;&gt;0,($C$27-$B228)*$AM228/AQ228/$AD$51-$AC$60*$AD$51,0)</f>
        <v>9.16240285965125E-005</v>
      </c>
      <c r="AT228" s="0" t="n">
        <f aca="false">AM228*1.001</f>
        <v>0.0331582730535126</v>
      </c>
      <c r="AU228" s="0" t="n">
        <f aca="false">-AT228*$AC$51</f>
        <v>-3.47232623435465</v>
      </c>
      <c r="AV228" s="0" t="n">
        <f aca="false">-AT228*$AD$51</f>
        <v>-1.73616311717733</v>
      </c>
      <c r="AW228" s="0" t="n">
        <f aca="false">(-AU228+SQRT(AU228^2-4*$C228))/2</f>
        <v>5.15573395635466</v>
      </c>
      <c r="AX228" s="0" t="n">
        <f aca="false">(-AV228+SQRT(AV228^2-4*$D228))/2</f>
        <v>2.72085460110273</v>
      </c>
      <c r="AY228" s="0" t="n">
        <f aca="false">IF(AW228&lt;&gt;0,($C$21-$B228)*$AT228/AW228/$AC$51-$AC$60*$AC$51,0)</f>
        <v>6.43363940488711E-005</v>
      </c>
      <c r="AZ228" s="0" t="n">
        <f aca="false">IF(AX228&lt;&gt;0,($C$27-$B228)*$AT228/AX228/$AD$51-$AC$60*$AD$51,0)</f>
        <v>9.16792410469219E-005</v>
      </c>
      <c r="BA228" s="0" t="n">
        <f aca="false">(AY228-AR228)/($AT228-$AM228)</f>
        <v>0.00131978561883838</v>
      </c>
      <c r="BB228" s="0" t="n">
        <f aca="false">(AZ228-AS228)/($AT228-$AM228)</f>
        <v>0.00166678351344169</v>
      </c>
      <c r="BC228" s="0" t="n">
        <f aca="false">IF(BA228&lt;&gt;BB228,(AS228-AR228)/(BA228-BB228),0)</f>
        <v>-0.0787651829205319</v>
      </c>
      <c r="BD228" s="0" t="n">
        <f aca="false">AM228+BC228</f>
        <v>-0.045640035014925</v>
      </c>
      <c r="BE228" s="0" t="n">
        <f aca="false">-BD228*$AC$51</f>
        <v>4.77941329041564</v>
      </c>
      <c r="BF228" s="0" t="n">
        <f aca="false">-BD228*$AD$51</f>
        <v>2.38970664520782</v>
      </c>
      <c r="BG228" s="0" t="n">
        <f aca="false">(-BE228+SQRT(BE228^2-4*$C228))/2</f>
        <v>1.40369554871462</v>
      </c>
      <c r="BH228" s="0" t="n">
        <f aca="false">(-BF228+SQRT(BF228^2-4*$D228))/2</f>
        <v>0.831689748056749</v>
      </c>
      <c r="BI228" s="0" t="n">
        <f aca="false">IF(BG228&lt;&gt;0,($C$21-$B228)*$BD228/BG228/$AC$51-$AC$60*$AC$51,0)</f>
        <v>-0.000473633091650087</v>
      </c>
      <c r="BJ228" s="0" t="n">
        <f aca="false">IF(BH228&lt;&gt;0,($C$27-$B228)*$BD228/BH228/$AD$51-$AC$60*$AD$51,0)</f>
        <v>-0.000480245044164613</v>
      </c>
      <c r="BK228" s="0" t="n">
        <f aca="false">BD228*1.001</f>
        <v>-0.0456856750499399</v>
      </c>
      <c r="BL228" s="0" t="n">
        <f aca="false">-BK228*$AC$51</f>
        <v>4.78419270370606</v>
      </c>
      <c r="BM228" s="0" t="n">
        <f aca="false">-BK228*$AD$51</f>
        <v>2.39209635185303</v>
      </c>
      <c r="BN228" s="0" t="n">
        <f aca="false">(-BL228+SQRT(BL228^2-4*$C228))/2</f>
        <v>1.40281172493272</v>
      </c>
      <c r="BO228" s="0" t="n">
        <f aca="false">(-BM228+SQRT(BM228^2-4*$D228))/2</f>
        <v>0.831199612046695</v>
      </c>
      <c r="BP228" s="0" t="n">
        <f aca="false">IF(BN228&lt;&gt;0,($C$21-$B228)*$BK228/BN228/$AC$51-$AC$60*$AC$51,0)</f>
        <v>-0.00047436547485675</v>
      </c>
      <c r="BQ228" s="0" t="n">
        <f aca="false">IF(BO228&lt;&gt;0,($C$27-$B228)*$BK228/BO228/$AD$51-$AC$60*$AD$51,0)</f>
        <v>-0.000480989277541561</v>
      </c>
      <c r="BR228" s="0" t="n">
        <f aca="false">(BP228-BI228)/($BK228-$BD228)</f>
        <v>0.0160469466428748</v>
      </c>
      <c r="BS228" s="0" t="n">
        <f aca="false">(BQ228-BJ228)/($BK228-$BD228)</f>
        <v>0.0163065908407925</v>
      </c>
      <c r="BT228" s="0" t="n">
        <f aca="false">IF(BR228&lt;&gt;BS228,(BJ228-BI228)/(BR228-BS228),0)</f>
        <v>0.0254654352669961</v>
      </c>
      <c r="BU228" s="0" t="n">
        <f aca="false">BD228+BT228</f>
        <v>-0.0201745997479288</v>
      </c>
      <c r="BV228" s="0" t="n">
        <f aca="false">-BU228*$AC$51</f>
        <v>2.11267914524026</v>
      </c>
      <c r="BW228" s="0" t="n">
        <f aca="false">-BU228*$AD$51</f>
        <v>1.05633957262013</v>
      </c>
      <c r="BX228" s="0" t="n">
        <f aca="false">(-BV228+SQRT(BV228^2-4*$C228))/2</f>
        <v>2.0733657884943</v>
      </c>
      <c r="BY228" s="0" t="n">
        <f aca="false">(-BW228+SQRT(BW228^2-4*$D228))/2</f>
        <v>1.19176209544454</v>
      </c>
      <c r="BZ228" s="0" t="n">
        <f aca="false">IF(BX228&lt;&gt;0,($C$21-$B228)*$BU228/BX228/$AC$51-$AC$60*$AC$51,0)</f>
        <v>-0.000158911317284941</v>
      </c>
      <c r="CA228" s="0" t="n">
        <f aca="false">IF(BY228&lt;&gt;0,($C$27-$B228)*$BU228/BY228/$AD$51-$AC$60*$AD$51,0)</f>
        <v>-0.000156619087363635</v>
      </c>
      <c r="CB228" s="0" t="n">
        <f aca="false">BU228*1.001</f>
        <v>-0.0201947743476768</v>
      </c>
      <c r="CC228" s="0" t="n">
        <f aca="false">-CB228*$AC$51</f>
        <v>2.1147918243855</v>
      </c>
      <c r="CD228" s="0" t="n">
        <f aca="false">-CB228*$AD$51</f>
        <v>1.05739591219275</v>
      </c>
      <c r="CE228" s="0" t="n">
        <f aca="false">(-CC228+SQRT(CC228^2-4*$C228))/2</f>
        <v>2.07266614307502</v>
      </c>
      <c r="CF228" s="0" t="n">
        <f aca="false">(-CD228+SQRT(CD228^2-4*$D228))/2</f>
        <v>1.19139619350289</v>
      </c>
      <c r="CG228" s="0" t="n">
        <f aca="false">IF(CE228&lt;&gt;0,($C$21-$B228)*$CB228/CE228/$AC$51-$AC$60*$AC$51,0)</f>
        <v>-0.000159091142760051</v>
      </c>
      <c r="CH228" s="0" t="n">
        <f aca="false">IF(CF228&lt;&gt;0,($C$27-$B228)*$CB228/CF228/$AD$51-$AC$60*$AD$51,0)</f>
        <v>-0.000156807838070817</v>
      </c>
      <c r="CI228" s="0" t="n">
        <f aca="false">(CG228-BZ228)/($CB228-$BU228)</f>
        <v>0.00891345936752227</v>
      </c>
      <c r="CJ228" s="0" t="n">
        <f aca="false">(CH228-CA228)/($CB228-$BU228)</f>
        <v>0.00935585882944529</v>
      </c>
      <c r="CK228" s="0" t="n">
        <f aca="false">IF(CI228&lt;&gt;CJ228,(CA228-BZ228)/(CI228-CJ228),0)</f>
        <v>-0.0051813578419435</v>
      </c>
      <c r="CL228" s="6" t="str">
        <f aca="false">IF(AND(BU228&gt;0,CE228&gt;0,CE228&lt;$C$15,CF228&lt;$C$15,CG228&gt;0,ABS(CK228)&lt;0.1*BU228),B228,"")</f>
        <v/>
      </c>
      <c r="CM228" s="0" t="n">
        <f aca="false">CG228+BU228^2/$C$39</f>
        <v>-9.12553969285289E-005</v>
      </c>
      <c r="CN228" s="0" t="n">
        <f aca="false">-BU228*$C$15/$C$39</f>
        <v>0.0201745997479288</v>
      </c>
      <c r="CO228" s="0" t="n">
        <f aca="false">IF(CL228&lt;&gt;"",(-CM228+SQRT(CM228^2-4*$AC$60*CN228))/2/$AC$60,0)</f>
        <v>0</v>
      </c>
      <c r="CP228" s="0" t="n">
        <f aca="false">CO228*30/PI()</f>
        <v>0</v>
      </c>
      <c r="DB228" s="6"/>
    </row>
    <row r="229" customFormat="false" ht="12.75" hidden="false" customHeight="false" outlineLevel="0" collapsed="false">
      <c r="A229" s="0" t="n">
        <f aca="false">A228+0.01</f>
        <v>0.8</v>
      </c>
      <c r="B229" s="0" t="n">
        <f aca="false">A229*$AC$68</f>
        <v>1.57313040426918</v>
      </c>
      <c r="C229" s="0" t="n">
        <f aca="false">$C$39*($B229-$C$21)</f>
        <v>-8.56121757438494</v>
      </c>
      <c r="D229" s="0" t="n">
        <f aca="false">$C$39*($B229-$C$27)</f>
        <v>-2.56121757438494</v>
      </c>
      <c r="E229" s="0" t="n">
        <f aca="false">$AC$71</f>
        <v>0.0474257507541105</v>
      </c>
      <c r="F229" s="0" t="n">
        <f aca="false">-E229*$AC$51</f>
        <v>-4.96641300533647</v>
      </c>
      <c r="G229" s="0" t="n">
        <f aca="false">-E229*$AD$51</f>
        <v>-2.48320650266823</v>
      </c>
      <c r="H229" s="0" t="n">
        <f aca="false">(-F229+SQRT(F229^2-4*$C229))/2</f>
        <v>6.32085319162734</v>
      </c>
      <c r="I229" s="0" t="n">
        <f aca="false">(-G229+SQRT(G229^2-4*$D229))/2</f>
        <v>3.26713928115644</v>
      </c>
      <c r="J229" s="0" t="n">
        <f aca="false">IF(H229&lt;&gt;0,($C$21-$B229)*$E229/H229/$AC$51-$AC$60*$AC$51,0)</f>
        <v>7.77315899064504E-005</v>
      </c>
      <c r="K229" s="0" t="n">
        <f aca="false">IF(I229&lt;&gt;0,($C$27-$B229)*$E229/I229/$AD$51-$AC$60*$AD$51,0)</f>
        <v>0.00010609209453357</v>
      </c>
      <c r="L229" s="0" t="n">
        <f aca="false">E229*1.001</f>
        <v>0.0474731765048646</v>
      </c>
      <c r="M229" s="0" t="n">
        <f aca="false">-L229*$AC$51</f>
        <v>-4.97137941834181</v>
      </c>
      <c r="N229" s="0" t="n">
        <f aca="false">-L229*$AD$51</f>
        <v>-2.4856897091709</v>
      </c>
      <c r="O229" s="0" t="n">
        <f aca="false">(-M229+SQRT(M229^2-4*$C229))/2</f>
        <v>6.32494366074314</v>
      </c>
      <c r="P229" s="0" t="n">
        <f aca="false">(-N229+SQRT(N229^2-4*$D229))/2</f>
        <v>3.26914219381148</v>
      </c>
      <c r="Q229" s="0" t="n">
        <f aca="false">IF(O229&lt;&gt;0,($C$21-$B229)*$L229/O229/$AC$51-$AC$60*$AC$51,0)</f>
        <v>7.77676408944495E-005</v>
      </c>
      <c r="R229" s="0" t="n">
        <f aca="false">IF(P229&lt;&gt;0,($C$27-$B229)*$L229/P229/$AD$51-$AC$60*$AD$51,0)</f>
        <v>0.000106137859620081</v>
      </c>
      <c r="S229" s="0" t="n">
        <f aca="false">(Q229-J229)/($L229-$E229)</f>
        <v>0.000760156400811885</v>
      </c>
      <c r="T229" s="0" t="n">
        <f aca="false">(R229-K229)/($L229-$E229)</f>
        <v>0.000964983912410963</v>
      </c>
      <c r="U229" s="0" t="n">
        <f aca="false">IF(S229&lt;&gt;T229,(K229-J229)/(S229-T229),0)</f>
        <v>-0.138460426559451</v>
      </c>
      <c r="V229" s="0" t="n">
        <f aca="false">E229+U229</f>
        <v>-0.0910346758053409</v>
      </c>
      <c r="W229" s="0" t="n">
        <f aca="false">-V229*$AC$51</f>
        <v>9.53312895773292</v>
      </c>
      <c r="X229" s="0" t="n">
        <f aca="false">-V229*$AD$51</f>
        <v>4.76656447886646</v>
      </c>
      <c r="Y229" s="0" t="n">
        <f aca="false">(-W229+SQRT(W229^2-4*$C229))/2</f>
        <v>0.826409194017798</v>
      </c>
      <c r="Z229" s="0" t="n">
        <f aca="false">(-X229+SQRT(X229^2-4*$D229))/2</f>
        <v>0.487475815015597</v>
      </c>
      <c r="AA229" s="0" t="n">
        <f aca="false">IF(Y229&lt;&gt;0,($C$21-$B229)*$V229/Y229/$AC$51-$AC$60*$AC$51,0)</f>
        <v>-0.00152545610960807</v>
      </c>
      <c r="AB229" s="0" t="n">
        <f aca="false">IF(Z229&lt;&gt;0,($C$27-$B229)*$V229/Z229/$AD$51-$AC$60*$AD$51,0)</f>
        <v>-0.00153472679009582</v>
      </c>
      <c r="AC229" s="0" t="n">
        <f aca="false">V229*1.001</f>
        <v>-0.0911257104811463</v>
      </c>
      <c r="AD229" s="0" t="n">
        <f aca="false">-AC229*$AC$51</f>
        <v>9.54266208669065</v>
      </c>
      <c r="AE229" s="0" t="n">
        <f aca="false">-AC229*$AD$51</f>
        <v>4.77133104334533</v>
      </c>
      <c r="AF229" s="0" t="n">
        <f aca="false">(-AD229+SQRT(AD229^2-4*$C229))/2</f>
        <v>0.825705449261787</v>
      </c>
      <c r="AG229" s="0" t="n">
        <f aca="false">(-AE229+SQRT(AE229^2-4*$D229))/2</f>
        <v>0.487071423416922</v>
      </c>
      <c r="AH229" s="0" t="n">
        <f aca="false">IF(AF229&lt;&gt;0,($C$21-$B229)*$AC229/AF229/$AC$51-$AC$60*$AC$51,0)</f>
        <v>-0.00152823759864618</v>
      </c>
      <c r="AI229" s="0" t="n">
        <f aca="false">IF(AG229&lt;&gt;0,($C$27-$B229)*$AC229/AG229/$AD$51-$AC$60*$AD$51,0)</f>
        <v>-0.0015375145670432</v>
      </c>
      <c r="AJ229" s="0" t="n">
        <f aca="false">(AH229-AA229)/($AC229-$V229)</f>
        <v>0.0305541708530278</v>
      </c>
      <c r="AK229" s="0" t="n">
        <f aca="false">(AI229-AB229)/($AC229-$V229)</f>
        <v>0.0306232424371142</v>
      </c>
      <c r="AL229" s="0" t="n">
        <f aca="false">IF(AJ229&lt;&gt;AK229,(AB229-AA229)/(AJ229-AK229),0)</f>
        <v>0.134218443233561</v>
      </c>
      <c r="AM229" s="0" t="n">
        <f aca="false">V229+AL229</f>
        <v>0.0431837674282203</v>
      </c>
      <c r="AN229" s="0" t="n">
        <f aca="false">-AM229*$AC$51</f>
        <v>-4.52219355022757</v>
      </c>
      <c r="AO229" s="0" t="n">
        <f aca="false">-AM229*$AD$51</f>
        <v>-2.26109677511379</v>
      </c>
      <c r="AP229" s="0" t="n">
        <f aca="false">(-AN229+SQRT(AN229^2-4*$C229))/2</f>
        <v>5.95890371988726</v>
      </c>
      <c r="AQ229" s="0" t="n">
        <f aca="false">(-AO229+SQRT(AO229^2-4*$D229))/2</f>
        <v>3.0899761690769</v>
      </c>
      <c r="AR229" s="0" t="n">
        <f aca="false">IF(AP229&lt;&gt;0,($C$21-$B229)*$AM229/AP229/$AC$51-$AC$60*$AC$51,0)</f>
        <v>7.4241664413511E-005</v>
      </c>
      <c r="AS229" s="0" t="n">
        <f aca="false">IF(AQ229&lt;&gt;0,($C$27-$B229)*$AM229/AQ229/$AD$51-$AC$60*$AD$51,0)</f>
        <v>0.000101685203703756</v>
      </c>
      <c r="AT229" s="0" t="n">
        <f aca="false">AM229*1.001</f>
        <v>0.0432269511956485</v>
      </c>
      <c r="AU229" s="0" t="n">
        <f aca="false">-AT229*$AC$51</f>
        <v>-4.5267157437778</v>
      </c>
      <c r="AV229" s="0" t="n">
        <f aca="false">-AT229*$AD$51</f>
        <v>-2.2633578718889</v>
      </c>
      <c r="AW229" s="0" t="n">
        <f aca="false">(-AU229+SQRT(AU229^2-4*$C229))/2</f>
        <v>5.96254784141282</v>
      </c>
      <c r="AX229" s="0" t="n">
        <f aca="false">(-AV229+SQRT(AV229^2-4*$D229))/2</f>
        <v>3.09175923747429</v>
      </c>
      <c r="AY229" s="0" t="n">
        <f aca="false">IF(AW229&lt;&gt;0,($C$21-$B229)*$AT229/AW229/$AC$51-$AC$60*$AC$51,0)</f>
        <v>7.42799987616075E-005</v>
      </c>
      <c r="AZ229" s="0" t="n">
        <f aca="false">IF(AX229&lt;&gt;0,($C$27-$B229)*$AT229/AX229/$AD$51-$AC$60*$AD$51,0)</f>
        <v>0.000101733365344328</v>
      </c>
      <c r="BA229" s="0" t="n">
        <f aca="false">(AY229-AR229)/($AT229-$AM229)</f>
        <v>0.00088770272672954</v>
      </c>
      <c r="BB229" s="0" t="n">
        <f aca="false">(AZ229-AS229)/($AT229-$AM229)</f>
        <v>0.00111527185886329</v>
      </c>
      <c r="BC229" s="0" t="n">
        <f aca="false">IF(BA229&lt;&gt;BB229,(AS229-AR229)/(BA229-BB229),0)</f>
        <v>-0.120594296040619</v>
      </c>
      <c r="BD229" s="0" t="n">
        <f aca="false">AM229+BC229</f>
        <v>-0.0774105286123989</v>
      </c>
      <c r="BE229" s="0" t="n">
        <f aca="false">-BD229*$AC$51</f>
        <v>8.10641159997383</v>
      </c>
      <c r="BF229" s="0" t="n">
        <f aca="false">-BD229*$AD$51</f>
        <v>4.05320579998691</v>
      </c>
      <c r="BG229" s="0" t="n">
        <f aca="false">(-BE229+SQRT(BE229^2-4*$C229))/2</f>
        <v>0.945763576937944</v>
      </c>
      <c r="BH229" s="0" t="n">
        <f aca="false">(-BF229+SQRT(BF229^2-4*$D229))/2</f>
        <v>0.555709414318433</v>
      </c>
      <c r="BI229" s="0" t="n">
        <f aca="false">IF(BG229&lt;&gt;0,($C$21-$B229)*$BD229/BG229/$AC$51-$AC$60*$AC$51,0)</f>
        <v>-0.00113975439980175</v>
      </c>
      <c r="BJ229" s="0" t="n">
        <f aca="false">IF(BH229&lt;&gt;0,($C$27-$B229)*$BD229/BH229/$AD$51-$AC$60*$AD$51,0)</f>
        <v>-0.0011479125046289</v>
      </c>
      <c r="BK229" s="0" t="n">
        <f aca="false">BD229*1.001</f>
        <v>-0.0774879391410113</v>
      </c>
      <c r="BL229" s="0" t="n">
        <f aca="false">-BK229*$AC$51</f>
        <v>8.1145180115738</v>
      </c>
      <c r="BM229" s="0" t="n">
        <f aca="false">-BK229*$AD$51</f>
        <v>4.0572590057869</v>
      </c>
      <c r="BN229" s="0" t="n">
        <f aca="false">(-BL229+SQRT(BL229^2-4*$C229))/2</f>
        <v>0.944997306560944</v>
      </c>
      <c r="BO229" s="0" t="n">
        <f aca="false">(-BM229+SQRT(BM229^2-4*$D229))/2</f>
        <v>0.555273597920253</v>
      </c>
      <c r="BP229" s="0" t="n">
        <f aca="false">IF(BN229&lt;&gt;0,($C$21-$B229)*$BK229/BN229/$AC$51-$AC$60*$AC$51,0)</f>
        <v>-0.00114177488148396</v>
      </c>
      <c r="BQ229" s="0" t="n">
        <f aca="false">IF(BO229&lt;&gt;0,($C$27-$B229)*$BK229/BO229/$AD$51-$AC$60*$AD$51,0)</f>
        <v>-0.00114994040156888</v>
      </c>
      <c r="BR229" s="0" t="n">
        <f aca="false">(BP229-BI229)/($BK229-$BD229)</f>
        <v>0.0261008640352666</v>
      </c>
      <c r="BS229" s="0" t="n">
        <f aca="false">(BQ229-BJ229)/($BK229-$BD229)</f>
        <v>0.0261966553687572</v>
      </c>
      <c r="BT229" s="0" t="n">
        <f aca="false">IF(BR229&lt;&gt;BS229,(BJ229-BI229)/(BR229-BS229),0)</f>
        <v>0.0851653748818153</v>
      </c>
      <c r="BU229" s="0" t="n">
        <f aca="false">BD229+BT229</f>
        <v>0.00775484626941644</v>
      </c>
      <c r="BV229" s="0" t="n">
        <f aca="false">-BU229*$AC$51</f>
        <v>-0.812085602323897</v>
      </c>
      <c r="BW229" s="0" t="n">
        <f aca="false">-BU229*$AD$51</f>
        <v>-0.406042801161949</v>
      </c>
      <c r="BX229" s="0" t="n">
        <f aca="false">(-BV229+SQRT(BV229^2-4*$C229))/2</f>
        <v>3.36003811780691</v>
      </c>
      <c r="BY229" s="0" t="n">
        <f aca="false">(-BW229+SQRT(BW229^2-4*$D229))/2</f>
        <v>1.81622791664728</v>
      </c>
      <c r="BZ229" s="0" t="n">
        <f aca="false">IF(BX229&lt;&gt;0,($C$21-$B229)*$BU229/BX229/$AC$51-$AC$60*$AC$51,0)</f>
        <v>6.94526027804328E-006</v>
      </c>
      <c r="CA229" s="0" t="n">
        <f aca="false">IF(BY229&lt;&gt;0,($C$27-$B229)*$BU229/BY229/$AD$51-$AC$60*$AD$51,0)</f>
        <v>2.25585665678603E-005</v>
      </c>
      <c r="CB229" s="0" t="n">
        <f aca="false">BU229*1.001</f>
        <v>0.00776260111568586</v>
      </c>
      <c r="CC229" s="0" t="n">
        <f aca="false">-CB229*$AC$51</f>
        <v>-0.812897687926221</v>
      </c>
      <c r="CD229" s="0" t="n">
        <f aca="false">-CB229*$AD$51</f>
        <v>-0.40644884396311</v>
      </c>
      <c r="CE229" s="0" t="n">
        <f aca="false">(-CC229+SQRT(CC229^2-4*$C229))/2</f>
        <v>3.36050000078892</v>
      </c>
      <c r="CF229" s="0" t="n">
        <f aca="false">(-CD229+SQRT(CD229^2-4*$D229))/2</f>
        <v>1.8164565007832</v>
      </c>
      <c r="CG229" s="0" t="n">
        <f aca="false">IF(CE229&lt;&gt;0,($C$21-$B229)*$CB229/CE229/$AC$51-$AC$60*$AC$51,0)</f>
        <v>6.97238107104085E-006</v>
      </c>
      <c r="CH229" s="0" t="n">
        <f aca="false">IF(CF229&lt;&gt;0,($C$27-$B229)*$CB229/CF229/$AD$51-$AC$60*$AD$51,0)</f>
        <v>2.25889913523665E-005</v>
      </c>
      <c r="CI229" s="0" t="n">
        <f aca="false">(CG229-BZ229)/($CB229-$BU229)</f>
        <v>0.00349727023016918</v>
      </c>
      <c r="CJ229" s="0" t="n">
        <f aca="false">(CH229-CA229)/($CB229-$BU229)</f>
        <v>0.00392332529224133</v>
      </c>
      <c r="CK229" s="0" t="n">
        <f aca="false">IF(CI229&lt;&gt;CJ229,(CA229-BZ229)/(CI229-CJ229),0)</f>
        <v>-0.0366462170731654</v>
      </c>
      <c r="CL229" s="6" t="str">
        <f aca="false">IF(AND(BU229&gt;0,CE229&gt;0,CE229&lt;$C$15,CF229&lt;$C$15,CG229&gt;0,ABS(CK229)&lt;0.1*BU229),B229,"")</f>
        <v/>
      </c>
      <c r="CM229" s="0" t="n">
        <f aca="false">CG229+BU229^2/$C$39</f>
        <v>1.69953211814212E-005</v>
      </c>
      <c r="CN229" s="0" t="n">
        <f aca="false">-BU229*$C$15/$C$39</f>
        <v>-0.00775484626941644</v>
      </c>
      <c r="CO229" s="0" t="n">
        <f aca="false">IF(CL229&lt;&gt;"",(-CM229+SQRT(CM229^2-4*$AC$60*CN229))/2/$AC$60,0)</f>
        <v>0</v>
      </c>
      <c r="CP229" s="0" t="n">
        <f aca="false">CO229*30/PI()</f>
        <v>0</v>
      </c>
      <c r="DB229" s="6"/>
    </row>
    <row r="230" customFormat="false" ht="12.75" hidden="false" customHeight="false" outlineLevel="0" collapsed="false">
      <c r="A230" s="0" t="n">
        <f aca="false">A229+0.01</f>
        <v>0.810000000000001</v>
      </c>
      <c r="B230" s="0" t="n">
        <f aca="false">A230*$AC$68</f>
        <v>1.59279453432254</v>
      </c>
      <c r="C230" s="0" t="n">
        <f aca="false">$C$39*($B230-$C$21)</f>
        <v>-8.44323279406475</v>
      </c>
      <c r="D230" s="0" t="n">
        <f aca="false">$C$39*($B230-$C$27)</f>
        <v>-2.44323279406475</v>
      </c>
      <c r="E230" s="0" t="n">
        <f aca="false">$AC$71</f>
        <v>0.0474257507541105</v>
      </c>
      <c r="F230" s="0" t="n">
        <f aca="false">-E230*$AC$51</f>
        <v>-4.96641300533647</v>
      </c>
      <c r="G230" s="0" t="n">
        <f aca="false">-E230*$AD$51</f>
        <v>-2.48320650266823</v>
      </c>
      <c r="H230" s="0" t="n">
        <f aca="false">(-F230+SQRT(F230^2-4*$C230))/2</f>
        <v>6.30545025849524</v>
      </c>
      <c r="I230" s="0" t="n">
        <f aca="false">(-G230+SQRT(G230^2-4*$D230))/2</f>
        <v>3.2378024968475</v>
      </c>
      <c r="J230" s="0" t="n">
        <f aca="false">IF(H230&lt;&gt;0,($C$21-$B230)*$E230/H230/$AC$51-$AC$60*$AC$51,0)</f>
        <v>7.65689699423852E-005</v>
      </c>
      <c r="K230" s="0" t="n">
        <f aca="false">IF(I230&lt;&gt;0,($C$27-$B230)*$E230/I230/$AD$51-$AC$60*$AD$51,0)</f>
        <v>0.000101663388542762</v>
      </c>
      <c r="L230" s="0" t="n">
        <f aca="false">E230*1.001</f>
        <v>0.0474731765048646</v>
      </c>
      <c r="M230" s="0" t="n">
        <f aca="false">-L230*$AC$51</f>
        <v>-4.97137941834181</v>
      </c>
      <c r="N230" s="0" t="n">
        <f aca="false">-L230*$AD$51</f>
        <v>-2.4856897091709</v>
      </c>
      <c r="O230" s="0" t="n">
        <f aca="false">(-M230+SQRT(M230^2-4*$C230))/2</f>
        <v>6.30954720185324</v>
      </c>
      <c r="P230" s="0" t="n">
        <f aca="false">(-N230+SQRT(N230^2-4*$D230))/2</f>
        <v>3.23981659365295</v>
      </c>
      <c r="Q230" s="0" t="n">
        <f aca="false">IF(O230&lt;&gt;0,($C$21-$B230)*$L230/O230/$AC$51-$AC$60*$AC$51,0)</f>
        <v>7.66043474776614E-005</v>
      </c>
      <c r="R230" s="0" t="n">
        <f aca="false">IF(P230&lt;&gt;0,($C$27-$B230)*$L230/P230/$AD$51-$AC$60*$AD$51,0)</f>
        <v>0.000101706414980542</v>
      </c>
      <c r="S230" s="0" t="n">
        <f aca="false">(Q230-J230)/($L230-$E230)</f>
        <v>0.000745956251902917</v>
      </c>
      <c r="T230" s="0" t="n">
        <f aca="false">(R230-K230)/($L230-$E230)</f>
        <v>0.000907237884391476</v>
      </c>
      <c r="U230" s="0" t="n">
        <f aca="false">IF(S230&lt;&gt;T230,(K230-J230)/(S230-T230),0)</f>
        <v>-0.155593778492769</v>
      </c>
      <c r="V230" s="0" t="n">
        <f aca="false">E230+U230</f>
        <v>-0.108168027738658</v>
      </c>
      <c r="W230" s="0" t="n">
        <f aca="false">-V230*$AC$51</f>
        <v>11.3273293765689</v>
      </c>
      <c r="X230" s="0" t="n">
        <f aca="false">-V230*$AD$51</f>
        <v>5.66366468828443</v>
      </c>
      <c r="Y230" s="0" t="n">
        <f aca="false">(-W230+SQRT(W230^2-4*$C230))/2</f>
        <v>0.701893456559172</v>
      </c>
      <c r="Z230" s="0" t="n">
        <f aca="false">(-X230+SQRT(X230^2-4*$D230))/2</f>
        <v>0.402747569756149</v>
      </c>
      <c r="AA230" s="0" t="n">
        <f aca="false">IF(Y230&lt;&gt;0,($C$21-$B230)*$V230/Y230/$AC$51-$AC$60*$AC$51,0)</f>
        <v>-0.00209539013899508</v>
      </c>
      <c r="AB230" s="0" t="n">
        <f aca="false">IF(Z230&lt;&gt;0,($C$27-$B230)*$V230/Z230/$AD$51-$AC$60*$AD$51,0)</f>
        <v>-0.00210097459557388</v>
      </c>
      <c r="AC230" s="0" t="n">
        <f aca="false">V230*1.001</f>
        <v>-0.108276195766397</v>
      </c>
      <c r="AD230" s="0" t="n">
        <f aca="false">-AC230*$AC$51</f>
        <v>11.3386567059454</v>
      </c>
      <c r="AE230" s="0" t="n">
        <f aca="false">-AC230*$AD$51</f>
        <v>5.66932835297272</v>
      </c>
      <c r="AF230" s="0" t="n">
        <f aca="false">(-AD230+SQRT(AD230^2-4*$C230))/2</f>
        <v>0.701269481444795</v>
      </c>
      <c r="AG230" s="0" t="n">
        <f aca="false">(-AE230+SQRT(AE230^2-4*$D230))/2</f>
        <v>0.402395258791258</v>
      </c>
      <c r="AH230" s="0" t="n">
        <f aca="false">IF(AF230&lt;&gt;0,($C$21-$B230)*$AC230/AF230/$AC$51-$AC$60*$AC$51,0)</f>
        <v>-0.00209930550305051</v>
      </c>
      <c r="AI230" s="0" t="n">
        <f aca="false">IF(AG230&lt;&gt;0,($C$27-$B230)*$AC230/AG230/$AD$51-$AC$60*$AD$51,0)</f>
        <v>-0.00210489389753536</v>
      </c>
      <c r="AJ230" s="0" t="n">
        <f aca="false">(AH230-AA230)/($AC230-$V230)</f>
        <v>0.0361970550567634</v>
      </c>
      <c r="AK230" s="0" t="n">
        <f aca="false">(AI230-AB230)/($AC230-$V230)</f>
        <v>0.0362334605097586</v>
      </c>
      <c r="AL230" s="0" t="n">
        <f aca="false">IF(AJ230&lt;&gt;AK230,(AB230-AA230)/(AJ230-AK230),0)</f>
        <v>0.153396156876213</v>
      </c>
      <c r="AM230" s="0" t="n">
        <f aca="false">V230+AL230</f>
        <v>0.0452281291375547</v>
      </c>
      <c r="AN230" s="0" t="n">
        <f aca="false">-AM230*$AC$51</f>
        <v>-4.73627860780508</v>
      </c>
      <c r="AO230" s="0" t="n">
        <f aca="false">-AM230*$AD$51</f>
        <v>-2.36813930390254</v>
      </c>
      <c r="AP230" s="0" t="n">
        <f aca="false">(-AN230+SQRT(AN230^2-4*$C230))/2</f>
        <v>6.11664788155749</v>
      </c>
      <c r="AQ230" s="0" t="n">
        <f aca="false">(-AO230+SQRT(AO230^2-4*$D230))/2</f>
        <v>3.14500150562104</v>
      </c>
      <c r="AR230" s="0" t="n">
        <f aca="false">IF(AP230&lt;&gt;0,($C$21-$B230)*$AM230/AP230/$AC$51-$AC$60*$AC$51,0)</f>
        <v>7.48607165716569E-005</v>
      </c>
      <c r="AS230" s="0" t="n">
        <f aca="false">IF(AQ230&lt;&gt;0,($C$27-$B230)*$AM230/AQ230/$AD$51-$AC$60*$AD$51,0)</f>
        <v>9.95903713492614E-005</v>
      </c>
      <c r="AT230" s="0" t="n">
        <f aca="false">AM230*1.001</f>
        <v>0.0452733572666923</v>
      </c>
      <c r="AU230" s="0" t="n">
        <f aca="false">-AT230*$AC$51</f>
        <v>-4.74101488641288</v>
      </c>
      <c r="AV230" s="0" t="n">
        <f aca="false">-AT230*$AD$51</f>
        <v>-2.37050744320644</v>
      </c>
      <c r="AW230" s="0" t="n">
        <f aca="false">(-AU230+SQRT(AU230^2-4*$C230))/2</f>
        <v>6.12051255418455</v>
      </c>
      <c r="AX230" s="0" t="n">
        <f aca="false">(-AV230+SQRT(AV230^2-4*$D230))/2</f>
        <v>3.14690077921553</v>
      </c>
      <c r="AY230" s="0" t="n">
        <f aca="false">IF(AW230&lt;&gt;0,($C$21-$B230)*$AT230/AW230/$AC$51-$AC$60*$AC$51,0)</f>
        <v>7.48972760390057E-005</v>
      </c>
      <c r="AZ230" s="0" t="n">
        <f aca="false">IF(AX230&lt;&gt;0,($C$27-$B230)*$AT230/AX230/$AD$51-$AC$60*$AD$51,0)</f>
        <v>9.96346447505039E-005</v>
      </c>
      <c r="BA230" s="0" t="n">
        <f aca="false">(AY230-AR230)/($AT230-$AM230)</f>
        <v>0.000808334725444336</v>
      </c>
      <c r="BB230" s="0" t="n">
        <f aca="false">(AZ230-AS230)/($AT230-$AM230)</f>
        <v>0.000978890838217016</v>
      </c>
      <c r="BC230" s="0" t="n">
        <f aca="false">IF(BA230&lt;&gt;BB230,(AS230-AR230)/(BA230-BB230),0)</f>
        <v>-0.144994244859254</v>
      </c>
      <c r="BD230" s="0" t="n">
        <f aca="false">AM230+BC230</f>
        <v>-0.0997661157216995</v>
      </c>
      <c r="BE230" s="0" t="n">
        <f aca="false">-BD230*$AC$51</f>
        <v>10.447483207616</v>
      </c>
      <c r="BF230" s="0" t="n">
        <f aca="false">-BD230*$AD$51</f>
        <v>5.22374160380801</v>
      </c>
      <c r="BG230" s="0" t="n">
        <f aca="false">(-BE230+SQRT(BE230^2-4*$C230))/2</f>
        <v>0.753775367093824</v>
      </c>
      <c r="BH230" s="0" t="n">
        <f aca="false">(-BF230+SQRT(BF230^2-4*$D230))/2</f>
        <v>0.431992184484086</v>
      </c>
      <c r="BI230" s="0" t="n">
        <f aca="false">IF(BG230&lt;&gt;0,($C$21-$B230)*$BD230/BG230/$AC$51-$AC$60*$AC$51,0)</f>
        <v>-0.00180306826574833</v>
      </c>
      <c r="BJ230" s="0" t="n">
        <f aca="false">IF(BH230&lt;&gt;0,($C$27-$B230)*$BD230/BH230/$AD$51-$AC$60*$AD$51,0)</f>
        <v>-0.00180831648255296</v>
      </c>
      <c r="BK230" s="0" t="n">
        <f aca="false">BD230*1.001</f>
        <v>-0.0998658818374212</v>
      </c>
      <c r="BL230" s="0" t="n">
        <f aca="false">-BK230*$AC$51</f>
        <v>10.4579306908236</v>
      </c>
      <c r="BM230" s="0" t="n">
        <f aca="false">-BK230*$AD$51</f>
        <v>5.22896534541181</v>
      </c>
      <c r="BN230" s="0" t="n">
        <f aca="false">(-BL230+SQRT(BL230^2-4*$C230))/2</f>
        <v>0.753117183071259</v>
      </c>
      <c r="BO230" s="0" t="n">
        <f aca="false">(-BM230+SQRT(BM230^2-4*$D230))/2</f>
        <v>0.431621796931367</v>
      </c>
      <c r="BP230" s="0" t="n">
        <f aca="false">IF(BN230&lt;&gt;0,($C$21-$B230)*$BK230/BN230/$AC$51-$AC$60*$AC$51,0)</f>
        <v>-0.00180640275765403</v>
      </c>
      <c r="BQ230" s="0" t="n">
        <f aca="false">IF(BO230&lt;&gt;0,($C$27-$B230)*$BK230/BO230/$AD$51-$AC$60*$AD$51,0)</f>
        <v>-0.0018116553465925</v>
      </c>
      <c r="BR230" s="0" t="n">
        <f aca="false">(BP230-BI230)/($BK230-$BD230)</f>
        <v>0.0334230904107789</v>
      </c>
      <c r="BS230" s="0" t="n">
        <f aca="false">(BQ230-BJ230)/($BK230-$BD230)</f>
        <v>0.0334669142462519</v>
      </c>
      <c r="BT230" s="0" t="n">
        <f aca="false">IF(BR230&lt;&gt;BS230,(BJ230-BI230)/(BR230-BS230),0)</f>
        <v>0.11975713097643</v>
      </c>
      <c r="BU230" s="0" t="n">
        <f aca="false">BD230+BT230</f>
        <v>0.0199910152547305</v>
      </c>
      <c r="BV230" s="0" t="n">
        <f aca="false">-BU230*$AC$51</f>
        <v>-2.09345422206876</v>
      </c>
      <c r="BW230" s="0" t="n">
        <f aca="false">-BU230*$AD$51</f>
        <v>-1.04672711103438</v>
      </c>
      <c r="BX230" s="0" t="n">
        <f aca="false">(-BV230+SQRT(BV230^2-4*$C230))/2</f>
        <v>4.13523329348556</v>
      </c>
      <c r="BY230" s="0" t="n">
        <f aca="false">(-BW230+SQRT(BW230^2-4*$D230))/2</f>
        <v>2.17173918179548</v>
      </c>
      <c r="BZ230" s="0" t="n">
        <f aca="false">IF(BX230&lt;&gt;0,($C$21-$B230)*$BU230/BX230/$AC$51-$AC$60*$AC$51,0)</f>
        <v>4.0460516433351E-005</v>
      </c>
      <c r="CA230" s="0" t="n">
        <f aca="false">IF(BY230&lt;&gt;0,($C$27-$B230)*$BU230/BY230/$AD$51-$AC$60*$AD$51,0)</f>
        <v>5.93372516501872E-005</v>
      </c>
      <c r="CB230" s="0" t="n">
        <f aca="false">BU230*1.001</f>
        <v>0.0200110062699852</v>
      </c>
      <c r="CC230" s="0" t="n">
        <f aca="false">-CB230*$AC$51</f>
        <v>-2.09554767629083</v>
      </c>
      <c r="CD230" s="0" t="n">
        <f aca="false">-CB230*$AD$51</f>
        <v>-1.04777383814542</v>
      </c>
      <c r="CE230" s="0" t="n">
        <f aca="false">(-CC230+SQRT(CC230^2-4*$C230))/2</f>
        <v>4.13663492436583</v>
      </c>
      <c r="CF230" s="0" t="n">
        <f aca="false">(-CD230+SQRT(CD230^2-4*$D230))/2</f>
        <v>2.17242878934481</v>
      </c>
      <c r="CG230" s="0" t="n">
        <f aca="false">IF(CE230&lt;&gt;0,($C$21-$B230)*$CB230/CE230/$AC$51-$AC$60*$AC$51,0)</f>
        <v>4.05034455433713E-005</v>
      </c>
      <c r="CH230" s="0" t="n">
        <f aca="false">IF(CF230&lt;&gt;0,($C$27-$B230)*$CB230/CF230/$AD$51-$AC$60*$AD$51,0)</f>
        <v>5.93860925196819E-005</v>
      </c>
      <c r="CI230" s="0" t="n">
        <f aca="false">(CG230-BZ230)/($CB230-$BU230)</f>
        <v>0.0021474202021908</v>
      </c>
      <c r="CJ230" s="0" t="n">
        <f aca="false">(CH230-CA230)/($CB230-$BU230)</f>
        <v>0.00244314102472231</v>
      </c>
      <c r="CK230" s="0" t="n">
        <f aca="false">IF(CI230&lt;&gt;CJ230,(CA230-BZ230)/(CI230-CJ230),0)</f>
        <v>-0.0638329592594877</v>
      </c>
      <c r="CL230" s="6" t="str">
        <f aca="false">IF(AND(BU230&gt;0,CE230&gt;0,CE230&lt;$C$15,CF230&lt;$C$15,CG230&gt;0,ABS(CK230)&lt;0.1*BU230),B230,"")</f>
        <v/>
      </c>
      <c r="CM230" s="0" t="n">
        <f aca="false">CG230+BU230^2/$C$39</f>
        <v>0.000107110227362516</v>
      </c>
      <c r="CN230" s="0" t="n">
        <f aca="false">-BU230*$C$15/$C$39</f>
        <v>-0.0199910152547305</v>
      </c>
      <c r="CO230" s="0" t="n">
        <f aca="false">IF(CL230&lt;&gt;"",(-CM230+SQRT(CM230^2-4*$AC$60*CN230))/2/$AC$60,0)</f>
        <v>0</v>
      </c>
      <c r="CP230" s="0" t="n">
        <f aca="false">CO230*30/PI()</f>
        <v>0</v>
      </c>
      <c r="DB230" s="6"/>
    </row>
    <row r="231" customFormat="false" ht="12.75" hidden="false" customHeight="false" outlineLevel="0" collapsed="false">
      <c r="A231" s="0" t="n">
        <f aca="false">A230+0.01</f>
        <v>0.82</v>
      </c>
      <c r="B231" s="0" t="n">
        <f aca="false">A231*$AC$68</f>
        <v>1.61245866437591</v>
      </c>
      <c r="C231" s="0" t="n">
        <f aca="false">$C$39*($B231-$C$21)</f>
        <v>-8.32524801374456</v>
      </c>
      <c r="D231" s="0" t="n">
        <f aca="false">$C$39*($B231-$C$27)</f>
        <v>-2.32524801374456</v>
      </c>
      <c r="E231" s="0" t="n">
        <f aca="false">$AC$71</f>
        <v>0.0474257507541105</v>
      </c>
      <c r="F231" s="0" t="n">
        <f aca="false">-E231*$AC$51</f>
        <v>-4.96641300533647</v>
      </c>
      <c r="G231" s="0" t="n">
        <f aca="false">-E231*$AD$51</f>
        <v>-2.48320650266823</v>
      </c>
      <c r="H231" s="0" t="n">
        <f aca="false">(-F231+SQRT(F231^2-4*$C231))/2</f>
        <v>6.2899850027439</v>
      </c>
      <c r="I231" s="0" t="n">
        <f aca="false">(-G231+SQRT(G231^2-4*$D231))/2</f>
        <v>3.20802809034221</v>
      </c>
      <c r="J231" s="0" t="n">
        <f aca="false">IF(H231&lt;&gt;0,($C$21-$B231)*$E231/H231/$AC$51-$AC$60*$AC$51,0)</f>
        <v>7.5401645840431E-005</v>
      </c>
      <c r="K231" s="0" t="n">
        <f aca="false">IF(I231&lt;&gt;0,($C$27-$B231)*$E231/I231/$AD$51-$AC$60*$AD$51,0)</f>
        <v>9.71686187317945E-005</v>
      </c>
      <c r="L231" s="0" t="n">
        <f aca="false">E231*1.001</f>
        <v>0.0474731765048646</v>
      </c>
      <c r="M231" s="0" t="n">
        <f aca="false">-L231*$AC$51</f>
        <v>-4.97137941834181</v>
      </c>
      <c r="N231" s="0" t="n">
        <f aca="false">-L231*$AD$51</f>
        <v>-2.4856897091709</v>
      </c>
      <c r="O231" s="0" t="n">
        <f aca="false">(-M231+SQRT(M231^2-4*$C231))/2</f>
        <v>6.29408849921675</v>
      </c>
      <c r="P231" s="0" t="n">
        <f aca="false">(-N231+SQRT(N231^2-4*$D231))/2</f>
        <v>3.21005387914641</v>
      </c>
      <c r="Q231" s="0" t="n">
        <f aca="false">IF(O231&lt;&gt;0,($C$21-$B231)*$L231/O231/$AC$51-$AC$60*$AC$51,0)</f>
        <v>7.54363511781415E-005</v>
      </c>
      <c r="R231" s="0" t="n">
        <f aca="false">IF(P231&lt;&gt;0,($C$27-$B231)*$L231/P231/$AD$51-$AC$60*$AD$51,0)</f>
        <v>9.72089171989047E-005</v>
      </c>
      <c r="S231" s="0" t="n">
        <f aca="false">(Q231-J231)/($L231-$E231)</f>
        <v>0.000731782568725019</v>
      </c>
      <c r="T231" s="0" t="n">
        <f aca="false">(R231-K231)/($L231-$E231)</f>
        <v>0.000849717009630714</v>
      </c>
      <c r="U231" s="0" t="n">
        <f aca="false">IF(S231&lt;&gt;T231,(K231-J231)/(S231-T231),0)</f>
        <v>-0.184568415504418</v>
      </c>
      <c r="V231" s="0" t="n">
        <f aca="false">E231+U231</f>
        <v>-0.137142664750307</v>
      </c>
      <c r="W231" s="0" t="n">
        <f aca="false">-V231*$AC$51</f>
        <v>14.3615462691098</v>
      </c>
      <c r="X231" s="0" t="n">
        <f aca="false">-V231*$AD$51</f>
        <v>7.18077313455489</v>
      </c>
      <c r="Y231" s="0" t="n">
        <f aca="false">(-W231+SQRT(W231^2-4*$C231))/2</f>
        <v>0.558009122602229</v>
      </c>
      <c r="Z231" s="0" t="n">
        <f aca="false">(-X231+SQRT(X231^2-4*$D231))/2</f>
        <v>0.310398445541241</v>
      </c>
      <c r="AA231" s="0" t="n">
        <f aca="false">IF(Y231&lt;&gt;0,($C$21-$B231)*$V231/Y231/$AC$51-$AC$60*$AC$51,0)</f>
        <v>-0.00328098349300565</v>
      </c>
      <c r="AB231" s="0" t="n">
        <f aca="false">IF(Z231&lt;&gt;0,($C$27-$B231)*$V231/Z231/$AD$51-$AC$60*$AD$51,0)</f>
        <v>-0.00328243707057095</v>
      </c>
      <c r="AC231" s="0" t="n">
        <f aca="false">V231*1.001</f>
        <v>-0.137279807415058</v>
      </c>
      <c r="AD231" s="0" t="n">
        <f aca="false">-AC231*$AC$51</f>
        <v>14.3759078153789</v>
      </c>
      <c r="AE231" s="0" t="n">
        <f aca="false">-AC231*$AD$51</f>
        <v>7.18795390768944</v>
      </c>
      <c r="AF231" s="0" t="n">
        <f aca="false">(-AD231+SQRT(AD231^2-4*$C231))/2</f>
        <v>0.557491811751918</v>
      </c>
      <c r="AG231" s="0" t="n">
        <f aca="false">(-AE231+SQRT(AE231^2-4*$D231))/2</f>
        <v>0.310112998821783</v>
      </c>
      <c r="AH231" s="0" t="n">
        <f aca="false">IF(AF231&lt;&gt;0,($C$21-$B231)*$AC231/AF231/$AC$51-$AC$60*$AC$51,0)</f>
        <v>-0.00328726476812721</v>
      </c>
      <c r="AI231" s="0" t="n">
        <f aca="false">IF(AG231&lt;&gt;0,($C$27-$B231)*$AC231/AG231/$AD$51-$AC$60*$AD$51,0)</f>
        <v>-0.00328872034320552</v>
      </c>
      <c r="AJ231" s="0" t="n">
        <f aca="false">(AH231-AA231)/($AC231-$V231)</f>
        <v>0.0458010286805607</v>
      </c>
      <c r="AK231" s="0" t="n">
        <f aca="false">(AI231-AB231)/($AC231-$V231)</f>
        <v>0.0458155938999936</v>
      </c>
      <c r="AL231" s="0" t="n">
        <f aca="false">IF(AJ231&lt;&gt;AK231,(AB231-AA231)/(AJ231-AK231),0)</f>
        <v>0.0997978487039083</v>
      </c>
      <c r="AM231" s="0" t="n">
        <f aca="false">V231+AL231</f>
        <v>-0.037344816046399</v>
      </c>
      <c r="AN231" s="0" t="n">
        <f aca="false">-AM231*$AC$51</f>
        <v>3.91073999136765</v>
      </c>
      <c r="AO231" s="0" t="n">
        <f aca="false">-AM231*$AD$51</f>
        <v>1.95536999568382</v>
      </c>
      <c r="AP231" s="0" t="n">
        <f aca="false">(-AN231+SQRT(AN231^2-4*$C231))/2</f>
        <v>1.53013137912083</v>
      </c>
      <c r="AQ231" s="0" t="n">
        <f aca="false">(-AO231+SQRT(AO231^2-4*$D231))/2</f>
        <v>0.833700098914077</v>
      </c>
      <c r="AR231" s="0" t="n">
        <f aca="false">IF(AP231&lt;&gt;0,($C$21-$B231)*$AM231/AP231/$AC$51-$AC$60*$AC$51,0)</f>
        <v>-0.000347886420824216</v>
      </c>
      <c r="AS231" s="0" t="n">
        <f aca="false">IF(AQ231&lt;&gt;0,($C$27-$B231)*$AM231/AQ231/$AD$51-$AC$60*$AD$51,0)</f>
        <v>-0.000343794080309406</v>
      </c>
      <c r="AT231" s="0" t="n">
        <f aca="false">AM231*1.001</f>
        <v>-0.0373821608624454</v>
      </c>
      <c r="AU231" s="0" t="n">
        <f aca="false">-AT231*$AC$51</f>
        <v>3.91465073135901</v>
      </c>
      <c r="AV231" s="0" t="n">
        <f aca="false">-AT231*$AD$51</f>
        <v>1.95732536567951</v>
      </c>
      <c r="AW231" s="0" t="n">
        <f aca="false">(-AU231+SQRT(AU231^2-4*$C231))/2</f>
        <v>1.52927334952662</v>
      </c>
      <c r="AX231" s="0" t="n">
        <f aca="false">(-AV231+SQRT(AV231^2-4*$D231))/2</f>
        <v>0.833250300867706</v>
      </c>
      <c r="AY231" s="0" t="n">
        <f aca="false">IF(AW231&lt;&gt;0,($C$21-$B231)*$AT231/AW231/$AC$51-$AC$60*$AC$51,0)</f>
        <v>-0.000348391427816821</v>
      </c>
      <c r="AZ231" s="0" t="n">
        <f aca="false">IF(AX231&lt;&gt;0,($C$27-$B231)*$AT231/AX231/$AD$51-$AC$60*$AD$51,0)</f>
        <v>-0.000344304773006115</v>
      </c>
      <c r="BA231" s="0" t="n">
        <f aca="false">(AY231-AR231)/($AT231-$AM231)</f>
        <v>0.0135228137682478</v>
      </c>
      <c r="BB231" s="0" t="n">
        <f aca="false">(AZ231-AS231)/($AT231-$AM231)</f>
        <v>0.0136750625863276</v>
      </c>
      <c r="BC231" s="0" t="n">
        <f aca="false">IF(BA231&lt;&gt;BB231,(AS231-AR231)/(BA231-BB231),0)</f>
        <v>-0.0268792925056792</v>
      </c>
      <c r="BD231" s="0" t="n">
        <f aca="false">AM231+BC231</f>
        <v>-0.0642241085520783</v>
      </c>
      <c r="BE231" s="0" t="n">
        <f aca="false">-BD231*$AC$51</f>
        <v>6.72553292035208</v>
      </c>
      <c r="BF231" s="0" t="n">
        <f aca="false">-BD231*$AD$51</f>
        <v>3.36276646017604</v>
      </c>
      <c r="BG231" s="0" t="n">
        <f aca="false">(-BE231+SQRT(BE231^2-4*$C231))/2</f>
        <v>1.06819802618914</v>
      </c>
      <c r="BH231" s="0" t="n">
        <f aca="false">(-BF231+SQRT(BF231^2-4*$D231))/2</f>
        <v>0.588484074440108</v>
      </c>
      <c r="BI231" s="0" t="n">
        <f aca="false">IF(BG231&lt;&gt;0,($C$21-$B231)*$BD231/BG231/$AC$51-$AC$60*$AC$51,0)</f>
        <v>-0.000821144915259457</v>
      </c>
      <c r="BJ231" s="0" t="n">
        <f aca="false">IF(BH231&lt;&gt;0,($C$27-$B231)*$BD231/BH231/$AD$51-$AC$60*$AD$51,0)</f>
        <v>-0.00082001187849346</v>
      </c>
      <c r="BK231" s="0" t="n">
        <f aca="false">BD231*1.001</f>
        <v>-0.0642883326606303</v>
      </c>
      <c r="BL231" s="0" t="n">
        <f aca="false">-BK231*$AC$51</f>
        <v>6.73225845327243</v>
      </c>
      <c r="BM231" s="0" t="n">
        <f aca="false">-BK231*$AD$51</f>
        <v>3.36612922663622</v>
      </c>
      <c r="BN231" s="0" t="n">
        <f aca="false">(-BL231+SQRT(BL231^2-4*$C231))/2</f>
        <v>1.06738788556253</v>
      </c>
      <c r="BO231" s="0" t="n">
        <f aca="false">(-BM231+SQRT(BM231^2-4*$D231))/2</f>
        <v>0.588048441188029</v>
      </c>
      <c r="BP231" s="0" t="n">
        <f aca="false">IF(BN231&lt;&gt;0,($C$21-$B231)*$BK231/BN231/$AC$51-$AC$60*$AC$51,0)</f>
        <v>-0.000822546809500787</v>
      </c>
      <c r="BQ231" s="0" t="n">
        <f aca="false">IF(BO231&lt;&gt;0,($C$27-$B231)*$BK231/BO231/$AD$51-$AC$60*$AD$51,0)</f>
        <v>-0.000821418636483459</v>
      </c>
      <c r="BR231" s="0" t="n">
        <f aca="false">(BP231-BI231)/($BK231-$BD231)</f>
        <v>0.0218281619306966</v>
      </c>
      <c r="BS231" s="0" t="n">
        <f aca="false">(BQ231-BJ231)/($BK231-$BD231)</f>
        <v>0.0219038928171016</v>
      </c>
      <c r="BT231" s="0" t="n">
        <f aca="false">IF(BR231&lt;&gt;BS231,(BJ231-BI231)/(BR231-BS231),0)</f>
        <v>-0.0149613561887676</v>
      </c>
      <c r="BU231" s="0" t="n">
        <f aca="false">BD231+BT231</f>
        <v>-0.0791854647408459</v>
      </c>
      <c r="BV231" s="0" t="n">
        <f aca="false">-BU231*$AC$51</f>
        <v>8.29228247669783</v>
      </c>
      <c r="BW231" s="0" t="n">
        <f aca="false">-BU231*$AD$51</f>
        <v>4.14614123834892</v>
      </c>
      <c r="BX231" s="0" t="n">
        <f aca="false">(-BV231+SQRT(BV231^2-4*$C231))/2</f>
        <v>0.905169005744397</v>
      </c>
      <c r="BY231" s="0" t="n">
        <f aca="false">(-BW231+SQRT(BW231^2-4*$D231))/2</f>
        <v>0.500423077306832</v>
      </c>
      <c r="BZ231" s="0" t="n">
        <f aca="false">IF(BX231&lt;&gt;0,($C$21-$B231)*$BU231/BX231/$AC$51-$AC$60*$AC$51,0)</f>
        <v>-0.00118363469806431</v>
      </c>
      <c r="CA231" s="0" t="n">
        <f aca="false">IF(BY231&lt;&gt;0,($C$27-$B231)*$BU231/BY231/$AD$51-$AC$60*$AD$51,0)</f>
        <v>-0.00118344159113085</v>
      </c>
      <c r="CB231" s="0" t="n">
        <f aca="false">BU231*1.001</f>
        <v>-0.0792646502055867</v>
      </c>
      <c r="CC231" s="0" t="n">
        <f aca="false">-CB231*$AC$51</f>
        <v>8.30057475917453</v>
      </c>
      <c r="CD231" s="0" t="n">
        <f aca="false">-CB231*$AD$51</f>
        <v>4.15028737958726</v>
      </c>
      <c r="CE231" s="0" t="n">
        <f aca="false">(-CC231+SQRT(CC231^2-4*$C231))/2</f>
        <v>0.904426593221275</v>
      </c>
      <c r="CF231" s="0" t="n">
        <f aca="false">(-CD231+SQRT(CD231^2-4*$D231))/2</f>
        <v>0.500020255867866</v>
      </c>
      <c r="CG231" s="0" t="n">
        <f aca="false">IF(CE231&lt;&gt;0,($C$21-$B231)*$CB231/CE231/$AC$51-$AC$60*$AC$51,0)</f>
        <v>-0.00118574627397075</v>
      </c>
      <c r="CH231" s="0" t="n">
        <f aca="false">IF(CF231&lt;&gt;0,($C$27-$B231)*$CB231/CF231/$AD$51-$AC$60*$AD$51,0)</f>
        <v>-0.0011855572482595</v>
      </c>
      <c r="CI231" s="0" t="n">
        <f aca="false">(CG231-BZ231)/($CB231-$BU231)</f>
        <v>0.0266662058921348</v>
      </c>
      <c r="CJ231" s="0" t="n">
        <f aca="false">(CH231-CA231)/($CB231-$BU231)</f>
        <v>0.0267177459345241</v>
      </c>
      <c r="CK231" s="0" t="n">
        <f aca="false">IF(CI231&lt;&gt;CJ231,(CA231-BZ231)/(CI231-CJ231),0)</f>
        <v>-0.00374673602325747</v>
      </c>
      <c r="CL231" s="6" t="str">
        <f aca="false">IF(AND(BU231&gt;0,CE231&gt;0,CE231&lt;$C$15,CF231&lt;$C$15,CG231&gt;0,ABS(CK231)&lt;0.1*BU231),B231,"")</f>
        <v/>
      </c>
      <c r="CM231" s="0" t="n">
        <f aca="false">CG231+BU231^2/$C$39</f>
        <v>-0.000140689969600126</v>
      </c>
      <c r="CN231" s="0" t="n">
        <f aca="false">-BU231*$C$15/$C$39</f>
        <v>0.0791854647408459</v>
      </c>
      <c r="CO231" s="0" t="n">
        <f aca="false">IF(CL231&lt;&gt;"",(-CM231+SQRT(CM231^2-4*$AC$60*CN231))/2/$AC$60,0)</f>
        <v>0</v>
      </c>
      <c r="CP231" s="0" t="n">
        <f aca="false">CO231*30/PI()</f>
        <v>0</v>
      </c>
      <c r="DB231" s="6"/>
    </row>
    <row r="232" customFormat="false" ht="12.75" hidden="false" customHeight="false" outlineLevel="0" collapsed="false">
      <c r="A232" s="0" t="n">
        <f aca="false">A231+0.01</f>
        <v>0.83</v>
      </c>
      <c r="B232" s="0" t="n">
        <f aca="false">A232*$AC$68</f>
        <v>1.63212279442927</v>
      </c>
      <c r="C232" s="0" t="n">
        <f aca="false">$C$39*($B232-$C$21)</f>
        <v>-8.20726323342438</v>
      </c>
      <c r="D232" s="0" t="n">
        <f aca="false">$C$39*($B232-$C$27)</f>
        <v>-2.20726323342438</v>
      </c>
      <c r="E232" s="0" t="n">
        <f aca="false">$AC$71</f>
        <v>0.0474257507541105</v>
      </c>
      <c r="F232" s="0" t="n">
        <f aca="false">-E232*$AC$51</f>
        <v>-4.96641300533647</v>
      </c>
      <c r="G232" s="0" t="n">
        <f aca="false">-E232*$AD$51</f>
        <v>-2.48320650266823</v>
      </c>
      <c r="H232" s="0" t="n">
        <f aca="false">(-F232+SQRT(F232^2-4*$C232))/2</f>
        <v>6.2744566616947</v>
      </c>
      <c r="I232" s="0" t="n">
        <f aca="false">(-G232+SQRT(G232^2-4*$D232))/2</f>
        <v>3.17779587272999</v>
      </c>
      <c r="J232" s="0" t="n">
        <f aca="false">IF(H232&lt;&gt;0,($C$21-$B232)*$E232/H232/$AC$51-$AC$60*$AC$51,0)</f>
        <v>7.42295600332799E-005</v>
      </c>
      <c r="K232" s="0" t="n">
        <f aca="false">IF(I232&lt;&gt;0,($C$27-$B232)*$E232/I232/$AD$51-$AC$60*$AD$51,0)</f>
        <v>9.26047373654979E-005</v>
      </c>
      <c r="L232" s="0" t="n">
        <f aca="false">E232*1.001</f>
        <v>0.0474731765048646</v>
      </c>
      <c r="M232" s="0" t="n">
        <f aca="false">-L232*$AC$51</f>
        <v>-4.97137941834181</v>
      </c>
      <c r="N232" s="0" t="n">
        <f aca="false">-L232*$AD$51</f>
        <v>-2.4856897091709</v>
      </c>
      <c r="O232" s="0" t="n">
        <f aca="false">(-M232+SQRT(M232^2-4*$C232))/2</f>
        <v>6.27856679176961</v>
      </c>
      <c r="P232" s="0" t="n">
        <f aca="false">(-N232+SQRT(N232^2-4*$D232))/2</f>
        <v>3.17983390101651</v>
      </c>
      <c r="Q232" s="0" t="n">
        <f aca="false">IF(O232&lt;&gt;0,($C$21-$B232)*$L232/O232/$AC$51-$AC$60*$AC$51,0)</f>
        <v>7.42635944930045E-005</v>
      </c>
      <c r="R232" s="0" t="n">
        <f aca="false">IF(P232&lt;&gt;0,($C$27-$B232)*$L232/P232/$AD$51-$AC$60*$AD$51,0)</f>
        <v>9.26423214816188E-005</v>
      </c>
      <c r="S232" s="0" t="n">
        <f aca="false">(Q232-J232)/($L232-$E232)</f>
        <v>0.000717636709666563</v>
      </c>
      <c r="T232" s="0" t="n">
        <f aca="false">(R232-K232)/($L232-$E232)</f>
        <v>0.000792483313878701</v>
      </c>
      <c r="U232" s="0" t="n">
        <f aca="false">IF(S232&lt;&gt;T232,(K232-J232)/(S232-T232),0)</f>
        <v>-0.245504489156748</v>
      </c>
      <c r="V232" s="0" t="n">
        <f aca="false">E232+U232</f>
        <v>-0.198078738402638</v>
      </c>
      <c r="W232" s="0" t="n">
        <f aca="false">-V232*$AC$51</f>
        <v>20.7427569799354</v>
      </c>
      <c r="X232" s="0" t="n">
        <f aca="false">-V232*$AD$51</f>
        <v>10.3713784899677</v>
      </c>
      <c r="Y232" s="0" t="n">
        <f aca="false">(-W232+SQRT(W232^2-4*$C232))/2</f>
        <v>0.388396368996082</v>
      </c>
      <c r="Z232" s="0" t="n">
        <f aca="false">(-X232+SQRT(X232^2-4*$D232))/2</f>
        <v>0.208625927395824</v>
      </c>
      <c r="AA232" s="0" t="n">
        <f aca="false">IF(Y232&lt;&gt;0,($C$21-$B232)*$V232/Y232/$AC$51-$AC$60*$AC$51,0)</f>
        <v>-0.00668614267332627</v>
      </c>
      <c r="AB232" s="0" t="n">
        <f aca="false">IF(Z232&lt;&gt;0,($C$27-$B232)*$V232/Z232/$AD$51-$AC$60*$AD$51,0)</f>
        <v>-0.00668298835932196</v>
      </c>
      <c r="AC232" s="0" t="n">
        <f aca="false">V232*1.001</f>
        <v>-0.19827681714104</v>
      </c>
      <c r="AD232" s="0" t="n">
        <f aca="false">-AC232*$AC$51</f>
        <v>20.7634997369153</v>
      </c>
      <c r="AE232" s="0" t="n">
        <f aca="false">-AC232*$AD$51</f>
        <v>10.3817498684576</v>
      </c>
      <c r="AF232" s="0" t="n">
        <f aca="false">(-AD232+SQRT(AD232^2-4*$C232))/2</f>
        <v>0.388022346619362</v>
      </c>
      <c r="AG232" s="0" t="n">
        <f aca="false">(-AE232+SQRT(AE232^2-4*$D232))/2</f>
        <v>0.208425559004486</v>
      </c>
      <c r="AH232" s="0" t="n">
        <f aca="false">IF(AF232&lt;&gt;0,($C$21-$B232)*$AC232/AF232/$AC$51-$AC$60*$AC$51,0)</f>
        <v>-0.00669923202157972</v>
      </c>
      <c r="AI232" s="0" t="n">
        <f aca="false">IF(AG232&lt;&gt;0,($C$27-$B232)*$AC232/AG232/$AD$51-$AC$60*$AD$51,0)</f>
        <v>-0.00669607837413357</v>
      </c>
      <c r="AJ232" s="0" t="n">
        <f aca="false">(AH232-AA232)/($AC232-$V232)</f>
        <v>0.066081540901382</v>
      </c>
      <c r="AK232" s="0" t="n">
        <f aca="false">(AI232-AB232)/($AC232-$V232)</f>
        <v>0.0660849060185524</v>
      </c>
      <c r="AL232" s="0" t="n">
        <f aca="false">IF(AJ232&lt;&gt;AK232,(AB232-AA232)/(AJ232-AK232),0)</f>
        <v>-0.937356366671429</v>
      </c>
      <c r="AM232" s="0" t="n">
        <f aca="false">V232+AL232</f>
        <v>-1.13543510507407</v>
      </c>
      <c r="AN232" s="0" t="n">
        <f aca="false">-AM232*$AC$51</f>
        <v>118.902486157621</v>
      </c>
      <c r="AO232" s="0" t="n">
        <f aca="false">-AM232*$AD$51</f>
        <v>59.4512430788107</v>
      </c>
      <c r="AP232" s="0" t="n">
        <f aca="false">(-AN232+SQRT(AN232^2-4*$C232))/2</f>
        <v>0.0689851368914134</v>
      </c>
      <c r="AQ232" s="0" t="n">
        <f aca="false">(-AO232+SQRT(AO232^2-4*$D232))/2</f>
        <v>0.0371041277338016</v>
      </c>
      <c r="AR232" s="0" t="n">
        <f aca="false">IF(AP232&lt;&gt;0,($C$21-$B232)*$AM232/AP232/$AC$51-$AC$60*$AC$51,0)</f>
        <v>-0.215017978222043</v>
      </c>
      <c r="AS232" s="0" t="n">
        <f aca="false">IF(AQ232&lt;&gt;0,($C$27-$B232)*$AM232/AQ232/$AD$51-$AC$60*$AD$51,0)</f>
        <v>-0.21501516585876</v>
      </c>
      <c r="AT232" s="0" t="n">
        <f aca="false">AM232*1.001</f>
        <v>-1.13657054017914</v>
      </c>
      <c r="AU232" s="0" t="n">
        <f aca="false">-AT232*$AC$51</f>
        <v>119.021388643779</v>
      </c>
      <c r="AV232" s="0" t="n">
        <f aca="false">-AT232*$AD$51</f>
        <v>59.5106943218895</v>
      </c>
      <c r="AW232" s="0" t="n">
        <f aca="false">(-AU232+SQRT(AU232^2-4*$C232))/2</f>
        <v>0.068916300426551</v>
      </c>
      <c r="AX232" s="0" t="n">
        <f aca="false">(-AV232+SQRT(AV232^2-4*$D232))/2</f>
        <v>0.0370671068142023</v>
      </c>
      <c r="AY232" s="0" t="n">
        <f aca="false">IF(AW232&lt;&gt;0,($C$21-$B232)*$AT232/AW232/$AC$51-$AC$60*$AC$51,0)</f>
        <v>-0.215447930861082</v>
      </c>
      <c r="AZ232" s="0" t="n">
        <f aca="false">IF(AX232&lt;&gt;0,($C$27-$B232)*$AT232/AX232/$AD$51-$AC$60*$AD$51,0)</f>
        <v>-0.215445118520445</v>
      </c>
      <c r="BA232" s="0" t="n">
        <f aca="false">(AY232-AR232)/($AT232-$AM232)</f>
        <v>0.378667734613438</v>
      </c>
      <c r="BB232" s="0" t="n">
        <f aca="false">(AZ232-AS232)/($AT232-$AM232)</f>
        <v>0.378667754557821</v>
      </c>
      <c r="BC232" s="0" t="n">
        <f aca="false">IF(BA232&lt;&gt;BB232,(AS232-AR232)/(BA232-BB232),0)</f>
        <v>-141.010295498359</v>
      </c>
      <c r="BD232" s="0" t="n">
        <f aca="false">AM232+BC232</f>
        <v>-142.145730603433</v>
      </c>
      <c r="BE232" s="0" t="n">
        <f aca="false">-BD232*$AC$51</f>
        <v>14885.4661000966</v>
      </c>
      <c r="BF232" s="0" t="n">
        <f aca="false">-BD232*$AD$51</f>
        <v>7442.73305004833</v>
      </c>
      <c r="BG232" s="0" t="n">
        <f aca="false">(-BE232+SQRT(BE232^2-4*$C232))/2</f>
        <v>0.000551360828467296</v>
      </c>
      <c r="BH232" s="0" t="n">
        <f aca="false">(-BF232+SQRT(BF232^2-4*$D232))/2</f>
        <v>0.000296566211545723</v>
      </c>
      <c r="BI232" s="0" t="n">
        <f aca="false">IF(BG232&lt;&gt;0,($C$21-$B232)*$BD232/BG232/$AC$51-$AC$60*$AC$51,0)</f>
        <v>-3367.56827412951</v>
      </c>
      <c r="BJ232" s="0" t="n">
        <f aca="false">IF(BH232&lt;&gt;0,($C$27-$B232)*$BD232/BH232/$AD$51-$AC$60*$AD$51,0)</f>
        <v>-3367.56826984407</v>
      </c>
      <c r="BK232" s="0" t="n">
        <f aca="false">BD232*1.001</f>
        <v>-142.287876334037</v>
      </c>
      <c r="BL232" s="0" t="n">
        <f aca="false">-BK232*$AC$51</f>
        <v>14900.3515661967</v>
      </c>
      <c r="BM232" s="0" t="n">
        <f aca="false">-BK232*$AD$51</f>
        <v>7450.17578309837</v>
      </c>
      <c r="BN232" s="0" t="n">
        <f aca="false">(-BL232+SQRT(BL232^2-4*$C232))/2</f>
        <v>0.000550810019376513</v>
      </c>
      <c r="BO232" s="0" t="n">
        <f aca="false">(-BM232+SQRT(BM232^2-4*$D232))/2</f>
        <v>0.000296269941827632</v>
      </c>
      <c r="BP232" s="0" t="n">
        <f aca="false">IF(BN232&lt;&gt;0,($C$21-$B232)*$BK232/BN232/$AC$51-$AC$60*$AC$51,0)</f>
        <v>-3374.30677251406</v>
      </c>
      <c r="BQ232" s="0" t="n">
        <f aca="false">IF(BO232&lt;&gt;0,($C$27-$B232)*$BK232/BO232/$AD$51-$AC$60*$AD$51,0)</f>
        <v>-3374.30677138186</v>
      </c>
      <c r="BR232" s="0" t="n">
        <f aca="false">(BP232-BI232)/($BK232-$BD232)</f>
        <v>47.4055629806044</v>
      </c>
      <c r="BS232" s="0" t="n">
        <f aca="false">(BQ232-BJ232)/($BK232-$BD232)</f>
        <v>47.4055851638336</v>
      </c>
      <c r="BT232" s="0" t="n">
        <f aca="false">IF(BR232&lt;&gt;BS232,(BJ232-BI232)/(BR232-BS232),0)</f>
        <v>-0.193183997491064</v>
      </c>
      <c r="BU232" s="0" t="n">
        <f aca="false">BD232+BT232</f>
        <v>-142.338914600924</v>
      </c>
      <c r="BV232" s="0" t="n">
        <f aca="false">-BU232*$AC$51</f>
        <v>14905.696281007</v>
      </c>
      <c r="BW232" s="0" t="n">
        <f aca="false">-BU232*$AD$51</f>
        <v>7452.84814050348</v>
      </c>
      <c r="BX232" s="0" t="n">
        <f aca="false">(-BV232+SQRT(BV232^2-4*$C232))/2</f>
        <v>0.000550612515326066</v>
      </c>
      <c r="BY232" s="0" t="n">
        <f aca="false">(-BW232+SQRT(BW232^2-4*$D232))/2</f>
        <v>0.000296163708753738</v>
      </c>
      <c r="BZ232" s="0" t="n">
        <f aca="false">IF(BX232&lt;&gt;0,($C$21-$B232)*$BU232/BX232/$AC$51-$AC$60*$AC$51,0)</f>
        <v>-3376.72792093853</v>
      </c>
      <c r="CA232" s="0" t="n">
        <f aca="false">IF(BY232&lt;&gt;0,($C$27-$B232)*$BU232/BY232/$AD$51-$AC$60*$AD$51,0)</f>
        <v>-3376.72791418303</v>
      </c>
      <c r="CB232" s="0" t="n">
        <f aca="false">BU232*1.001</f>
        <v>-142.481253515525</v>
      </c>
      <c r="CC232" s="0" t="n">
        <f aca="false">-CB232*$AC$51</f>
        <v>14920.601977288</v>
      </c>
      <c r="CD232" s="0" t="n">
        <f aca="false">-CB232*$AD$51</f>
        <v>7460.30098864398</v>
      </c>
      <c r="CE232" s="0" t="n">
        <f aca="false">(-CC232+SQRT(CC232^2-4*$C232))/2</f>
        <v>0.000550062452930433</v>
      </c>
      <c r="CF232" s="0" t="n">
        <f aca="false">(-CD232+SQRT(CD232^2-4*$D232))/2</f>
        <v>0.000295867841032305</v>
      </c>
      <c r="CG232" s="0" t="n">
        <f aca="false">IF(CE232&lt;&gt;0,($C$21-$B232)*$CB232/CE232/$AC$51-$AC$60*$AC$51,0)</f>
        <v>-3383.4847531072</v>
      </c>
      <c r="CH232" s="0" t="n">
        <f aca="false">IF(CF232&lt;&gt;0,($C$27-$B232)*$CB232/CF232/$AD$51-$AC$60*$AD$51,0)</f>
        <v>-3383.48474534846</v>
      </c>
      <c r="CI232" s="0" t="n">
        <f aca="false">(CG232-BZ232)/($CB232-$BU232)</f>
        <v>47.4700273471917</v>
      </c>
      <c r="CJ232" s="0" t="n">
        <f aca="false">(CH232-CA232)/($CB232-$BU232)</f>
        <v>47.4700202988927</v>
      </c>
      <c r="CK232" s="0" t="n">
        <f aca="false">IF(CI232&lt;&gt;CJ232,(CA232-BZ232)/(CI232-CJ232),0)</f>
        <v>0.95845693375929</v>
      </c>
      <c r="CL232" s="6" t="str">
        <f aca="false">IF(AND(BU232&gt;0,CE232&gt;0,CE232&lt;$C$15,CF232&lt;$C$15,CG232&gt;0,ABS(CK232)&lt;0.1*BU232),B232,"")</f>
        <v/>
      </c>
      <c r="CM232" s="0" t="n">
        <f aca="false">CG232+BU232^2/$C$39</f>
        <v>-6.75698481233212</v>
      </c>
      <c r="CN232" s="0" t="n">
        <f aca="false">-BU232*$C$15/$C$39</f>
        <v>142.338914600924</v>
      </c>
      <c r="CO232" s="0" t="n">
        <f aca="false">IF(CL232&lt;&gt;"",(-CM232+SQRT(CM232^2-4*$AC$60*CN232))/2/$AC$60,0)</f>
        <v>0</v>
      </c>
      <c r="CP232" s="0" t="n">
        <f aca="false">CO232*30/PI()</f>
        <v>0</v>
      </c>
      <c r="DB232" s="6"/>
    </row>
    <row r="233" customFormat="false" ht="12.75" hidden="false" customHeight="false" outlineLevel="0" collapsed="false">
      <c r="A233" s="0" t="n">
        <f aca="false">A232+0.01</f>
        <v>0.84</v>
      </c>
      <c r="B233" s="0" t="n">
        <f aca="false">A233*$AC$68</f>
        <v>1.65178692448264</v>
      </c>
      <c r="C233" s="0" t="n">
        <f aca="false">$C$39*($B233-$C$21)</f>
        <v>-8.08927845310419</v>
      </c>
      <c r="D233" s="0" t="n">
        <f aca="false">$C$39*($B233-$C$27)</f>
        <v>-2.08927845310419</v>
      </c>
      <c r="E233" s="0" t="n">
        <f aca="false">$AC$71</f>
        <v>0.0474257507541105</v>
      </c>
      <c r="F233" s="0" t="n">
        <f aca="false">-E233*$AC$51</f>
        <v>-4.96641300533647</v>
      </c>
      <c r="G233" s="0" t="n">
        <f aca="false">-E233*$AD$51</f>
        <v>-2.48320650266823</v>
      </c>
      <c r="H233" s="0" t="n">
        <f aca="false">(-F233+SQRT(F233^2-4*$C233))/2</f>
        <v>6.25886445698534</v>
      </c>
      <c r="I233" s="0" t="n">
        <f aca="false">(-G233+SQRT(G233^2-4*$D233))/2</f>
        <v>3.14708405334385</v>
      </c>
      <c r="J233" s="0" t="n">
        <f aca="false">IF(H233&lt;&gt;0,($C$21-$B233)*$E233/H233/$AC$51-$AC$60*$AC$51,0)</f>
        <v>7.30526537698146E-005</v>
      </c>
      <c r="K233" s="0" t="n">
        <f aca="false">IF(I233&lt;&gt;0,($C$27-$B233)*$E233/I233/$AD$51-$AC$60*$AD$51,0)</f>
        <v>8.7968454906191E-005</v>
      </c>
      <c r="L233" s="0" t="n">
        <f aca="false">E233*1.001</f>
        <v>0.0474731765048646</v>
      </c>
      <c r="M233" s="0" t="n">
        <f aca="false">-L233*$AC$51</f>
        <v>-4.97137941834181</v>
      </c>
      <c r="N233" s="0" t="n">
        <f aca="false">-L233*$AD$51</f>
        <v>-2.4856897091709</v>
      </c>
      <c r="O233" s="0" t="n">
        <f aca="false">(-M233+SQRT(M233^2-4*$C233))/2</f>
        <v>6.26298130281076</v>
      </c>
      <c r="P233" s="0" t="n">
        <f aca="false">(-N233+SQRT(N233^2-4*$D233))/2</f>
        <v>3.14913491270193</v>
      </c>
      <c r="Q233" s="0" t="n">
        <f aca="false">IF(O233&lt;&gt;0,($C$21-$B233)*$L233/O233/$AC$51-$AC$60*$AC$51,0)</f>
        <v>7.30860187378969E-005</v>
      </c>
      <c r="R233" s="0" t="n">
        <f aca="false">IF(P233&lt;&gt;0,($C$27-$B233)*$L233/P233/$AD$51-$AC$60*$AD$51,0)</f>
        <v>8.80033416663531E-005</v>
      </c>
      <c r="S233" s="0" t="n">
        <f aca="false">(Q233-J233)/($L233-$E233)</f>
        <v>0.000703520082481489</v>
      </c>
      <c r="T233" s="0" t="n">
        <f aca="false">(R233-K233)/($L233-$E233)</f>
        <v>0.000735607968400087</v>
      </c>
      <c r="U233" s="0" t="n">
        <f aca="false">IF(S233&lt;&gt;T233,(K233-J233)/(S233-T233),0)</f>
        <v>-0.464842126845486</v>
      </c>
      <c r="V233" s="0" t="n">
        <f aca="false">E233+U233</f>
        <v>-0.417416376091376</v>
      </c>
      <c r="W233" s="0" t="n">
        <f aca="false">-V233*$AC$51</f>
        <v>43.7117406872247</v>
      </c>
      <c r="X233" s="0" t="n">
        <f aca="false">-V233*$AD$51</f>
        <v>21.8558703436123</v>
      </c>
      <c r="Y233" s="0" t="n">
        <f aca="false">(-W233+SQRT(W233^2-4*$C233))/2</f>
        <v>0.184282716879267</v>
      </c>
      <c r="Z233" s="0" t="n">
        <f aca="false">(-X233+SQRT(X233^2-4*$D233))/2</f>
        <v>0.0951789785735908</v>
      </c>
      <c r="AA233" s="0" t="n">
        <f aca="false">IF(Y233&lt;&gt;0,($C$21-$B233)*$V233/Y233/$AC$51-$AC$60*$AC$51,0)</f>
        <v>-0.0291863334629567</v>
      </c>
      <c r="AB233" s="0" t="n">
        <f aca="false">IF(Z233&lt;&gt;0,($C$27-$B233)*$V233/Z233/$AD$51-$AC$60*$AD$51,0)</f>
        <v>-0.0291781184141653</v>
      </c>
      <c r="AC233" s="0" t="n">
        <f aca="false">V233*1.001</f>
        <v>-0.417833792467467</v>
      </c>
      <c r="AD233" s="0" t="n">
        <f aca="false">-AC233*$AC$51</f>
        <v>43.7554524279119</v>
      </c>
      <c r="AE233" s="0" t="n">
        <f aca="false">-AC233*$AD$51</f>
        <v>21.8777262139559</v>
      </c>
      <c r="AF233" s="0" t="n">
        <f aca="false">(-AD233+SQRT(AD233^2-4*$C233))/2</f>
        <v>0.184100155271047</v>
      </c>
      <c r="AG233" s="0" t="n">
        <f aca="false">(-AE233+SQRT(AE233^2-4*$D233))/2</f>
        <v>0.0950847144641784</v>
      </c>
      <c r="AH233" s="0" t="n">
        <f aca="false">IF(AF233&lt;&gt;0,($C$21-$B233)*$AC233/AF233/$AC$51-$AC$60*$AC$51,0)</f>
        <v>-0.0292444423348209</v>
      </c>
      <c r="AI233" s="0" t="n">
        <f aca="false">IF(AG233&lt;&gt;0,($C$27-$B233)*$AC233/AG233/$AD$51-$AC$60*$AD$51,0)</f>
        <v>-0.0292362273542326</v>
      </c>
      <c r="AJ233" s="0" t="n">
        <f aca="false">(AH233-AA233)/($AC233-$V233)</f>
        <v>0.139210810098883</v>
      </c>
      <c r="AK233" s="0" t="n">
        <f aca="false">(AI233-AB233)/($AC233-$V233)</f>
        <v>0.139210973492219</v>
      </c>
      <c r="AL233" s="0" t="n">
        <f aca="false">IF(AJ233&lt;&gt;AK233,(AB233-AA233)/(AJ233-AK233),0)</f>
        <v>-50.2777468075957</v>
      </c>
      <c r="AM233" s="0" t="n">
        <f aca="false">V233+AL233</f>
        <v>-50.6951631836871</v>
      </c>
      <c r="AN233" s="0" t="n">
        <f aca="false">-AM233*$AC$51</f>
        <v>5308.7850743469</v>
      </c>
      <c r="AO233" s="0" t="n">
        <f aca="false">-AM233*$AD$51</f>
        <v>2654.39253717345</v>
      </c>
      <c r="AP233" s="0" t="n">
        <f aca="false">(-AN233+SQRT(AN233^2-4*$C233))/2</f>
        <v>0.00152375280185879</v>
      </c>
      <c r="AQ233" s="0" t="n">
        <f aca="false">(-AO233+SQRT(AO233^2-4*$D233))/2</f>
        <v>0.000787102059803146</v>
      </c>
      <c r="AR233" s="0" t="n">
        <f aca="false">IF(AP233&lt;&gt;0,($C$21-$B233)*$AM233/AP233/$AC$51-$AC$60*$AC$51,0)</f>
        <v>-428.333409136149</v>
      </c>
      <c r="AS233" s="0" t="n">
        <f aca="false">IF(AQ233&lt;&gt;0,($C$27-$B233)*$AM233/AQ233/$AD$51-$AC$60*$AD$51,0)</f>
        <v>-428.333400975411</v>
      </c>
      <c r="AT233" s="0" t="n">
        <f aca="false">AM233*1.001</f>
        <v>-50.7458583468708</v>
      </c>
      <c r="AU233" s="0" t="n">
        <f aca="false">-AT233*$AC$51</f>
        <v>5314.09385942125</v>
      </c>
      <c r="AV233" s="0" t="n">
        <f aca="false">-AT233*$AD$51</f>
        <v>2657.04692971062</v>
      </c>
      <c r="AW233" s="0" t="n">
        <f aca="false">(-AU233+SQRT(AU233^2-4*$C233))/2</f>
        <v>0.00152223057193623</v>
      </c>
      <c r="AX233" s="0" t="n">
        <f aca="false">(-AV233+SQRT(AV233^2-4*$D233))/2</f>
        <v>0.000786315744562671</v>
      </c>
      <c r="AY233" s="0" t="n">
        <f aca="false">IF(AW233&lt;&gt;0,($C$21-$B233)*$AT233/AW233/$AC$51-$AC$60*$AC$51,0)</f>
        <v>-429.190504055893</v>
      </c>
      <c r="AZ233" s="0" t="n">
        <f aca="false">IF(AX233&lt;&gt;0,($C$27-$B233)*$AT233/AX233/$AD$51-$AC$60*$AD$51,0)</f>
        <v>-429.19049581138</v>
      </c>
      <c r="BA233" s="0" t="n">
        <f aca="false">(AY233-AR233)/($AT233-$AM233)</f>
        <v>16.9068381659715</v>
      </c>
      <c r="BB233" s="0" t="n">
        <f aca="false">(AZ233-AS233)/($AT233-$AM233)</f>
        <v>16.9068365134441</v>
      </c>
      <c r="BC233" s="0" t="n">
        <f aca="false">IF(BA233&lt;&gt;BB233,(AS233-AR233)/(BA233-BB233),0)</f>
        <v>4.9383372403147</v>
      </c>
      <c r="BD233" s="0" t="n">
        <f aca="false">AM233+BC233</f>
        <v>-45.7568259433724</v>
      </c>
      <c r="BE233" s="0" t="n">
        <f aca="false">-BD233*$AC$51</f>
        <v>4791.64360784285</v>
      </c>
      <c r="BF233" s="0" t="n">
        <f aca="false">-BD233*$AD$51</f>
        <v>2395.82180392142</v>
      </c>
      <c r="BG233" s="0" t="n">
        <f aca="false">(-BE233+SQRT(BE233^2-4*$C233))/2</f>
        <v>0.00168820477165355</v>
      </c>
      <c r="BH233" s="0" t="n">
        <f aca="false">(-BF233+SQRT(BF233^2-4*$D233))/2</f>
        <v>0.000872050537736868</v>
      </c>
      <c r="BI233" s="0" t="n">
        <f aca="false">IF(BG233&lt;&gt;0,($C$21-$B233)*$BD233/BG233/$AC$51-$AC$60*$AC$51,0)</f>
        <v>-348.948000856975</v>
      </c>
      <c r="BJ233" s="0" t="n">
        <f aca="false">IF(BH233&lt;&gt;0,($C$27-$B233)*$BD233/BH233/$AD$51-$AC$60*$AD$51,0)</f>
        <v>-348.947992699446</v>
      </c>
      <c r="BK233" s="0" t="n">
        <f aca="false">BD233*1.001</f>
        <v>-45.8025827693157</v>
      </c>
      <c r="BL233" s="0" t="n">
        <f aca="false">-BK233*$AC$51</f>
        <v>4796.43525145069</v>
      </c>
      <c r="BM233" s="0" t="n">
        <f aca="false">-BK233*$AD$51</f>
        <v>2398.21762572535</v>
      </c>
      <c r="BN233" s="0" t="n">
        <f aca="false">(-BL233+SQRT(BL233^2-4*$C233))/2</f>
        <v>0.00168651825470079</v>
      </c>
      <c r="BO233" s="0" t="n">
        <f aca="false">(-BM233+SQRT(BM233^2-4*$D233))/2</f>
        <v>0.000871179359137386</v>
      </c>
      <c r="BP233" s="0" t="n">
        <f aca="false">IF(BN233&lt;&gt;0,($C$21-$B233)*$BK233/BN233/$AC$51-$AC$60*$AC$51,0)</f>
        <v>-349.646245488014</v>
      </c>
      <c r="BQ233" s="0" t="n">
        <f aca="false">IF(BO233&lt;&gt;0,($C$27-$B233)*$BK233/BO233/$AD$51-$AC$60*$AD$51,0)</f>
        <v>-349.646237303741</v>
      </c>
      <c r="BR233" s="0" t="n">
        <f aca="false">(BP233-BI233)/($BK233-$BD233)</f>
        <v>15.2599009359487</v>
      </c>
      <c r="BS233" s="0" t="n">
        <f aca="false">(BQ233-BJ233)/($BK233-$BD233)</f>
        <v>15.2599003514706</v>
      </c>
      <c r="BT233" s="0" t="n">
        <f aca="false">IF(BR233&lt;&gt;BS233,(BJ233-BI233)/(BR233-BS233),0)</f>
        <v>13.9569469239996</v>
      </c>
      <c r="BU233" s="0" t="n">
        <f aca="false">BD233+BT233</f>
        <v>-31.7998790193728</v>
      </c>
      <c r="BV233" s="0" t="n">
        <f aca="false">-BU233*$AC$51</f>
        <v>3330.07554374352</v>
      </c>
      <c r="BW233" s="0" t="n">
        <f aca="false">-BU233*$AD$51</f>
        <v>1665.03777187176</v>
      </c>
      <c r="BX233" s="0" t="n">
        <f aca="false">(-BV233+SQRT(BV233^2-4*$C233))/2</f>
        <v>0.00242915586932213</v>
      </c>
      <c r="BY233" s="0" t="n">
        <f aca="false">(-BW233+SQRT(BW233^2-4*$D233))/2</f>
        <v>0.00125479248208649</v>
      </c>
      <c r="BZ233" s="0" t="n">
        <f aca="false">IF(BX233&lt;&gt;0,($C$21-$B233)*$BU233/BX233/$AC$51-$AC$60*$AC$51,0)</f>
        <v>-168.538865050776</v>
      </c>
      <c r="CA233" s="0" t="n">
        <f aca="false">IF(BY233&lt;&gt;0,($C$27-$B233)*$BU233/BY233/$AD$51-$AC$60*$AD$51,0)</f>
        <v>-168.538856876928</v>
      </c>
      <c r="CB233" s="0" t="n">
        <f aca="false">BU233*1.001</f>
        <v>-31.8316788983921</v>
      </c>
      <c r="CC233" s="0" t="n">
        <f aca="false">-CB233*$AC$51</f>
        <v>3333.40561928727</v>
      </c>
      <c r="CD233" s="0" t="n">
        <f aca="false">-CB233*$AD$51</f>
        <v>1666.70280964363</v>
      </c>
      <c r="CE233" s="0" t="n">
        <f aca="false">(-CC233+SQRT(CC233^2-4*$C233))/2</f>
        <v>0.00242672914373543</v>
      </c>
      <c r="CF233" s="0" t="n">
        <f aca="false">(-CD233+SQRT(CD233^2-4*$D233))/2</f>
        <v>0.00125353894509317</v>
      </c>
      <c r="CG233" s="0" t="n">
        <f aca="false">IF(CE233&lt;&gt;0,($C$21-$B233)*$CB233/CE233/$AC$51-$AC$60*$AC$51,0)</f>
        <v>-168.876111023427</v>
      </c>
      <c r="CH233" s="0" t="n">
        <f aca="false">IF(CF233&lt;&gt;0,($C$27-$B233)*$CB233/CF233/$AD$51-$AC$60*$AD$51,0)</f>
        <v>-168.876102842345</v>
      </c>
      <c r="CI233" s="0" t="n">
        <f aca="false">(CG233-BZ233)/($CB233-$BU233)</f>
        <v>10.6052596126438</v>
      </c>
      <c r="CJ233" s="0" t="n">
        <f aca="false">(CH233-CA233)/($CB233-$BU233)</f>
        <v>10.6052593851504</v>
      </c>
      <c r="CK233" s="0" t="n">
        <f aca="false">IF(CI233&lt;&gt;CJ233,(CA233-BZ233)/(CI233-CJ233),0)</f>
        <v>35.9300416532213</v>
      </c>
      <c r="CL233" s="6" t="str">
        <f aca="false">IF(AND(BU233&gt;0,CE233&gt;0,CE233&lt;$C$15,CF233&lt;$C$15,CG233&gt;0,ABS(CK233)&lt;0.1*BU233),B233,"")</f>
        <v/>
      </c>
      <c r="CM233" s="0" t="n">
        <f aca="false">CG233+BU233^2/$C$39</f>
        <v>-0.337393415636456</v>
      </c>
      <c r="CN233" s="0" t="n">
        <f aca="false">-BU233*$C$15/$C$39</f>
        <v>31.7998790193728</v>
      </c>
      <c r="CO233" s="0" t="n">
        <f aca="false">IF(CL233&lt;&gt;"",(-CM233+SQRT(CM233^2-4*$AC$60*CN233))/2/$AC$60,0)</f>
        <v>0</v>
      </c>
      <c r="CP233" s="0" t="n">
        <f aca="false">CO233*30/PI()</f>
        <v>0</v>
      </c>
      <c r="DB233" s="6"/>
    </row>
    <row r="234" customFormat="false" ht="12.75" hidden="false" customHeight="false" outlineLevel="0" collapsed="false">
      <c r="A234" s="0" t="n">
        <f aca="false">A233+0.01</f>
        <v>0.850000000000001</v>
      </c>
      <c r="B234" s="0" t="n">
        <f aca="false">A234*$AC$68</f>
        <v>1.671451054536</v>
      </c>
      <c r="C234" s="0" t="n">
        <f aca="false">$C$39*($B234-$C$21)</f>
        <v>-7.971293672784</v>
      </c>
      <c r="D234" s="0" t="n">
        <f aca="false">$C$39*($B234-$C$27)</f>
        <v>-1.971293672784</v>
      </c>
      <c r="E234" s="0" t="n">
        <f aca="false">$AC$71</f>
        <v>0.0474257507541105</v>
      </c>
      <c r="F234" s="0" t="n">
        <f aca="false">-E234*$AC$51</f>
        <v>-4.96641300533647</v>
      </c>
      <c r="G234" s="0" t="n">
        <f aca="false">-E234*$AD$51</f>
        <v>-2.48320650266823</v>
      </c>
      <c r="H234" s="0" t="n">
        <f aca="false">(-F234+SQRT(F234^2-4*$C234))/2</f>
        <v>6.24320759411459</v>
      </c>
      <c r="I234" s="0" t="n">
        <f aca="false">(-G234+SQRT(G234^2-4*$D234))/2</f>
        <v>3.11586905599136</v>
      </c>
      <c r="J234" s="0" t="n">
        <f aca="false">IF(H234&lt;&gt;0,($C$21-$B234)*$E234/H234/$AC$51-$AC$60*$AC$51,0)</f>
        <v>7.18708670807436E-005</v>
      </c>
      <c r="K234" s="0" t="n">
        <f aca="false">IF(I234&lt;&gt;0,($C$27-$B234)*$E234/I234/$AD$51-$AC$60*$AD$51,0)</f>
        <v>8.32562122717496E-005</v>
      </c>
      <c r="L234" s="0" t="n">
        <f aca="false">E234*1.001</f>
        <v>0.0474731765048646</v>
      </c>
      <c r="M234" s="0" t="n">
        <f aca="false">-L234*$AC$51</f>
        <v>-4.97137941834181</v>
      </c>
      <c r="N234" s="0" t="n">
        <f aca="false">-L234*$AD$51</f>
        <v>-2.4856897091709</v>
      </c>
      <c r="O234" s="0" t="n">
        <f aca="false">(-M234+SQRT(M234^2-4*$C234))/2</f>
        <v>6.24733123954858</v>
      </c>
      <c r="P234" s="0" t="n">
        <f aca="false">(-N234+SQRT(N234^2-4*$D234))/2</f>
        <v>3.11793338725625</v>
      </c>
      <c r="Q234" s="0" t="n">
        <f aca="false">IF(O234&lt;&gt;0,($C$21-$B234)*$L234/O234/$AC$51-$AC$60*$AC$51,0)</f>
        <v>7.19035640127296E-005</v>
      </c>
      <c r="R234" s="0" t="n">
        <f aca="false">IF(P234&lt;&gt;0,($C$27-$B234)*$L234/P234/$AD$51-$AC$60*$AD$51,0)</f>
        <v>8.3288422553555E-005</v>
      </c>
      <c r="S234" s="0" t="n">
        <f aca="false">(Q234-J234)/($L234-$E234)</f>
        <v>0.000689434146346796</v>
      </c>
      <c r="T234" s="0" t="n">
        <f aca="false">(R234-K234)/($L234-$E234)</f>
        <v>0.000679172839505424</v>
      </c>
      <c r="U234" s="0" t="n">
        <f aca="false">IF(S234&lt;&gt;T234,(K234-J234)/(S234-T234),0)</f>
        <v>1.10954144213896</v>
      </c>
      <c r="V234" s="0" t="n">
        <f aca="false">E234+U234</f>
        <v>1.15696719289307</v>
      </c>
      <c r="W234" s="0" t="n">
        <f aca="false">-V234*$AC$51</f>
        <v>-121.157321121242</v>
      </c>
      <c r="X234" s="0" t="n">
        <f aca="false">-V234*$AD$51</f>
        <v>-60.5786605606211</v>
      </c>
      <c r="Y234" s="0" t="n">
        <f aca="false">(-W234+SQRT(W234^2-4*$C234))/2</f>
        <v>121.223078349827</v>
      </c>
      <c r="Z234" s="0" t="n">
        <f aca="false">(-X234+SQRT(X234^2-4*$D234))/2</f>
        <v>60.6111841567233</v>
      </c>
      <c r="AA234" s="0" t="n">
        <f aca="false">IF(Y234&lt;&gt;0,($C$21-$B234)*$V234/Y234/$AC$51-$AC$60*$AC$51,0)</f>
        <v>9.6581286203153E-005</v>
      </c>
      <c r="AB234" s="0" t="n">
        <f aca="false">IF(Z234&lt;&gt;0,($C$27-$B234)*$V234/Z234/$AD$51-$AC$60*$AD$51,0)</f>
        <v>0.000107524912769808</v>
      </c>
      <c r="AC234" s="0" t="n">
        <f aca="false">V234*1.001</f>
        <v>1.15812416008596</v>
      </c>
      <c r="AD234" s="0" t="n">
        <f aca="false">-AC234*$AC$51</f>
        <v>-121.278478442364</v>
      </c>
      <c r="AE234" s="0" t="n">
        <f aca="false">-AC234*$AD$51</f>
        <v>-60.6392392211818</v>
      </c>
      <c r="AF234" s="0" t="n">
        <f aca="false">(-AD234+SQRT(AD234^2-4*$C234))/2</f>
        <v>121.344170050534</v>
      </c>
      <c r="AG234" s="0" t="n">
        <f aca="false">(-AE234+SQRT(AE234^2-4*$D234))/2</f>
        <v>60.6717303609771</v>
      </c>
      <c r="AH234" s="0" t="n">
        <f aca="false">IF(AF234&lt;&gt;0,($C$21-$B234)*$AC234/AF234/$AC$51-$AC$60*$AC$51,0)</f>
        <v>9.65814172984842E-005</v>
      </c>
      <c r="AI234" s="0" t="n">
        <f aca="false">IF(AG234&lt;&gt;0,($C$27-$B234)*$AC234/AG234/$AD$51-$AC$60*$AD$51,0)</f>
        <v>0.000107525041050828</v>
      </c>
      <c r="AJ234" s="0" t="n">
        <f aca="false">(AH234-AA234)/($AC234-$V234)</f>
        <v>1.13309462899216E-007</v>
      </c>
      <c r="AK234" s="0" t="n">
        <f aca="false">(AI234-AB234)/($AC234-$V234)</f>
        <v>1.10876973548365E-007</v>
      </c>
      <c r="AL234" s="0" t="n">
        <f aca="false">IF(AJ234&lt;&gt;AK234,(AB234-AA234)/(AJ234-AK234),0)</f>
        <v>4498.94120310274</v>
      </c>
      <c r="AM234" s="0" t="n">
        <f aca="false">V234+AL234</f>
        <v>4500.09817029563</v>
      </c>
      <c r="AN234" s="0" t="n">
        <f aca="false">-AM234*$AC$51</f>
        <v>-471249.178407788</v>
      </c>
      <c r="AO234" s="0" t="n">
        <f aca="false">-AM234*$AD$51</f>
        <v>-235624.589203894</v>
      </c>
      <c r="AP234" s="0" t="n">
        <f aca="false">(-AN234+SQRT(AN234^2-4*$C234))/2</f>
        <v>471249.178424703</v>
      </c>
      <c r="AQ234" s="0" t="n">
        <f aca="false">(-AO234+SQRT(AO234^2-4*$D234))/2</f>
        <v>235624.58921226</v>
      </c>
      <c r="AR234" s="0" t="n">
        <f aca="false">IF(AP234&lt;&gt;0,($C$21-$B234)*$AM234/AP234/$AC$51-$AC$60*$AC$51,0)</f>
        <v>9.66470033177802E-005</v>
      </c>
      <c r="AS234" s="0" t="n">
        <f aca="false">IF(AQ234&lt;&gt;0,($C$27-$B234)*$AM234/AQ234/$AD$51-$AC$60*$AD$51,0)</f>
        <v>0.000107589218340148</v>
      </c>
      <c r="AT234" s="0" t="n">
        <f aca="false">AM234*1.001</f>
        <v>4504.59826846593</v>
      </c>
      <c r="AU234" s="0" t="n">
        <f aca="false">-AT234*$AC$51</f>
        <v>-471720.427586195</v>
      </c>
      <c r="AV234" s="0" t="n">
        <f aca="false">-AT234*$AD$51</f>
        <v>-235860.213793098</v>
      </c>
      <c r="AW234" s="0" t="n">
        <f aca="false">(-AU234+SQRT(AU234^2-4*$C234))/2</f>
        <v>471720.427603094</v>
      </c>
      <c r="AX234" s="0" t="n">
        <f aca="false">(-AV234+SQRT(AV234^2-4*$D234))/2</f>
        <v>235860.213801456</v>
      </c>
      <c r="AY234" s="0" t="n">
        <f aca="false">IF(AW234&lt;&gt;0,($C$21-$B234)*$AT234/AW234/$AC$51-$AC$60*$AC$51,0)</f>
        <v>9.66470033177889E-005</v>
      </c>
      <c r="AZ234" s="0" t="n">
        <f aca="false">IF(AX234&lt;&gt;0,($C$27-$B234)*$AT234/AX234/$AD$51-$AC$60*$AD$51,0)</f>
        <v>0.000107589218340157</v>
      </c>
      <c r="BA234" s="0" t="n">
        <f aca="false">(AY234-AR234)/($AT234-$AM234)</f>
        <v>1.93044008781488E-018</v>
      </c>
      <c r="BB234" s="0" t="n">
        <f aca="false">(AZ234-AS234)/($AT234-$AM234)</f>
        <v>1.88526598279581E-018</v>
      </c>
      <c r="BC234" s="0" t="n">
        <f aca="false">IF(BA234&lt;&gt;BB234,(AS234-AR234)/(BA234-BB234),0)</f>
        <v>242223172274234</v>
      </c>
      <c r="BD234" s="0" t="n">
        <f aca="false">AM234+BC234</f>
        <v>242223172278734</v>
      </c>
      <c r="BE234" s="0" t="n">
        <f aca="false">-BD234*$AC$51</f>
        <v>-25365551285336200</v>
      </c>
      <c r="BF234" s="0" t="n">
        <f aca="false">-BD234*$AD$51</f>
        <v>-12682775642668100</v>
      </c>
      <c r="BG234" s="0" t="n">
        <f aca="false">(-BE234+SQRT(BE234^2-4*$C234))/2</f>
        <v>25365551285336200</v>
      </c>
      <c r="BH234" s="0" t="n">
        <f aca="false">(-BF234+SQRT(BF234^2-4*$D234))/2</f>
        <v>12682775642668100</v>
      </c>
      <c r="BI234" s="0" t="n">
        <f aca="false">IF(BG234&lt;&gt;0,($C$21-$B234)*$BD234/BG234/$AC$51-$AC$60*$AC$51,0)</f>
        <v>9.66470033221288E-005</v>
      </c>
      <c r="BJ234" s="0" t="n">
        <f aca="false">IF(BH234&lt;&gt;0,($C$27-$B234)*$BD234/BH234/$AD$51-$AC$60*$AD$51,0)</f>
        <v>0.000107589218344404</v>
      </c>
      <c r="BK234" s="0" t="n">
        <f aca="false">BD234*1.001</f>
        <v>242465395451013</v>
      </c>
      <c r="BL234" s="0" t="n">
        <f aca="false">-BK234*$AC$51</f>
        <v>-25390916836621600</v>
      </c>
      <c r="BM234" s="0" t="n">
        <f aca="false">-BK234*$AD$51</f>
        <v>-12695458418310800</v>
      </c>
      <c r="BN234" s="0" t="n">
        <f aca="false">(-BL234+SQRT(BL234^2-4*$C234))/2</f>
        <v>25390916836621600</v>
      </c>
      <c r="BO234" s="0" t="n">
        <f aca="false">(-BM234+SQRT(BM234^2-4*$D234))/2</f>
        <v>12695458418310800</v>
      </c>
      <c r="BP234" s="0" t="n">
        <f aca="false">IF(BN234&lt;&gt;0,($C$21-$B234)*$BK234/BN234/$AC$51-$AC$60*$AC$51,0)</f>
        <v>9.66470033221288E-005</v>
      </c>
      <c r="BQ234" s="0" t="n">
        <f aca="false">IF(BO234&lt;&gt;0,($C$27-$B234)*$BK234/BO234/$AD$51-$AC$60*$AD$51,0)</f>
        <v>0.000107589218344404</v>
      </c>
      <c r="BR234" s="0" t="n">
        <f aca="false">(BP234-BI234)/($BK234-$BD234)</f>
        <v>0</v>
      </c>
      <c r="BS234" s="0" t="n">
        <f aca="false">(BQ234-BJ234)/($BK234-$BD234)</f>
        <v>0</v>
      </c>
      <c r="BT234" s="0" t="n">
        <f aca="false">IF(BR234&lt;&gt;BS234,(BJ234-BI234)/(BR234-BS234),0)</f>
        <v>0</v>
      </c>
      <c r="BU234" s="0" t="n">
        <f aca="false">BD234+BT234</f>
        <v>242223172278734</v>
      </c>
      <c r="BV234" s="0" t="n">
        <f aca="false">-BU234*$AC$51</f>
        <v>-25365551285336200</v>
      </c>
      <c r="BW234" s="0" t="n">
        <f aca="false">-BU234*$AD$51</f>
        <v>-12682775642668100</v>
      </c>
      <c r="BX234" s="0" t="n">
        <f aca="false">(-BV234+SQRT(BV234^2-4*$C234))/2</f>
        <v>25365551285336200</v>
      </c>
      <c r="BY234" s="0" t="n">
        <f aca="false">(-BW234+SQRT(BW234^2-4*$D234))/2</f>
        <v>12682775642668100</v>
      </c>
      <c r="BZ234" s="0" t="n">
        <f aca="false">IF(BX234&lt;&gt;0,($C$21-$B234)*$BU234/BX234/$AC$51-$AC$60*$AC$51,0)</f>
        <v>9.66470033221288E-005</v>
      </c>
      <c r="CA234" s="0" t="n">
        <f aca="false">IF(BY234&lt;&gt;0,($C$27-$B234)*$BU234/BY234/$AD$51-$AC$60*$AD$51,0)</f>
        <v>0.000107589218344404</v>
      </c>
      <c r="CB234" s="0" t="n">
        <f aca="false">BU234*1.001</f>
        <v>242465395451013</v>
      </c>
      <c r="CC234" s="0" t="n">
        <f aca="false">-CB234*$AC$51</f>
        <v>-25390916836621600</v>
      </c>
      <c r="CD234" s="0" t="n">
        <f aca="false">-CB234*$AD$51</f>
        <v>-12695458418310800</v>
      </c>
      <c r="CE234" s="0" t="n">
        <f aca="false">(-CC234+SQRT(CC234^2-4*$C234))/2</f>
        <v>25390916836621600</v>
      </c>
      <c r="CF234" s="0" t="n">
        <f aca="false">(-CD234+SQRT(CD234^2-4*$D234))/2</f>
        <v>12695458418310800</v>
      </c>
      <c r="CG234" s="0" t="n">
        <f aca="false">IF(CE234&lt;&gt;0,($C$21-$B234)*$CB234/CE234/$AC$51-$AC$60*$AC$51,0)</f>
        <v>9.66470033221288E-005</v>
      </c>
      <c r="CH234" s="0" t="n">
        <f aca="false">IF(CF234&lt;&gt;0,($C$27-$B234)*$CB234/CF234/$AD$51-$AC$60*$AD$51,0)</f>
        <v>0.000107589218344404</v>
      </c>
      <c r="CI234" s="0" t="n">
        <f aca="false">(CG234-BZ234)/($CB234-$BU234)</f>
        <v>0</v>
      </c>
      <c r="CJ234" s="0" t="n">
        <f aca="false">(CH234-CA234)/($CB234-$BU234)</f>
        <v>0</v>
      </c>
      <c r="CK234" s="0" t="n">
        <f aca="false">IF(CI234&lt;&gt;CJ234,(CA234-BZ234)/(CI234-CJ234),0)</f>
        <v>0</v>
      </c>
      <c r="CL234" s="6" t="str">
        <f aca="false">IF(AND(BU234&gt;0,CE234&gt;0,CE234&lt;$C$15,CF234&lt;$C$15,CG234&gt;0,ABS(CK234)&lt;0.1*BU234),B234,"")</f>
        <v/>
      </c>
      <c r="CM234" s="0" t="n">
        <f aca="false">CG234+BU234^2/$C$39</f>
        <v>9.77867753146223E+027</v>
      </c>
      <c r="CN234" s="0" t="n">
        <f aca="false">-BU234*$C$15/$C$39</f>
        <v>-242223172278734</v>
      </c>
      <c r="CO234" s="0" t="n">
        <f aca="false">IF(CL234&lt;&gt;"",(-CM234+SQRT(CM234^2-4*$AC$60*CN234))/2/$AC$60,0)</f>
        <v>0</v>
      </c>
      <c r="CP234" s="0" t="n">
        <f aca="false">CO234*30/PI()</f>
        <v>0</v>
      </c>
      <c r="DB234" s="6"/>
    </row>
    <row r="235" customFormat="false" ht="12.75" hidden="false" customHeight="false" outlineLevel="0" collapsed="false">
      <c r="A235" s="0" t="n">
        <f aca="false">A234+0.01</f>
        <v>0.860000000000001</v>
      </c>
      <c r="B235" s="0" t="n">
        <f aca="false">A235*$AC$68</f>
        <v>1.69111518458936</v>
      </c>
      <c r="C235" s="0" t="n">
        <f aca="false">$C$39*($B235-$C$21)</f>
        <v>-7.85330889246381</v>
      </c>
      <c r="D235" s="0" t="n">
        <f aca="false">$C$39*($B235-$C$27)</f>
        <v>-1.85330889246381</v>
      </c>
      <c r="E235" s="0" t="n">
        <f aca="false">$AC$71</f>
        <v>0.0474257507541105</v>
      </c>
      <c r="F235" s="0" t="n">
        <f aca="false">-E235*$AC$51</f>
        <v>-4.96641300533647</v>
      </c>
      <c r="G235" s="0" t="n">
        <f aca="false">-E235*$AD$51</f>
        <v>-2.48320650266823</v>
      </c>
      <c r="H235" s="0" t="n">
        <f aca="false">(-F235+SQRT(F235^2-4*$C235))/2</f>
        <v>6.2274852619699</v>
      </c>
      <c r="I235" s="0" t="n">
        <f aca="false">(-G235+SQRT(G235^2-4*$D235))/2</f>
        <v>3.08412530715523</v>
      </c>
      <c r="J235" s="0" t="n">
        <f aca="false">IF(H235&lt;&gt;0,($C$21-$B235)*$E235/H235/$AC$51-$AC$60*$AC$51,0)</f>
        <v>7.06841387429441E-005</v>
      </c>
      <c r="K235" s="0" t="n">
        <f aca="false">IF(I235&lt;&gt;0,($C$27-$B235)*$E235/I235/$AD$51-$AC$60*$AD$51,0)</f>
        <v>7.84641488621826E-005</v>
      </c>
      <c r="L235" s="0" t="n">
        <f aca="false">E235*1.001</f>
        <v>0.0474731765048646</v>
      </c>
      <c r="M235" s="0" t="n">
        <f aca="false">-L235*$AC$51</f>
        <v>-4.97137941834181</v>
      </c>
      <c r="N235" s="0" t="n">
        <f aca="false">-L235*$AD$51</f>
        <v>-2.4856897091709</v>
      </c>
      <c r="O235" s="0" t="n">
        <f aca="false">(-M235+SQRT(M235^2-4*$C235))/2</f>
        <v>6.23161579263036</v>
      </c>
      <c r="P235" s="0" t="n">
        <f aca="false">(-N235+SQRT(N235^2-4*$D235))/2</f>
        <v>3.08620380634535</v>
      </c>
      <c r="Q235" s="0" t="n">
        <f aca="false">IF(O235&lt;&gt;0,($C$21-$B235)*$L235/O235/$AC$51-$AC$60*$AC$51,0)</f>
        <v>7.07161691661239E-005</v>
      </c>
      <c r="R235" s="0" t="n">
        <f aca="false">IF(P235&lt;&gt;0,($C$27-$B235)*$L235/P235/$AD$51-$AC$60*$AD$51,0)</f>
        <v>7.84937080214609E-005</v>
      </c>
      <c r="S235" s="0" t="n">
        <f aca="false">(Q235-J235)/($L235-$E235)</f>
        <v>0.000675380414025484</v>
      </c>
      <c r="T235" s="0" t="n">
        <f aca="false">(R235-K235)/($L235-$E235)</f>
        <v>0.000623272353273937</v>
      </c>
      <c r="U235" s="0" t="n">
        <f aca="false">IF(S235&lt;&gt;T235,(K235-J235)/(S235-T235),0)</f>
        <v>0.149305309140824</v>
      </c>
      <c r="V235" s="0" t="n">
        <f aca="false">E235+U235</f>
        <v>0.196731059894935</v>
      </c>
      <c r="W235" s="0" t="n">
        <f aca="false">-V235*$AC$51</f>
        <v>-20.6016284166287</v>
      </c>
      <c r="X235" s="0" t="n">
        <f aca="false">-V235*$AD$51</f>
        <v>-10.3008142083143</v>
      </c>
      <c r="Y235" s="0" t="n">
        <f aca="false">(-W235+SQRT(W235^2-4*$C235))/2</f>
        <v>20.976022976609</v>
      </c>
      <c r="Z235" s="0" t="n">
        <f aca="false">(-X235+SQRT(X235^2-4*$D235))/2</f>
        <v>10.4776955542992</v>
      </c>
      <c r="AA235" s="0" t="n">
        <f aca="false">IF(Y235&lt;&gt;0,($C$21-$B235)*$V235/Y235/$AC$51-$AC$60*$AC$51,0)</f>
        <v>9.2723501583277E-005</v>
      </c>
      <c r="AB235" s="0" t="n">
        <f aca="false">IF(Z235&lt;&gt;0,($C$27-$B235)*$V235/Z235/$AD$51-$AC$60*$AD$51,0)</f>
        <v>9.85145816227258E-005</v>
      </c>
      <c r="AC235" s="0" t="n">
        <f aca="false">V235*1.001</f>
        <v>0.19692779095483</v>
      </c>
      <c r="AD235" s="0" t="n">
        <f aca="false">-AC235*$AC$51</f>
        <v>-20.6222300450453</v>
      </c>
      <c r="AE235" s="0" t="n">
        <f aca="false">-AC235*$AD$51</f>
        <v>-10.3111150225227</v>
      </c>
      <c r="AF235" s="0" t="n">
        <f aca="false">(-AD235+SQRT(AD235^2-4*$C235))/2</f>
        <v>20.996263683171</v>
      </c>
      <c r="AG235" s="0" t="n">
        <f aca="false">(-AE235+SQRT(AE235^2-4*$D235))/2</f>
        <v>10.4878255225664</v>
      </c>
      <c r="AH235" s="0" t="n">
        <f aca="false">IF(AF235&lt;&gt;0,($C$21-$B235)*$AC235/AF235/$AC$51-$AC$60*$AC$51,0)</f>
        <v>9.27276069772059E-005</v>
      </c>
      <c r="AI235" s="0" t="n">
        <f aca="false">IF(AG235&lt;&gt;0,($C$27-$B235)*$AC235/AG235/$AD$51-$AC$60*$AD$51,0)</f>
        <v>9.85182540940382E-005</v>
      </c>
      <c r="AJ235" s="0" t="n">
        <f aca="false">(AH235-AA235)/($AC235-$V235)</f>
        <v>2.08680516996259E-005</v>
      </c>
      <c r="AK235" s="0" t="n">
        <f aca="false">(AI235-AB235)/($AC235-$V235)</f>
        <v>1.86674707815931E-005</v>
      </c>
      <c r="AL235" s="0" t="n">
        <f aca="false">IF(AJ235&lt;&gt;AK235,(AB235-AA235)/(AJ235-AK235),0)</f>
        <v>2.63161422149648</v>
      </c>
      <c r="AM235" s="0" t="n">
        <f aca="false">V235+AL235</f>
        <v>2.82834528139142</v>
      </c>
      <c r="AN235" s="0" t="n">
        <f aca="false">-AM235*$AC$51</f>
        <v>-296.183625261154</v>
      </c>
      <c r="AO235" s="0" t="n">
        <f aca="false">-AM235*$AD$51</f>
        <v>-148.091812630577</v>
      </c>
      <c r="AP235" s="0" t="n">
        <f aca="false">(-AN235+SQRT(AN235^2-4*$C235))/2</f>
        <v>296.210137888131</v>
      </c>
      <c r="AQ235" s="0" t="n">
        <f aca="false">(-AO235+SQRT(AO235^2-4*$D235))/2</f>
        <v>148.104326167085</v>
      </c>
      <c r="AR235" s="0" t="n">
        <f aca="false">IF(AP235&lt;&gt;0,($C$21-$B235)*$AM235/AP235/$AC$51-$AC$60*$AC$51,0)</f>
        <v>9.48431665893777E-005</v>
      </c>
      <c r="AS235" s="0" t="n">
        <f aca="false">IF(AQ235&lt;&gt;0,($C$27-$B235)*$AM235/AQ235/$AD$51-$AC$60*$AD$51,0)</f>
        <v>0.000100407084342979</v>
      </c>
      <c r="AT235" s="0" t="n">
        <f aca="false">AM235*1.001</f>
        <v>2.83117362667281</v>
      </c>
      <c r="AU235" s="0" t="n">
        <f aca="false">-AT235*$AC$51</f>
        <v>-296.479808886416</v>
      </c>
      <c r="AV235" s="0" t="n">
        <f aca="false">-AT235*$AD$51</f>
        <v>-148.239904443208</v>
      </c>
      <c r="AW235" s="0" t="n">
        <f aca="false">(-AU235+SQRT(AU235^2-4*$C235))/2</f>
        <v>296.506295031985</v>
      </c>
      <c r="AX235" s="0" t="n">
        <f aca="false">(-AV235+SQRT(AV235^2-4*$D235))/2</f>
        <v>148.252405480789</v>
      </c>
      <c r="AY235" s="0" t="n">
        <f aca="false">IF(AW235&lt;&gt;0,($C$21-$B235)*$AT235/AW235/$AC$51-$AC$60*$AC$51,0)</f>
        <v>9.48431879197474E-005</v>
      </c>
      <c r="AZ235" s="0" t="n">
        <f aca="false">IF(AX235&lt;&gt;0,($C$27-$B235)*$AT235/AX235/$AD$51-$AC$60*$AD$51,0)</f>
        <v>0.000100407103350143</v>
      </c>
      <c r="BA235" s="0" t="n">
        <f aca="false">(AY235-AR235)/($AT235-$AM235)</f>
        <v>7.54164273862635E-009</v>
      </c>
      <c r="BB235" s="0" t="n">
        <f aca="false">(AZ235-AS235)/($AT235-$AM235)</f>
        <v>6.72024181371055E-009</v>
      </c>
      <c r="BC235" s="0" t="n">
        <f aca="false">IF(BA235&lt;&gt;BB235,(AS235-AR235)/(BA235-BB235),0)</f>
        <v>6773.69307098323</v>
      </c>
      <c r="BD235" s="0" t="n">
        <f aca="false">AM235+BC235</f>
        <v>6776.52141626462</v>
      </c>
      <c r="BE235" s="0" t="n">
        <f aca="false">-BD235*$AC$51</f>
        <v>-709635.663274361</v>
      </c>
      <c r="BF235" s="0" t="n">
        <f aca="false">-BD235*$AD$51</f>
        <v>-354817.83163718</v>
      </c>
      <c r="BG235" s="0" t="n">
        <f aca="false">(-BE235+SQRT(BE235^2-4*$C235))/2</f>
        <v>709635.663285428</v>
      </c>
      <c r="BH235" s="0" t="n">
        <f aca="false">(-BF235+SQRT(BF235^2-4*$D235))/2</f>
        <v>354817.831642404</v>
      </c>
      <c r="BI235" s="0" t="n">
        <f aca="false">IF(BG235&lt;&gt;0,($C$21-$B235)*$BD235/BG235/$AC$51-$AC$60*$AC$51,0)</f>
        <v>9.4853849681194E-005</v>
      </c>
      <c r="BJ235" s="0" t="n">
        <f aca="false">IF(BH235&lt;&gt;0,($C$27-$B235)*$BD235/BH235/$AD$51-$AC$60*$AD$51,0)</f>
        <v>0.000100416603786451</v>
      </c>
      <c r="BK235" s="0" t="n">
        <f aca="false">BD235*1.001</f>
        <v>6783.29793768088</v>
      </c>
      <c r="BL235" s="0" t="n">
        <f aca="false">-BK235*$AC$51</f>
        <v>-710345.298937635</v>
      </c>
      <c r="BM235" s="0" t="n">
        <f aca="false">-BK235*$AD$51</f>
        <v>-355172.649468818</v>
      </c>
      <c r="BN235" s="0" t="n">
        <f aca="false">(-BL235+SQRT(BL235^2-4*$C235))/2</f>
        <v>710345.298948691</v>
      </c>
      <c r="BO235" s="0" t="n">
        <f aca="false">(-BM235+SQRT(BM235^2-4*$D235))/2</f>
        <v>355172.649474036</v>
      </c>
      <c r="BP235" s="0" t="n">
        <f aca="false">IF(BN235&lt;&gt;0,($C$21-$B235)*$BK235/BN235/$AC$51-$AC$60*$AC$51,0)</f>
        <v>9.48538496811977E-005</v>
      </c>
      <c r="BQ235" s="0" t="n">
        <f aca="false">IF(BO235&lt;&gt;0,($C$27-$B235)*$BK235/BO235/$AD$51-$AC$60*$AD$51,0)</f>
        <v>0.000100416603786455</v>
      </c>
      <c r="BR235" s="0" t="n">
        <f aca="false">(BP235-BI235)/($BK235-$BD235)</f>
        <v>5.49979073182627E-019</v>
      </c>
      <c r="BS235" s="0" t="n">
        <f aca="false">(BQ235-BJ235)/($BK235-$BD235)</f>
        <v>4.87981432205677E-019</v>
      </c>
      <c r="BT235" s="0" t="n">
        <f aca="false">IF(BR235&lt;&gt;BS235,(BJ235-BI235)/(BR235-BS235),0)</f>
        <v>89725254341943.4</v>
      </c>
      <c r="BU235" s="0" t="n">
        <f aca="false">BD235+BT235</f>
        <v>89725254348719.9</v>
      </c>
      <c r="BV235" s="0" t="n">
        <f aca="false">-BU235*$AC$51</f>
        <v>-9396006663447140</v>
      </c>
      <c r="BW235" s="0" t="n">
        <f aca="false">-BU235*$AD$51</f>
        <v>-4698003331723570</v>
      </c>
      <c r="BX235" s="0" t="n">
        <f aca="false">(-BV235+SQRT(BV235^2-4*$C235))/2</f>
        <v>9396006663447140</v>
      </c>
      <c r="BY235" s="0" t="n">
        <f aca="false">(-BW235+SQRT(BW235^2-4*$D235))/2</f>
        <v>4698003331723570</v>
      </c>
      <c r="BZ235" s="0" t="n">
        <f aca="false">IF(BX235&lt;&gt;0,($C$21-$B235)*$BU235/BX235/$AC$51-$AC$60*$AC$51,0)</f>
        <v>9.48538496830554E-005</v>
      </c>
      <c r="CA235" s="0" t="n">
        <f aca="false">IF(BY235&lt;&gt;0,($C$27-$B235)*$BU235/BY235/$AD$51-$AC$60*$AD$51,0)</f>
        <v>0.00010041660378811</v>
      </c>
      <c r="CB235" s="0" t="n">
        <f aca="false">BU235*1.001</f>
        <v>89814979603068.6</v>
      </c>
      <c r="CC235" s="0" t="n">
        <f aca="false">-CB235*$AC$51</f>
        <v>-9405402670110580</v>
      </c>
      <c r="CD235" s="0" t="n">
        <f aca="false">-CB235*$AD$51</f>
        <v>-4702701335055290</v>
      </c>
      <c r="CE235" s="0" t="n">
        <f aca="false">(-CC235+SQRT(CC235^2-4*$C235))/2</f>
        <v>9405402670110580</v>
      </c>
      <c r="CF235" s="0" t="n">
        <f aca="false">(-CD235+SQRT(CD235^2-4*$D235))/2</f>
        <v>4702701335055290</v>
      </c>
      <c r="CG235" s="0" t="n">
        <f aca="false">IF(CE235&lt;&gt;0,($C$21-$B235)*$CB235/CE235/$AC$51-$AC$60*$AC$51,0)</f>
        <v>9.48538496830554E-005</v>
      </c>
      <c r="CH235" s="0" t="n">
        <f aca="false">IF(CF235&lt;&gt;0,($C$27-$B235)*$CB235/CF235/$AD$51-$AC$60*$AD$51,0)</f>
        <v>0.00010041660378811</v>
      </c>
      <c r="CI235" s="0" t="n">
        <f aca="false">(CG235-BZ235)/($CB235-$BU235)</f>
        <v>0</v>
      </c>
      <c r="CJ235" s="0" t="n">
        <f aca="false">(CH235-CA235)/($CB235-$BU235)</f>
        <v>0</v>
      </c>
      <c r="CK235" s="0" t="n">
        <f aca="false">IF(CI235&lt;&gt;CJ235,(CA235-BZ235)/(CI235-CJ235),0)</f>
        <v>0</v>
      </c>
      <c r="CL235" s="6" t="str">
        <f aca="false">IF(AND(BU235&gt;0,CE235&gt;0,CE235&lt;$C$15,CF235&lt;$C$15,CG235&gt;0,ABS(CK235)&lt;0.1*BU235),B235,"")</f>
        <v/>
      </c>
      <c r="CM235" s="0" t="n">
        <f aca="false">CG235+BU235^2/$C$39</f>
        <v>1.34177021132375E+027</v>
      </c>
      <c r="CN235" s="0" t="n">
        <f aca="false">-BU235*$C$15/$C$39</f>
        <v>-89725254348719.9</v>
      </c>
      <c r="CO235" s="0" t="n">
        <f aca="false">IF(CL235&lt;&gt;"",(-CM235+SQRT(CM235^2-4*$AC$60*CN235))/2/$AC$60,0)</f>
        <v>0</v>
      </c>
      <c r="CP235" s="0" t="n">
        <f aca="false">CO235*30/PI()</f>
        <v>0</v>
      </c>
      <c r="DB235" s="6"/>
    </row>
    <row r="236" customFormat="false" ht="12.75" hidden="false" customHeight="false" outlineLevel="0" collapsed="false">
      <c r="A236" s="0" t="n">
        <f aca="false">A235+0.01</f>
        <v>0.87</v>
      </c>
      <c r="B236" s="0" t="n">
        <f aca="false">A236*$AC$68</f>
        <v>1.71077931464273</v>
      </c>
      <c r="C236" s="0" t="n">
        <f aca="false">$C$39*($B236-$C$21)</f>
        <v>-7.73532411214362</v>
      </c>
      <c r="D236" s="0" t="n">
        <f aca="false">$C$39*($B236-$C$27)</f>
        <v>-1.73532411214362</v>
      </c>
      <c r="E236" s="0" t="n">
        <f aca="false">$AC$71</f>
        <v>0.0474257507541105</v>
      </c>
      <c r="F236" s="0" t="n">
        <f aca="false">-E236*$AC$51</f>
        <v>-4.96641300533647</v>
      </c>
      <c r="G236" s="0" t="n">
        <f aca="false">-E236*$AD$51</f>
        <v>-2.48320650266823</v>
      </c>
      <c r="H236" s="0" t="n">
        <f aca="false">(-F236+SQRT(F236^2-4*$C236))/2</f>
        <v>6.211696632337</v>
      </c>
      <c r="I236" s="0" t="n">
        <f aca="false">(-G236+SQRT(G236^2-4*$D236))/2</f>
        <v>3.05182499075365</v>
      </c>
      <c r="J236" s="0" t="n">
        <f aca="false">IF(H236&lt;&gt;0,($C$21-$B236)*$E236/H236/$AC$51-$AC$60*$AC$51,0)</f>
        <v>6.94924062424509E-005</v>
      </c>
      <c r="K236" s="0" t="n">
        <f aca="false">IF(I236&lt;&gt;0,($C$27-$B236)*$E236/I236/$AD$51-$AC$60*$AD$51,0)</f>
        <v>7.35880655380448E-005</v>
      </c>
      <c r="L236" s="0" t="n">
        <f aca="false">E236*1.001</f>
        <v>0.0474731765048646</v>
      </c>
      <c r="M236" s="0" t="n">
        <f aca="false">-L236*$AC$51</f>
        <v>-4.97137941834181</v>
      </c>
      <c r="N236" s="0" t="n">
        <f aca="false">-L236*$AD$51</f>
        <v>-2.4856897091709</v>
      </c>
      <c r="O236" s="0" t="n">
        <f aca="false">(-M236+SQRT(M236^2-4*$C236))/2</f>
        <v>6.21583413565384</v>
      </c>
      <c r="P236" s="0" t="n">
        <f aca="false">(-N236+SQRT(N236^2-4*$D236))/2</f>
        <v>3.0539184159609</v>
      </c>
      <c r="Q236" s="0" t="n">
        <f aca="false">IF(O236&lt;&gt;0,($C$21-$B236)*$L236/O236/$AC$51-$AC$60*$AC$51,0)</f>
        <v>6.95237717585073E-005</v>
      </c>
      <c r="R236" s="0" t="n">
        <f aca="false">IF(P236&lt;&gt;0,($C$27-$B236)*$L236/P236/$AD$51-$AC$60*$AD$51,0)</f>
        <v>7.36150041115255E-005</v>
      </c>
      <c r="S236" s="0" t="n">
        <f aca="false">(Q236-J236)/($L236-$E236)</f>
        <v>0.000661360454134656</v>
      </c>
      <c r="T236" s="0" t="n">
        <f aca="false">(R236-K236)/($L236-$E236)</f>
        <v>0.000568015752042584</v>
      </c>
      <c r="U236" s="0" t="n">
        <f aca="false">IF(S236&lt;&gt;T236,(K236-J236)/(S236-T236),0)</f>
        <v>0.0438767193402578</v>
      </c>
      <c r="V236" s="0" t="n">
        <f aca="false">E236+U236</f>
        <v>0.0913024700943683</v>
      </c>
      <c r="W236" s="0" t="n">
        <f aca="false">-V236*$AC$51</f>
        <v>-9.56117231010231</v>
      </c>
      <c r="X236" s="0" t="n">
        <f aca="false">-V236*$AD$51</f>
        <v>-4.78058615505115</v>
      </c>
      <c r="Y236" s="0" t="n">
        <f aca="false">(-W236+SQRT(W236^2-4*$C236))/2</f>
        <v>10.3113481367324</v>
      </c>
      <c r="Z236" s="0" t="n">
        <f aca="false">(-X236+SQRT(X236^2-4*$D236))/2</f>
        <v>5.11954665838067</v>
      </c>
      <c r="AA236" s="0" t="n">
        <f aca="false">IF(Y236&lt;&gt;0,($C$21-$B236)*$V236/Y236/$AC$51-$AC$60*$AC$51,0)</f>
        <v>8.45077123377963E-005</v>
      </c>
      <c r="AB236" s="0" t="n">
        <f aca="false">IF(Z236&lt;&gt;0,($C$27-$B236)*$V236/Z236/$AD$51-$AC$60*$AD$51,0)</f>
        <v>8.62592580421014E-005</v>
      </c>
      <c r="AC236" s="0" t="n">
        <f aca="false">V236*1.001</f>
        <v>0.0913937725644627</v>
      </c>
      <c r="AD236" s="0" t="n">
        <f aca="false">-AC236*$AC$51</f>
        <v>-9.57073348241241</v>
      </c>
      <c r="AE236" s="0" t="n">
        <f aca="false">-AC236*$AD$51</f>
        <v>-4.7853667412062</v>
      </c>
      <c r="AF236" s="0" t="n">
        <f aca="false">(-AD236+SQRT(AD236^2-4*$C236))/2</f>
        <v>10.3202614068693</v>
      </c>
      <c r="AG236" s="0" t="n">
        <f aca="false">(-AE236+SQRT(AE236^2-4*$D236))/2</f>
        <v>5.12403062500051</v>
      </c>
      <c r="AH236" s="0" t="n">
        <f aca="false">IF(AF236&lt;&gt;0,($C$21-$B236)*$AC236/AF236/$AC$51-$AC$60*$AC$51,0)</f>
        <v>8.45224798190436E-005</v>
      </c>
      <c r="AI236" s="0" t="n">
        <f aca="false">IF(AG236&lt;&gt;0,($C$27-$B236)*$AC236/AG236/$AD$51-$AC$60*$AD$51,0)</f>
        <v>8.62714771720231E-005</v>
      </c>
      <c r="AJ236" s="0" t="n">
        <f aca="false">(AH236-AA236)/($AC236-$V236)</f>
        <v>0.000161742406662295</v>
      </c>
      <c r="AK236" s="0" t="n">
        <f aca="false">(AI236-AB236)/($AC236-$V236)</f>
        <v>0.000133831318134306</v>
      </c>
      <c r="AL236" s="0" t="n">
        <f aca="false">IF(AJ236&lt;&gt;AK236,(AB236-AA236)/(AJ236-AK236),0)</f>
        <v>0.0627544748944037</v>
      </c>
      <c r="AM236" s="0" t="n">
        <f aca="false">V236+AL236</f>
        <v>0.154056944988772</v>
      </c>
      <c r="AN236" s="0" t="n">
        <f aca="false">-AM236*$AC$51</f>
        <v>-16.1328055537071</v>
      </c>
      <c r="AO236" s="0" t="n">
        <f aca="false">-AM236*$AD$51</f>
        <v>-8.06640277685355</v>
      </c>
      <c r="AP236" s="0" t="n">
        <f aca="false">(-AN236+SQRT(AN236^2-4*$C236))/2</f>
        <v>16.5988220041638</v>
      </c>
      <c r="AQ236" s="0" t="n">
        <f aca="false">(-AO236+SQRT(AO236^2-4*$D236))/2</f>
        <v>8.27608219652772</v>
      </c>
      <c r="AR236" s="0" t="n">
        <f aca="false">IF(AP236&lt;&gt;0,($C$21-$B236)*$AM236/AP236/$AC$51-$AC$60*$AC$51,0)</f>
        <v>8.9760087580805E-005</v>
      </c>
      <c r="AS236" s="0" t="n">
        <f aca="false">IF(AQ236&lt;&gt;0,($C$27-$B236)*$AM236/AQ236/$AD$51-$AC$60*$AD$51,0)</f>
        <v>9.05712098225398E-005</v>
      </c>
      <c r="AT236" s="0" t="n">
        <f aca="false">AM236*1.001</f>
        <v>0.154211001933761</v>
      </c>
      <c r="AU236" s="0" t="n">
        <f aca="false">-AT236*$AC$51</f>
        <v>-16.1489383592608</v>
      </c>
      <c r="AV236" s="0" t="n">
        <f aca="false">-AT236*$AD$51</f>
        <v>-8.07446917963041</v>
      </c>
      <c r="AW236" s="0" t="n">
        <f aca="false">(-AU236+SQRT(AU236^2-4*$C236))/2</f>
        <v>16.6145146505249</v>
      </c>
      <c r="AX236" s="0" t="n">
        <f aca="false">(-AV236+SQRT(AV236^2-4*$D236))/2</f>
        <v>8.28394946667519</v>
      </c>
      <c r="AY236" s="0" t="n">
        <f aca="false">IF(AW236&lt;&gt;0,($C$21-$B236)*$AT236/AW236/$AC$51-$AC$60*$AC$51,0)</f>
        <v>8.97663195799679E-005</v>
      </c>
      <c r="AZ236" s="0" t="n">
        <f aca="false">IF(AX236&lt;&gt;0,($C$27-$B236)*$AT236/AX236/$AD$51-$AC$60*$AD$51,0)</f>
        <v>9.05762840912422E-005</v>
      </c>
      <c r="BA236" s="0" t="n">
        <f aca="false">(AY236-AR236)/($AT236-$AM236)</f>
        <v>4.04525687784952E-005</v>
      </c>
      <c r="BB236" s="0" t="n">
        <f aca="false">(AZ236-AS236)/($AT236-$AM236)</f>
        <v>3.29376173384972E-005</v>
      </c>
      <c r="BC236" s="0" t="n">
        <f aca="false">IF(BA236&lt;&gt;BB236,(AS236-AR236)/(BA236-BB236),0)</f>
        <v>0.107934462146716</v>
      </c>
      <c r="BD236" s="0" t="n">
        <f aca="false">AM236+BC236</f>
        <v>0.261991407135488</v>
      </c>
      <c r="BE236" s="0" t="n">
        <f aca="false">-BD236*$AC$51</f>
        <v>-27.4356759986833</v>
      </c>
      <c r="BF236" s="0" t="n">
        <f aca="false">-BD236*$AD$51</f>
        <v>-13.7178379993417</v>
      </c>
      <c r="BG236" s="0" t="n">
        <f aca="false">(-BE236+SQRT(BE236^2-4*$C236))/2</f>
        <v>27.7147806472318</v>
      </c>
      <c r="BH236" s="0" t="n">
        <f aca="false">(-BF236+SQRT(BF236^2-4*$D236))/2</f>
        <v>13.8431937620344</v>
      </c>
      <c r="BI236" s="0" t="n">
        <f aca="false">IF(BG236&lt;&gt;0,($C$21-$B236)*$BD236/BG236/$AC$51-$AC$60*$AC$51,0)</f>
        <v>9.18767670584479E-005</v>
      </c>
      <c r="BJ236" s="0" t="n">
        <f aca="false">IF(BH236&lt;&gt;0,($C$27-$B236)*$BD236/BH236/$AD$51-$AC$60*$AD$51,0)</f>
        <v>9.22886884962438E-005</v>
      </c>
      <c r="BK236" s="0" t="n">
        <f aca="false">BD236*1.001</f>
        <v>0.262253398542623</v>
      </c>
      <c r="BL236" s="0" t="n">
        <f aca="false">-BK236*$AC$51</f>
        <v>-27.463111674682</v>
      </c>
      <c r="BM236" s="0" t="n">
        <f aca="false">-BK236*$AD$51</f>
        <v>-13.731555837341</v>
      </c>
      <c r="BN236" s="0" t="n">
        <f aca="false">(-BL236+SQRT(BL236^2-4*$C236))/2</f>
        <v>27.7419430491977</v>
      </c>
      <c r="BO236" s="0" t="n">
        <f aca="false">(-BM236+SQRT(BM236^2-4*$D236))/2</f>
        <v>13.8567886138881</v>
      </c>
      <c r="BP236" s="0" t="n">
        <f aca="false">IF(BN236&lt;&gt;0,($C$21-$B236)*$BK236/BN236/$AC$51-$AC$60*$AC$51,0)</f>
        <v>9.18790843158707E-005</v>
      </c>
      <c r="BQ236" s="0" t="n">
        <f aca="false">IF(BO236&lt;&gt;0,($C$27-$B236)*$BK236/BO236/$AD$51-$AC$60*$AD$51,0)</f>
        <v>9.22905620618297E-005</v>
      </c>
      <c r="BR236" s="0" t="n">
        <f aca="false">(BP236-BI236)/($BK236-$BD236)</f>
        <v>8.84478406443954E-006</v>
      </c>
      <c r="BS236" s="0" t="n">
        <f aca="false">(BQ236-BJ236)/($BK236-$BD236)</f>
        <v>7.15124822747652E-006</v>
      </c>
      <c r="BT236" s="0" t="n">
        <f aca="false">IF(BR236&lt;&gt;BS236,(BJ236-BI236)/(BR236-BS236),0)</f>
        <v>0.243231603846426</v>
      </c>
      <c r="BU236" s="0" t="n">
        <f aca="false">BD236+BT236</f>
        <v>0.505223010981914</v>
      </c>
      <c r="BV236" s="0" t="n">
        <f aca="false">-BU236*$AC$51</f>
        <v>-52.9068299908432</v>
      </c>
      <c r="BW236" s="0" t="n">
        <f aca="false">-BU236*$AD$51</f>
        <v>-26.4534149954216</v>
      </c>
      <c r="BX236" s="0" t="n">
        <f aca="false">(-BV236+SQRT(BV236^2-4*$C236))/2</f>
        <v>53.0526347026262</v>
      </c>
      <c r="BY236" s="0" t="n">
        <f aca="false">(-BW236+SQRT(BW236^2-4*$D236))/2</f>
        <v>26.5188523713624</v>
      </c>
      <c r="BZ236" s="0" t="n">
        <f aca="false">IF(BX236&lt;&gt;0,($C$21-$B236)*$BU236/BX236/$AC$51-$AC$60*$AC$51,0)</f>
        <v>9.27375977750823E-005</v>
      </c>
      <c r="CA236" s="0" t="n">
        <f aca="false">IF(BY236&lt;&gt;0,($C$27-$B236)*$BU236/BY236/$AD$51-$AC$60*$AD$51,0)</f>
        <v>9.29836717968311E-005</v>
      </c>
      <c r="CB236" s="0" t="n">
        <f aca="false">BU236*1.001</f>
        <v>0.505728233992896</v>
      </c>
      <c r="CC236" s="0" t="n">
        <f aca="false">-CB236*$AC$51</f>
        <v>-52.9597368208341</v>
      </c>
      <c r="CD236" s="0" t="n">
        <f aca="false">-CB236*$AD$51</f>
        <v>-26.479868410417</v>
      </c>
      <c r="CE236" s="0" t="n">
        <f aca="false">(-CC236+SQRT(CC236^2-4*$C236))/2</f>
        <v>53.105396670813</v>
      </c>
      <c r="CF236" s="0" t="n">
        <f aca="false">(-CD236+SQRT(CD236^2-4*$D236))/2</f>
        <v>26.5452407357021</v>
      </c>
      <c r="CG236" s="0" t="n">
        <f aca="false">IF(CE236&lt;&gt;0,($C$21-$B236)*$CB236/CE236/$AC$51-$AC$60*$AC$51,0)</f>
        <v>9.27382394737843E-005</v>
      </c>
      <c r="CH236" s="0" t="n">
        <f aca="false">IF(CF236&lt;&gt;0,($C$27-$B236)*$CB236/CF236/$AD$51-$AC$60*$AD$51,0)</f>
        <v>9.29841890976165E-005</v>
      </c>
      <c r="CI236" s="0" t="n">
        <f aca="false">(CG236-BZ236)/($CB236-$BU236)</f>
        <v>1.2701296022804E-006</v>
      </c>
      <c r="CJ236" s="0" t="n">
        <f aca="false">(CH236-CA236)/($CB236-$BU236)</f>
        <v>1.02390582806882E-006</v>
      </c>
      <c r="CK236" s="0" t="n">
        <f aca="false">IF(CI236&lt;&gt;CJ236,(CA236-BZ236)/(CI236-CJ236),0)</f>
        <v>0.999391803398373</v>
      </c>
      <c r="CL236" s="6" t="str">
        <f aca="false">IF(AND(BU236&gt;0,CE236&gt;0,CE236&lt;$C$15,CF236&lt;$C$15,CG236&gt;0,ABS(CK236)&lt;0.1*BU236),B236,"")</f>
        <v/>
      </c>
      <c r="CM236" s="0" t="n">
        <f aca="false">CG236+BU236^2/$C$39</f>
        <v>0.042634453377079</v>
      </c>
      <c r="CN236" s="0" t="n">
        <f aca="false">-BU236*$C$15/$C$39</f>
        <v>-0.505223010981914</v>
      </c>
      <c r="CO236" s="0" t="n">
        <f aca="false">IF(CL236&lt;&gt;"",(-CM236+SQRT(CM236^2-4*$AC$60*CN236))/2/$AC$60,0)</f>
        <v>0</v>
      </c>
      <c r="CP236" s="0" t="n">
        <f aca="false">CO236*30/PI()</f>
        <v>0</v>
      </c>
      <c r="DB236" s="6"/>
    </row>
    <row r="237" customFormat="false" ht="12.75" hidden="false" customHeight="false" outlineLevel="0" collapsed="false">
      <c r="A237" s="0" t="n">
        <f aca="false">A236+0.01</f>
        <v>0.88</v>
      </c>
      <c r="B237" s="0" t="n">
        <f aca="false">A237*$AC$68</f>
        <v>1.73044344469609</v>
      </c>
      <c r="C237" s="0" t="n">
        <f aca="false">$C$39*($B237-$C$21)</f>
        <v>-7.61733933182344</v>
      </c>
      <c r="D237" s="0" t="n">
        <f aca="false">$C$39*($B237-$C$27)</f>
        <v>-1.61733933182344</v>
      </c>
      <c r="E237" s="0" t="n">
        <f aca="false">$AC$71</f>
        <v>0.0474257507541105</v>
      </c>
      <c r="F237" s="0" t="n">
        <f aca="false">-E237*$AC$51</f>
        <v>-4.96641300533647</v>
      </c>
      <c r="G237" s="0" t="n">
        <f aca="false">-E237*$AD$51</f>
        <v>-2.48320650266823</v>
      </c>
      <c r="H237" s="0" t="n">
        <f aca="false">(-F237+SQRT(F237^2-4*$C237))/2</f>
        <v>6.19584085939086</v>
      </c>
      <c r="I237" s="0" t="n">
        <f aca="false">(-G237+SQRT(G237^2-4*$D237))/2</f>
        <v>3.01893776277165</v>
      </c>
      <c r="J237" s="0" t="n">
        <f aca="false">IF(H237&lt;&gt;0,($C$21-$B237)*$E237/H237/$AC$51-$AC$60*$AC$51,0)</f>
        <v>6.82956057360291E-005</v>
      </c>
      <c r="K237" s="0" t="n">
        <f aca="false">IF(I237&lt;&gt;0,($C$27-$B237)*$E237/I237/$AD$51-$AC$60*$AD$51,0)</f>
        <v>6.86233815409462E-005</v>
      </c>
      <c r="L237" s="0" t="n">
        <f aca="false">E237*1.001</f>
        <v>0.0474731765048646</v>
      </c>
      <c r="M237" s="0" t="n">
        <f aca="false">-L237*$AC$51</f>
        <v>-4.97137941834181</v>
      </c>
      <c r="N237" s="0" t="n">
        <f aca="false">-L237*$AD$51</f>
        <v>-2.4856897091709</v>
      </c>
      <c r="O237" s="0" t="n">
        <f aca="false">(-M237+SQRT(M237^2-4*$C237))/2</f>
        <v>6.19998542466012</v>
      </c>
      <c r="P237" s="0" t="n">
        <f aca="false">(-N237+SQRT(N237^2-4*$D237))/2</f>
        <v>3.02104694219894</v>
      </c>
      <c r="Q237" s="0" t="n">
        <f aca="false">IF(O237&lt;&gt;0,($C$21-$B237)*$L237/O237/$AC$51-$AC$60*$AC$51,0)</f>
        <v>6.83263080237996E-005</v>
      </c>
      <c r="R237" s="0" t="n">
        <f aca="false">IF(P237&lt;&gt;0,($C$27-$B237)*$L237/P237/$AD$51-$AC$60*$AD$51,0)</f>
        <v>6.86477360791997E-005</v>
      </c>
      <c r="S237" s="0" t="n">
        <f aca="false">(Q237-J237)/($L237-$E237)</f>
        <v>0.000647375893523069</v>
      </c>
      <c r="T237" s="0" t="n">
        <f aca="false">(R237-K237)/($L237-$E237)</f>
        <v>0.000513529841199633</v>
      </c>
      <c r="U237" s="0" t="n">
        <f aca="false">IF(S237&lt;&gt;T237,(K237-J237)/(S237-T237),0)</f>
        <v>0.00244890154940805</v>
      </c>
      <c r="V237" s="0" t="n">
        <f aca="false">E237+U237</f>
        <v>0.0498746523035185</v>
      </c>
      <c r="W237" s="0" t="n">
        <f aca="false">-V237*$AC$51</f>
        <v>-5.22286137590264</v>
      </c>
      <c r="X237" s="0" t="n">
        <f aca="false">-V237*$AD$51</f>
        <v>-2.61143068795132</v>
      </c>
      <c r="Y237" s="0" t="n">
        <f aca="false">(-W237+SQRT(W237^2-4*$C237))/2</f>
        <v>6.4110240306391</v>
      </c>
      <c r="Z237" s="0" t="n">
        <f aca="false">(-X237+SQRT(X237^2-4*$D237))/2</f>
        <v>3.12841441165439</v>
      </c>
      <c r="AA237" s="0" t="n">
        <f aca="false">IF(Y237&lt;&gt;0,($C$21-$B237)*$V237/Y237/$AC$51-$AC$60*$AC$51,0)</f>
        <v>6.98118117078213E-005</v>
      </c>
      <c r="AB237" s="0" t="n">
        <f aca="false">IF(Z237&lt;&gt;0,($C$27-$B237)*$V237/Z237/$AD$51-$AC$60*$AD$51,0)</f>
        <v>6.98231750692007E-005</v>
      </c>
      <c r="AC237" s="0" t="n">
        <f aca="false">V237*1.001</f>
        <v>0.0499245269558221</v>
      </c>
      <c r="AD237" s="0" t="n">
        <f aca="false">-AC237*$AC$51</f>
        <v>-5.22808423727854</v>
      </c>
      <c r="AE237" s="0" t="n">
        <f aca="false">-AC237*$AD$51</f>
        <v>-2.61404211863927</v>
      </c>
      <c r="AF237" s="0" t="n">
        <f aca="false">(-AD237+SQRT(AD237^2-4*$C237))/2</f>
        <v>6.41543075042154</v>
      </c>
      <c r="AG237" s="0" t="n">
        <f aca="false">(-AE237+SQRT(AE237^2-4*$D237))/2</f>
        <v>3.13065572156108</v>
      </c>
      <c r="AH237" s="0" t="n">
        <f aca="false">IF(AF237&lt;&gt;0,($C$21-$B237)*$AC237/AF237/$AC$51-$AC$60*$AC$51,0)</f>
        <v>6.98412772024667E-005</v>
      </c>
      <c r="AI237" s="0" t="n">
        <f aca="false">IF(AG237&lt;&gt;0,($C$27-$B237)*$AC237/AG237/$AD$51-$AC$60*$AD$51,0)</f>
        <v>6.9846431676122E-005</v>
      </c>
      <c r="AJ237" s="0" t="n">
        <f aca="false">(AH237-AA237)/($AC237-$V237)</f>
        <v>0.000590790978674754</v>
      </c>
      <c r="AK237" s="0" t="n">
        <f aca="false">(AI237-AB237)/($AC237-$V237)</f>
        <v>0.000466301133887014</v>
      </c>
      <c r="AL237" s="0" t="n">
        <f aca="false">IF(AJ237&lt;&gt;AK237,(AB237-AA237)/(AJ237-AK237),0)</f>
        <v>9.1279424428521E-005</v>
      </c>
      <c r="AM237" s="0" t="n">
        <f aca="false">V237+AL237</f>
        <v>0.0499659317279471</v>
      </c>
      <c r="AN237" s="0" t="n">
        <f aca="false">-AM237*$AC$51</f>
        <v>-5.23242013487625</v>
      </c>
      <c r="AO237" s="0" t="n">
        <f aca="false">-AM237*$AD$51</f>
        <v>-2.61621006743813</v>
      </c>
      <c r="AP237" s="0" t="n">
        <f aca="false">(-AN237+SQRT(AN237^2-4*$C237))/2</f>
        <v>6.41908982477835</v>
      </c>
      <c r="AQ237" s="0" t="n">
        <f aca="false">(-AO237+SQRT(AO237^2-4*$D237))/2</f>
        <v>3.13251675015387</v>
      </c>
      <c r="AR237" s="0" t="n">
        <f aca="false">IF(AP237&lt;&gt;0,($C$21-$B237)*$AM237/AP237/$AC$51-$AC$60*$AC$51,0)</f>
        <v>6.98656974721434E-005</v>
      </c>
      <c r="AS237" s="0" t="n">
        <f aca="false">IF(AQ237&lt;&gt;0,($C$27-$B237)*$AM237/AQ237/$AD$51-$AC$60*$AD$51,0)</f>
        <v>6.98657044307757E-005</v>
      </c>
      <c r="AT237" s="0" t="n">
        <f aca="false">AM237*1.001</f>
        <v>0.050015897659675</v>
      </c>
      <c r="AU237" s="0" t="n">
        <f aca="false">-AT237*$AC$51</f>
        <v>-5.23765255501113</v>
      </c>
      <c r="AV237" s="0" t="n">
        <f aca="false">-AT237*$AD$51</f>
        <v>-2.61882627750556</v>
      </c>
      <c r="AW237" s="0" t="n">
        <f aca="false">(-AU237+SQRT(AU237^2-4*$C237))/2</f>
        <v>6.4235063433688</v>
      </c>
      <c r="AX237" s="0" t="n">
        <f aca="false">(-AV237+SQRT(AV237^2-4*$D237))/2</f>
        <v>3.13476299556431</v>
      </c>
      <c r="AY237" s="0" t="n">
        <f aca="false">IF(AW237&lt;&gt;0,($C$21-$B237)*$AT237/AW237/$AC$51-$AC$60*$AC$51,0)</f>
        <v>6.98951172770023E-005</v>
      </c>
      <c r="AZ237" s="0" t="n">
        <f aca="false">IF(AX237&lt;&gt;0,($C$27-$B237)*$AT237/AX237/$AD$51-$AC$60*$AD$51,0)</f>
        <v>6.98889207762453E-005</v>
      </c>
      <c r="BA237" s="0" t="n">
        <f aca="false">(AY237-AR237)/($AT237-$AM237)</f>
        <v>0.000588797283297739</v>
      </c>
      <c r="BB237" s="0" t="n">
        <f aca="false">(AZ237-AS237)/($AT237-$AM237)</f>
        <v>0.000464643501417352</v>
      </c>
      <c r="BC237" s="0" t="n">
        <f aca="false">IF(BA237&lt;&gt;BB237,(AS237-AR237)/(BA237-BB237),0)</f>
        <v>5.60484919004908E-008</v>
      </c>
      <c r="BD237" s="0" t="n">
        <f aca="false">AM237+BC237</f>
        <v>0.049965987776439</v>
      </c>
      <c r="BE237" s="0" t="n">
        <f aca="false">-BD237*$AC$51</f>
        <v>-5.2324260042606</v>
      </c>
      <c r="BF237" s="0" t="n">
        <f aca="false">-BD237*$AD$51</f>
        <v>-2.6162130021303</v>
      </c>
      <c r="BG237" s="0" t="n">
        <f aca="false">(-BE237+SQRT(BE237^2-4*$C237))/2</f>
        <v>6.41909477840722</v>
      </c>
      <c r="BH237" s="0" t="n">
        <f aca="false">(-BF237+SQRT(BF237^2-4*$D237))/2</f>
        <v>3.13251926958886</v>
      </c>
      <c r="BI237" s="0" t="n">
        <f aca="false">IF(BG237&lt;&gt;0,($C$21-$B237)*$BD237/BG237/$AC$51-$AC$60*$AC$51,0)</f>
        <v>6.98657305038277E-005</v>
      </c>
      <c r="BJ237" s="0" t="n">
        <f aca="false">IF(BH237&lt;&gt;0,($C$27-$B237)*$BD237/BH237/$AD$51-$AC$60*$AD$51,0)</f>
        <v>6.98657304986864E-005</v>
      </c>
      <c r="BK237" s="0" t="n">
        <f aca="false">BD237*1.001</f>
        <v>0.0500159537642154</v>
      </c>
      <c r="BL237" s="0" t="n">
        <f aca="false">-BK237*$AC$51</f>
        <v>-5.23765843026486</v>
      </c>
      <c r="BM237" s="0" t="n">
        <f aca="false">-BK237*$AD$51</f>
        <v>-2.61882921513243</v>
      </c>
      <c r="BN237" s="0" t="n">
        <f aca="false">(-BL237+SQRT(BL237^2-4*$C237))/2</f>
        <v>6.42351130301501</v>
      </c>
      <c r="BO237" s="0" t="n">
        <f aca="false">(-BM237+SQRT(BM237^2-4*$D237))/2</f>
        <v>3.13476551803007</v>
      </c>
      <c r="BP237" s="0" t="n">
        <f aca="false">IF(BN237&lt;&gt;0,($C$21-$B237)*$BK237/BN237/$AC$51-$AC$60*$AC$51,0)</f>
        <v>6.98951502806421E-005</v>
      </c>
      <c r="BQ237" s="0" t="n">
        <f aca="false">IF(BO237&lt;&gt;0,($C$27-$B237)*$BK237/BO237/$AD$51-$AC$60*$AD$51,0)</f>
        <v>6.98889468194497E-005</v>
      </c>
      <c r="BR237" s="0" t="n">
        <f aca="false">(BP237-BI237)/($BK237-$BD237)</f>
        <v>0.00058879606155343</v>
      </c>
      <c r="BS237" s="0" t="n">
        <f aca="false">(BQ237-BJ237)/($BK237-$BD237)</f>
        <v>0.000464642485749142</v>
      </c>
      <c r="BT237" s="0" t="n">
        <f aca="false">IF(BR237&lt;&gt;BS237,(BJ237-BI237)/(BR237-BS237),0)</f>
        <v>-4.1410920093717E-011</v>
      </c>
      <c r="BU237" s="0" t="n">
        <f aca="false">BD237+BT237</f>
        <v>0.049965987735028</v>
      </c>
      <c r="BV237" s="0" t="n">
        <f aca="false">-BU237*$AC$51</f>
        <v>-5.23242599992406</v>
      </c>
      <c r="BW237" s="0" t="n">
        <f aca="false">-BU237*$AD$51</f>
        <v>-2.61621299996203</v>
      </c>
      <c r="BX237" s="0" t="n">
        <f aca="false">(-BV237+SQRT(BV237^2-4*$C237))/2</f>
        <v>6.41909477474727</v>
      </c>
      <c r="BY237" s="0" t="n">
        <f aca="false">(-BW237+SQRT(BW237^2-4*$D237))/2</f>
        <v>3.1325192677274</v>
      </c>
      <c r="BZ237" s="0" t="n">
        <f aca="false">IF(BX237&lt;&gt;0,($C$21-$B237)*$BU237/BX237/$AC$51-$AC$60*$AC$51,0)</f>
        <v>6.98657304794225E-005</v>
      </c>
      <c r="CA237" s="0" t="n">
        <f aca="false">IF(BY237&lt;&gt;0,($C$27-$B237)*$BU237/BY237/$AD$51-$AC$60*$AD$51,0)</f>
        <v>6.98657304794263E-005</v>
      </c>
      <c r="CB237" s="0" t="n">
        <f aca="false">BU237*1.001</f>
        <v>0.0500159537227631</v>
      </c>
      <c r="CC237" s="0" t="n">
        <f aca="false">-CB237*$AC$51</f>
        <v>-5.23765842592398</v>
      </c>
      <c r="CD237" s="0" t="n">
        <f aca="false">-CB237*$AD$51</f>
        <v>-2.61882921296199</v>
      </c>
      <c r="CE237" s="0" t="n">
        <f aca="false">(-CC237+SQRT(CC237^2-4*$C237))/2</f>
        <v>6.42351129935062</v>
      </c>
      <c r="CF237" s="0" t="n">
        <f aca="false">(-CD237+SQRT(CD237^2-4*$D237))/2</f>
        <v>3.13476551616637</v>
      </c>
      <c r="CG237" s="0" t="n">
        <f aca="false">IF(CE237&lt;&gt;0,($C$21-$B237)*$CB237/CE237/$AC$51-$AC$60*$AC$51,0)</f>
        <v>6.98951502562576E-005</v>
      </c>
      <c r="CH237" s="0" t="n">
        <f aca="false">IF(CF237&lt;&gt;0,($C$27-$B237)*$CB237/CF237/$AD$51-$AC$60*$AD$51,0)</f>
        <v>6.98889468002079E-005</v>
      </c>
      <c r="CI237" s="0" t="n">
        <f aca="false">(CG237-BZ237)/($CB237-$BU237)</f>
        <v>0.000588796062455594</v>
      </c>
      <c r="CJ237" s="0" t="n">
        <f aca="false">(CH237-CA237)/($CB237-$BU237)</f>
        <v>0.000464642486499045</v>
      </c>
      <c r="CK237" s="0" t="n">
        <f aca="false">IF(CI237&lt;&gt;CJ237,(CA237-BZ237)/(CI237-CJ237),0)</f>
        <v>3.06737852817718E-014</v>
      </c>
      <c r="CL237" s="6" t="str">
        <f aca="false">IF(AND(BU237&gt;0,CE237&gt;0,CE237&lt;$C$15,CF237&lt;$C$15,CG237&gt;0,ABS(CK237)&lt;0.1*BU237),B237,"")</f>
        <v/>
      </c>
      <c r="CM237" s="0" t="n">
        <f aca="false">CG237+BU237^2/$C$39</f>
        <v>0.000485995138645753</v>
      </c>
      <c r="CN237" s="0" t="n">
        <f aca="false">-BU237*$C$15/$C$39</f>
        <v>-0.049965987735028</v>
      </c>
      <c r="CO237" s="0" t="n">
        <f aca="false">IF(CL237&lt;&gt;"",(-CM237+SQRT(CM237^2-4*$AC$60*CN237))/2/$AC$60,0)</f>
        <v>0</v>
      </c>
      <c r="CP237" s="0" t="n">
        <f aca="false">CO237*30/PI()</f>
        <v>0</v>
      </c>
      <c r="DB237" s="6"/>
    </row>
    <row r="238" customFormat="false" ht="12.75" hidden="false" customHeight="false" outlineLevel="0" collapsed="false">
      <c r="A238" s="0" t="n">
        <f aca="false">A237+0.01</f>
        <v>0.890000000000001</v>
      </c>
      <c r="B238" s="0" t="n">
        <f aca="false">A238*$AC$68</f>
        <v>1.75010757474946</v>
      </c>
      <c r="C238" s="0" t="n">
        <f aca="false">$C$39*($B238-$C$21)</f>
        <v>-7.49935455150325</v>
      </c>
      <c r="D238" s="0" t="n">
        <f aca="false">$C$39*($B238-$C$27)</f>
        <v>-1.49935455150325</v>
      </c>
      <c r="E238" s="0" t="n">
        <f aca="false">$AC$71</f>
        <v>0.0474257507541105</v>
      </c>
      <c r="F238" s="0" t="n">
        <f aca="false">-E238*$AC$51</f>
        <v>-4.96641300533647</v>
      </c>
      <c r="G238" s="0" t="n">
        <f aca="false">-E238*$AD$51</f>
        <v>-2.48320650266823</v>
      </c>
      <c r="H238" s="0" t="n">
        <f aca="false">(-F238+SQRT(F238^2-4*$C238))/2</f>
        <v>6.17991707916689</v>
      </c>
      <c r="I238" s="0" t="n">
        <f aca="false">(-G238+SQRT(G238^2-4*$D238))/2</f>
        <v>2.98543041743364</v>
      </c>
      <c r="J238" s="0" t="n">
        <f aca="false">IF(H238&lt;&gt;0,($C$21-$B238)*$E238/H238/$AC$51-$AC$60*$AC$51,0)</f>
        <v>6.70936720112634E-005</v>
      </c>
      <c r="K238" s="0" t="n">
        <f aca="false">IF(I238&lt;&gt;0,($C$27-$B238)*$E238/I238/$AD$51-$AC$60*$AD$51,0)</f>
        <v>6.35650840986715E-005</v>
      </c>
      <c r="L238" s="0" t="n">
        <f aca="false">E238*1.001</f>
        <v>0.0474731765048646</v>
      </c>
      <c r="M238" s="0" t="n">
        <f aca="false">-L238*$AC$51</f>
        <v>-4.97137941834181</v>
      </c>
      <c r="N238" s="0" t="n">
        <f aca="false">-L238*$AD$51</f>
        <v>-2.4856897091709</v>
      </c>
      <c r="O238" s="0" t="n">
        <f aca="false">(-M238+SQRT(M238^2-4*$C238))/2</f>
        <v>6.18406879760699</v>
      </c>
      <c r="P238" s="0" t="n">
        <f aca="false">(-N238+SQRT(N238^2-4*$D238))/2</f>
        <v>2.98755625882192</v>
      </c>
      <c r="Q238" s="0" t="n">
        <f aca="false">IF(O238&lt;&gt;0,($C$21-$B238)*$L238/O238/$AC$51-$AC$60*$AC$51,0)</f>
        <v>6.71237128296203E-005</v>
      </c>
      <c r="R238" s="0" t="n">
        <f aca="false">IF(P238&lt;&gt;0,($C$27-$B238)*$L238/P238/$AD$51-$AC$60*$AD$51,0)</f>
        <v>6.35868981586335E-005</v>
      </c>
      <c r="S238" s="0" t="n">
        <f aca="false">(Q238-J238)/($L238-$E238)</f>
        <v>0.000633428419775839</v>
      </c>
      <c r="T238" s="0" t="n">
        <f aca="false">(R238-K238)/($L238-$E238)</f>
        <v>0.000459962354103441</v>
      </c>
      <c r="U238" s="0" t="n">
        <f aca="false">IF(S238&lt;&gt;T238,(K238-J238)/(S238-T238),0)</f>
        <v>-0.0203416610558051</v>
      </c>
      <c r="V238" s="0" t="n">
        <f aca="false">E238+U238</f>
        <v>0.0270840896983054</v>
      </c>
      <c r="W238" s="0" t="n">
        <f aca="false">-V238*$AC$51</f>
        <v>-2.83623924084544</v>
      </c>
      <c r="X238" s="0" t="n">
        <f aca="false">-V238*$AD$51</f>
        <v>-1.41811962042272</v>
      </c>
      <c r="Y238" s="0" t="n">
        <f aca="false">(-W238+SQRT(W238^2-4*$C238))/2</f>
        <v>4.50201615067971</v>
      </c>
      <c r="Z238" s="0" t="n">
        <f aca="false">(-X238+SQRT(X238^2-4*$D238))/2</f>
        <v>2.12402283656937</v>
      </c>
      <c r="AA238" s="0" t="n">
        <f aca="false">IF(Y238&lt;&gt;0,($C$21-$B238)*$V238/Y238/$AC$51-$AC$60*$AC$51,0)</f>
        <v>4.73022924906681E-005</v>
      </c>
      <c r="AB238" s="0" t="n">
        <f aca="false">IF(Z238&lt;&gt;0,($C$27-$B238)*$V238/Z238/$AD$51-$AC$60*$AD$51,0)</f>
        <v>4.86057921146849E-005</v>
      </c>
      <c r="AC238" s="0" t="n">
        <f aca="false">V238*1.001</f>
        <v>0.0271111737880037</v>
      </c>
      <c r="AD238" s="0" t="n">
        <f aca="false">-AC238*$AC$51</f>
        <v>-2.83907548008629</v>
      </c>
      <c r="AE238" s="0" t="n">
        <f aca="false">-AC238*$AD$51</f>
        <v>-1.41953774004314</v>
      </c>
      <c r="AF238" s="0" t="n">
        <f aca="false">(-AD238+SQRT(AD238^2-4*$C238))/2</f>
        <v>4.50408664497398</v>
      </c>
      <c r="AG238" s="0" t="n">
        <f aca="false">(-AE238+SQRT(AE238^2-4*$D238))/2</f>
        <v>2.1250873502072</v>
      </c>
      <c r="AH238" s="0" t="n">
        <f aca="false">IF(AF238&lt;&gt;0,($C$21-$B238)*$AC238/AF238/$AC$51-$AC$60*$AC$51,0)</f>
        <v>4.73410559613102E-005</v>
      </c>
      <c r="AI238" s="0" t="n">
        <f aca="false">IF(AG238&lt;&gt;0,($C$27-$B238)*$AC238/AG238/$AD$51-$AC$60*$AD$51,0)</f>
        <v>4.86361336446948E-005</v>
      </c>
      <c r="AJ238" s="0" t="n">
        <f aca="false">(AH238-AA238)/($AC238-$V238)</f>
        <v>0.00143122663799704</v>
      </c>
      <c r="AK238" s="0" t="n">
        <f aca="false">(AI238-AB238)/($AC238-$V238)</f>
        <v>0.0011202713603412</v>
      </c>
      <c r="AL238" s="0" t="n">
        <f aca="false">IF(AJ238&lt;&gt;AK238,(AB238-AA238)/(AJ238-AK238),0)</f>
        <v>0.00419191992444483</v>
      </c>
      <c r="AM238" s="0" t="n">
        <f aca="false">V238+AL238</f>
        <v>0.0312760096227502</v>
      </c>
      <c r="AN238" s="0" t="n">
        <f aca="false">-AM238*$AC$51</f>
        <v>-3.27521606881453</v>
      </c>
      <c r="AO238" s="0" t="n">
        <f aca="false">-AM238*$AD$51</f>
        <v>-1.63760803440726</v>
      </c>
      <c r="AP238" s="0" t="n">
        <f aca="false">(-AN238+SQRT(AN238^2-4*$C238))/2</f>
        <v>4.82839392911384</v>
      </c>
      <c r="AQ238" s="0" t="n">
        <f aca="false">(-AO238+SQRT(AO238^2-4*$D238))/2</f>
        <v>2.29182627436475</v>
      </c>
      <c r="AR238" s="0" t="n">
        <f aca="false">IF(AP238&lt;&gt;0,($C$21-$B238)*$AM238/AP238/$AC$51-$AC$60*$AC$51,0)</f>
        <v>5.28108909037877E-005</v>
      </c>
      <c r="AS238" s="0" t="n">
        <f aca="false">IF(AQ238&lt;&gt;0,($C$27-$B238)*$AM238/AQ238/$AD$51-$AC$60*$AD$51,0)</f>
        <v>5.28793886368724E-005</v>
      </c>
      <c r="AT238" s="0" t="n">
        <f aca="false">AM238*1.001</f>
        <v>0.031307285632373</v>
      </c>
      <c r="AU238" s="0" t="n">
        <f aca="false">-AT238*$AC$51</f>
        <v>-3.27849128488334</v>
      </c>
      <c r="AV238" s="0" t="n">
        <f aca="false">-AT238*$AD$51</f>
        <v>-1.63924564244167</v>
      </c>
      <c r="AW238" s="0" t="n">
        <f aca="false">(-AU238+SQRT(AU238^2-4*$C238))/2</f>
        <v>4.83087231668903</v>
      </c>
      <c r="AX238" s="0" t="n">
        <f aca="false">(-AV238+SQRT(AV238^2-4*$D238))/2</f>
        <v>2.29310038147387</v>
      </c>
      <c r="AY238" s="0" t="n">
        <f aca="false">IF(AW238&lt;&gt;0,($C$21-$B238)*$AT238/AW238/$AC$51-$AC$60*$AC$51,0)</f>
        <v>5.28485002807187E-005</v>
      </c>
      <c r="AZ238" s="0" t="n">
        <f aca="false">IF(AX238&lt;&gt;0,($C$27-$B238)*$AT238/AX238/$AD$51-$AC$60*$AD$51,0)</f>
        <v>5.29082947035526E-005</v>
      </c>
      <c r="BA238" s="0" t="n">
        <f aca="false">(AY238-AR238)/($AT238-$AM238)</f>
        <v>0.00120249921216483</v>
      </c>
      <c r="BB238" s="0" t="n">
        <f aca="false">(AZ238-AS238)/($AT238-$AM238)</f>
        <v>0.000924224894058299</v>
      </c>
      <c r="BC238" s="0" t="n">
        <f aca="false">IF(BA238&lt;&gt;BB238,(AS238-AR238)/(BA238-BB238),0)</f>
        <v>0.00024615183158411</v>
      </c>
      <c r="BD238" s="0" t="n">
        <f aca="false">AM238+BC238</f>
        <v>0.0315221614543343</v>
      </c>
      <c r="BE238" s="0" t="n">
        <f aca="false">-BD238*$AC$51</f>
        <v>-3.30099302834027</v>
      </c>
      <c r="BF238" s="0" t="n">
        <f aca="false">-BD238*$AD$51</f>
        <v>-1.65049651417013</v>
      </c>
      <c r="BG238" s="0" t="n">
        <f aca="false">(-BE238+SQRT(BE238^2-4*$C238))/2</f>
        <v>4.84791630124705</v>
      </c>
      <c r="BH238" s="0" t="n">
        <f aca="false">(-BF238+SQRT(BF238^2-4*$D238))/2</f>
        <v>2.30186236961589</v>
      </c>
      <c r="BI238" s="0" t="n">
        <f aca="false">IF(BG238&lt;&gt;0,($C$21-$B238)*$BD238/BG238/$AC$51-$AC$60*$AC$51,0)</f>
        <v>5.3105581339321E-005</v>
      </c>
      <c r="BJ238" s="0" t="n">
        <f aca="false">IF(BH238&lt;&gt;0,($C$27-$B238)*$BD238/BH238/$AD$51-$AC$60*$AD$51,0)</f>
        <v>5.31057823828317E-005</v>
      </c>
      <c r="BK238" s="0" t="n">
        <f aca="false">BD238*1.001</f>
        <v>0.0315536836157887</v>
      </c>
      <c r="BL238" s="0" t="n">
        <f aca="false">-BK238*$AC$51</f>
        <v>-3.30429402136861</v>
      </c>
      <c r="BM238" s="0" t="n">
        <f aca="false">-BK238*$AD$51</f>
        <v>-1.6521470106843</v>
      </c>
      <c r="BN238" s="0" t="n">
        <f aca="false">(-BL238+SQRT(BL238^2-4*$C238))/2</f>
        <v>4.85041909048245</v>
      </c>
      <c r="BO238" s="0" t="n">
        <f aca="false">(-BM238+SQRT(BM238^2-4*$D238))/2</f>
        <v>2.30314899011993</v>
      </c>
      <c r="BP238" s="0" t="n">
        <f aca="false">IF(BN238&lt;&gt;0,($C$21-$B238)*$BK238/BN238/$AC$51-$AC$60*$AC$51,0)</f>
        <v>5.31431038602555E-005</v>
      </c>
      <c r="BQ238" s="0" t="n">
        <f aca="false">IF(BO238&lt;&gt;0,($C$27-$B238)*$BK238/BO238/$AD$51-$AC$60*$AD$51,0)</f>
        <v>5.31345920732032E-005</v>
      </c>
      <c r="BR238" s="0" t="n">
        <f aca="false">(BP238-BI238)/($BK238-$BD238)</f>
        <v>0.00119035368145401</v>
      </c>
      <c r="BS238" s="0" t="n">
        <f aca="false">(BQ238-BJ238)/($BK238-$BD238)</f>
        <v>0.000913950346113392</v>
      </c>
      <c r="BT238" s="0" t="n">
        <f aca="false">IF(BR238&lt;&gt;BS238,(BJ238-BI238)/(BR238-BS238),0)</f>
        <v>7.27355588900719E-007</v>
      </c>
      <c r="BU238" s="0" t="n">
        <f aca="false">BD238+BT238</f>
        <v>0.0315228888099232</v>
      </c>
      <c r="BV238" s="0" t="n">
        <f aca="false">-BU238*$AC$51</f>
        <v>-3.30106919683942</v>
      </c>
      <c r="BW238" s="0" t="n">
        <f aca="false">-BU238*$AD$51</f>
        <v>-1.65053459841971</v>
      </c>
      <c r="BX238" s="0" t="n">
        <f aca="false">(-BV238+SQRT(BV238^2-4*$C238))/2</f>
        <v>4.84797404461471</v>
      </c>
      <c r="BY238" s="0" t="n">
        <f aca="false">(-BW238+SQRT(BW238^2-4*$D238))/2</f>
        <v>2.30189205406411</v>
      </c>
      <c r="BZ238" s="0" t="n">
        <f aca="false">IF(BX238&lt;&gt;0,($C$21-$B238)*$BU238/BX238/$AC$51-$AC$60*$AC$51,0)</f>
        <v>5.31064476991209E-005</v>
      </c>
      <c r="CA238" s="0" t="n">
        <f aca="false">IF(BY238&lt;&gt;0,($C$27-$B238)*$BU238/BY238/$AD$51-$AC$60*$AD$51,0)</f>
        <v>5.31064476141781E-005</v>
      </c>
      <c r="CB238" s="0" t="n">
        <f aca="false">BU238*1.001</f>
        <v>0.0315544116987331</v>
      </c>
      <c r="CC238" s="0" t="n">
        <f aca="false">-CB238*$AC$51</f>
        <v>-3.30437026603626</v>
      </c>
      <c r="CD238" s="0" t="n">
        <f aca="false">-CB238*$AD$51</f>
        <v>-1.65218513301813</v>
      </c>
      <c r="CE238" s="0" t="n">
        <f aca="false">(-CC238+SQRT(CC238^2-4*$C238))/2</f>
        <v>4.85047690602281</v>
      </c>
      <c r="CF238" s="0" t="n">
        <f aca="false">(-CD238+SQRT(CD238^2-4*$D238))/2</f>
        <v>2.30317871157467</v>
      </c>
      <c r="CG238" s="0" t="n">
        <f aca="false">IF(CE238&lt;&gt;0,($C$21-$B238)*$CB238/CE238/$AC$51-$AC$60*$AC$51,0)</f>
        <v>5.31439699608023E-005</v>
      </c>
      <c r="CH238" s="0" t="n">
        <f aca="false">IF(CF238&lt;&gt;0,($C$27-$B238)*$CB238/CF238/$AD$51-$AC$60*$AD$51,0)</f>
        <v>5.31352570182288E-005</v>
      </c>
      <c r="CI238" s="0" t="n">
        <f aca="false">(CG238-BZ238)/($CB238-$BU238)</f>
        <v>0.0011903179910847</v>
      </c>
      <c r="CJ238" s="0" t="n">
        <f aca="false">(CH238-CA238)/($CB238-$BU238)</f>
        <v>0.00091392017477791</v>
      </c>
      <c r="CK238" s="0" t="n">
        <f aca="false">IF(CI238&lt;&gt;CJ238,(CA238-BZ238)/(CI238-CJ238),0)</f>
        <v>-3.07320789000186E-010</v>
      </c>
      <c r="CL238" s="6" t="n">
        <f aca="false">IF(AND(BU238&gt;0,CE238&gt;0,CE238&lt;$C$15,CF238&lt;$C$15,CG238&gt;0,ABS(CK238)&lt;0.1*BU238),B238,"")</f>
        <v>1.75010757474946</v>
      </c>
      <c r="CM238" s="0" t="n">
        <f aca="false">CG238+BU238^2/$C$39</f>
        <v>0.000218759389781266</v>
      </c>
      <c r="CN238" s="0" t="n">
        <f aca="false">-BU238*$C$15/$C$39</f>
        <v>-0.0315228888099232</v>
      </c>
      <c r="CO238" s="0" t="n">
        <f aca="false">IF(CL238&lt;&gt;"",(-CM238+SQRT(CM238^2-4*$AC$60*CN238))/2/$AC$60,0)</f>
        <v>126.879972495464</v>
      </c>
      <c r="CP238" s="0" t="n">
        <f aca="false">CO238*30/PI()</f>
        <v>1211.61448812101</v>
      </c>
      <c r="DB238" s="6"/>
    </row>
    <row r="239" customFormat="false" ht="12.75" hidden="false" customHeight="false" outlineLevel="0" collapsed="false">
      <c r="A239" s="0" t="n">
        <f aca="false">A238+0.01</f>
        <v>0.900000000000001</v>
      </c>
      <c r="B239" s="0" t="n">
        <f aca="false">A239*$AC$68</f>
        <v>1.76977170480282</v>
      </c>
      <c r="C239" s="0" t="n">
        <f aca="false">$C$39*($B239-$C$21)</f>
        <v>-7.38136977118306</v>
      </c>
      <c r="D239" s="0" t="n">
        <f aca="false">$C$39*($B239-$C$27)</f>
        <v>-1.38136977118306</v>
      </c>
      <c r="E239" s="0" t="n">
        <f aca="false">$AC$71</f>
        <v>0.0474257507541105</v>
      </c>
      <c r="F239" s="0" t="n">
        <f aca="false">-E239*$AC$51</f>
        <v>-4.96641300533647</v>
      </c>
      <c r="G239" s="0" t="n">
        <f aca="false">-E239*$AD$51</f>
        <v>-2.48320650266823</v>
      </c>
      <c r="H239" s="0" t="n">
        <f aca="false">(-F239+SQRT(F239^2-4*$C239))/2</f>
        <v>6.16392440901162</v>
      </c>
      <c r="I239" s="0" t="n">
        <f aca="false">(-G239+SQRT(G239^2-4*$D239))/2</f>
        <v>2.95126649446316</v>
      </c>
      <c r="J239" s="0" t="n">
        <f aca="false">IF(H239&lt;&gt;0,($C$21-$B239)*$E239/H239/$AC$51-$AC$60*$AC$51,0)</f>
        <v>6.5886538445093E-005</v>
      </c>
      <c r="K239" s="0" t="n">
        <f aca="false">IF(I239&lt;&gt;0,($C$27-$B239)*$E239/I239/$AD$51-$AC$60*$AD$51,0)</f>
        <v>5.84076691367751E-005</v>
      </c>
      <c r="L239" s="0" t="n">
        <f aca="false">E239*1.001</f>
        <v>0.0474731765048646</v>
      </c>
      <c r="M239" s="0" t="n">
        <f aca="false">-L239*$AC$51</f>
        <v>-4.97137941834181</v>
      </c>
      <c r="N239" s="0" t="n">
        <f aca="false">-L239*$AD$51</f>
        <v>-2.4856897091709</v>
      </c>
      <c r="O239" s="0" t="n">
        <f aca="false">(-M239+SQRT(M239^2-4*$C239))/2</f>
        <v>6.16808337382182</v>
      </c>
      <c r="P239" s="0" t="n">
        <f aca="false">(-N239+SQRT(N239^2-4*$D239))/2</f>
        <v>2.95340999621338</v>
      </c>
      <c r="Q239" s="0" t="n">
        <f aca="false">IF(O239&lt;&gt;0,($C$21-$B239)*$L239/O239/$AC$51-$AC$60*$AC$51,0)</f>
        <v>6.59159196359489E-005</v>
      </c>
      <c r="R239" s="0" t="n">
        <f aca="false">IF(P239&lt;&gt;0,($C$27-$B239)*$L239/P239/$AD$51-$AC$60*$AD$51,0)</f>
        <v>5.84269944711073E-005</v>
      </c>
      <c r="S239" s="0" t="n">
        <f aca="false">(Q239-J239)/($L239-$E239)</f>
        <v>0.0006195197838449</v>
      </c>
      <c r="T239" s="0" t="n">
        <f aca="false">(R239-K239)/($L239-$E239)</f>
        <v>0.000407486102484401</v>
      </c>
      <c r="U239" s="0" t="n">
        <f aca="false">IF(S239&lt;&gt;T239,(K239-J239)/(S239-T239),0)</f>
        <v>-0.0352720815878414</v>
      </c>
      <c r="V239" s="0" t="n">
        <f aca="false">E239+U239</f>
        <v>0.0121536691662691</v>
      </c>
      <c r="W239" s="0" t="n">
        <f aca="false">-V239*$AC$51</f>
        <v>-1.27272925889706</v>
      </c>
      <c r="X239" s="0" t="n">
        <f aca="false">-V239*$AD$51</f>
        <v>-0.636364629448528</v>
      </c>
      <c r="Y239" s="0" t="n">
        <f aca="false">(-W239+SQRT(W239^2-4*$C239))/2</f>
        <v>3.42676419094438</v>
      </c>
      <c r="Z239" s="0" t="n">
        <f aca="false">(-X239+SQRT(X239^2-4*$D239))/2</f>
        <v>1.53580695170659</v>
      </c>
      <c r="AA239" s="0" t="n">
        <f aca="false">IF(Y239&lt;&gt;0,($C$21-$B239)*$V239/Y239/$AC$51-$AC$60*$AC$51,0)</f>
        <v>1.71637204434786E-005</v>
      </c>
      <c r="AB239" s="0" t="n">
        <f aca="false">IF(Z239&lt;&gt;0,($C$27-$B239)*$V239/Z239/$AD$51-$AC$60*$AD$51,0)</f>
        <v>2.25450563403713E-005</v>
      </c>
      <c r="AC239" s="0" t="n">
        <f aca="false">V239*1.001</f>
        <v>0.0121658228354353</v>
      </c>
      <c r="AD239" s="0" t="n">
        <f aca="false">-AC239*$AC$51</f>
        <v>-1.27400198815595</v>
      </c>
      <c r="AE239" s="0" t="n">
        <f aca="false">-AC239*$AD$51</f>
        <v>-0.637000994077976</v>
      </c>
      <c r="AF239" s="0" t="n">
        <f aca="false">(-AD239+SQRT(AD239^2-4*$C239))/2</f>
        <v>3.42754575050805</v>
      </c>
      <c r="AG239" s="0" t="n">
        <f aca="false">(-AE239+SQRT(AE239^2-4*$D239))/2</f>
        <v>1.53620831823303</v>
      </c>
      <c r="AH239" s="0" t="n">
        <f aca="false">IF(AF239&lt;&gt;0,($C$21-$B239)*$AC239/AF239/$AC$51-$AC$60*$AC$51,0)</f>
        <v>1.71958760197583E-005</v>
      </c>
      <c r="AI239" s="0" t="n">
        <f aca="false">IF(AG239&lt;&gt;0,($C$27-$B239)*$AC239/AG239/$AD$51-$AC$60*$AD$51,0)</f>
        <v>2.25707521578152E-005</v>
      </c>
      <c r="AJ239" s="0" t="n">
        <f aca="false">(AH239-AA239)/($AC239-$V239)</f>
        <v>0.00264575050051595</v>
      </c>
      <c r="AK239" s="0" t="n">
        <f aca="false">(AI239-AB239)/($AC239-$V239)</f>
        <v>0.00211424361584533</v>
      </c>
      <c r="AL239" s="0" t="n">
        <f aca="false">IF(AJ239&lt;&gt;AK239,(AB239-AA239)/(AJ239-AK239),0)</f>
        <v>0.0101246776892224</v>
      </c>
      <c r="AM239" s="0" t="n">
        <f aca="false">V239+AL239</f>
        <v>0.0222783468554915</v>
      </c>
      <c r="AN239" s="0" t="n">
        <f aca="false">-AM239*$AC$51</f>
        <v>-2.33298302717791</v>
      </c>
      <c r="AO239" s="0" t="n">
        <f aca="false">-AM239*$AD$51</f>
        <v>-1.16649151358896</v>
      </c>
      <c r="AP239" s="0" t="n">
        <f aca="false">(-AN239+SQRT(AN239^2-4*$C239))/2</f>
        <v>4.12319106248771</v>
      </c>
      <c r="AQ239" s="0" t="n">
        <f aca="false">(-AO239+SQRT(AO239^2-4*$D239))/2</f>
        <v>1.89532250150182</v>
      </c>
      <c r="AR239" s="0" t="n">
        <f aca="false">IF(AP239&lt;&gt;0,($C$21-$B239)*$AM239/AP239/$AC$51-$AC$60*$AC$51,0)</f>
        <v>3.89734347006265E-005</v>
      </c>
      <c r="AS239" s="0" t="n">
        <f aca="false">IF(AQ239&lt;&gt;0,($C$27-$B239)*$AM239/AQ239/$AD$51-$AC$60*$AD$51,0)</f>
        <v>3.94333856494735E-005</v>
      </c>
      <c r="AT239" s="0" t="n">
        <f aca="false">AM239*1.001</f>
        <v>0.022300625202347</v>
      </c>
      <c r="AU239" s="0" t="n">
        <f aca="false">-AT239*$AC$51</f>
        <v>-2.33531601020509</v>
      </c>
      <c r="AV239" s="0" t="n">
        <f aca="false">-AT239*$AD$51</f>
        <v>-1.16765800510254</v>
      </c>
      <c r="AW239" s="0" t="n">
        <f aca="false">(-AU239+SQRT(AU239^2-4*$C239))/2</f>
        <v>4.12481795817629</v>
      </c>
      <c r="AX239" s="0" t="n">
        <f aca="false">(-AV239+SQRT(AV239^2-4*$D239))/2</f>
        <v>1.89616511628246</v>
      </c>
      <c r="AY239" s="0" t="n">
        <f aca="false">IF(AW239&lt;&gt;0,($C$21-$B239)*$AT239/AW239/$AC$51-$AC$60*$AC$51,0)</f>
        <v>3.90118494302196E-005</v>
      </c>
      <c r="AZ239" s="0" t="n">
        <f aca="false">IF(AX239&lt;&gt;0,($C$27-$B239)*$AT239/AX239/$AD$51-$AC$60*$AD$51,0)</f>
        <v>3.94620796811587E-005</v>
      </c>
      <c r="BA239" s="0" t="n">
        <f aca="false">(AY239-AR239)/($AT239-$AM239)</f>
        <v>0.00172430790499214</v>
      </c>
      <c r="BB239" s="0" t="n">
        <f aca="false">(AZ239-AS239)/($AT239-$AM239)</f>
        <v>0.00128797849639909</v>
      </c>
      <c r="BC239" s="0" t="n">
        <f aca="false">IF(BA239&lt;&gt;BB239,(AS239-AR239)/(BA239-BB239),0)</f>
        <v>0.00105413694284358</v>
      </c>
      <c r="BD239" s="0" t="n">
        <f aca="false">AM239+BC239</f>
        <v>0.0233324837983351</v>
      </c>
      <c r="BE239" s="0" t="n">
        <f aca="false">-BD239*$AC$51</f>
        <v>-2.44337198969508</v>
      </c>
      <c r="BF239" s="0" t="n">
        <f aca="false">-BD239*$AD$51</f>
        <v>-1.22168599484754</v>
      </c>
      <c r="BG239" s="0" t="n">
        <f aca="false">(-BE239+SQRT(BE239^2-4*$C239))/2</f>
        <v>4.20059291537891</v>
      </c>
      <c r="BH239" s="0" t="n">
        <f aca="false">(-BF239+SQRT(BF239^2-4*$D239))/2</f>
        <v>1.93541800046615</v>
      </c>
      <c r="BI239" s="0" t="n">
        <f aca="false">IF(BG239&lt;&gt;0,($C$21-$B239)*$BD239/BG239/$AC$51-$AC$60*$AC$51,0)</f>
        <v>4.07519167441478E-005</v>
      </c>
      <c r="BJ239" s="0" t="n">
        <f aca="false">IF(BH239&lt;&gt;0,($C$27-$B239)*$BD239/BH239/$AD$51-$AC$60*$AD$51,0)</f>
        <v>4.07575258406618E-005</v>
      </c>
      <c r="BK239" s="0" t="n">
        <f aca="false">BD239*1.001</f>
        <v>0.0233558162821334</v>
      </c>
      <c r="BL239" s="0" t="n">
        <f aca="false">-BK239*$AC$51</f>
        <v>-2.44581536168477</v>
      </c>
      <c r="BM239" s="0" t="n">
        <f aca="false">-BK239*$AD$51</f>
        <v>-1.22290768084239</v>
      </c>
      <c r="BN239" s="0" t="n">
        <f aca="false">(-BL239+SQRT(BL239^2-4*$C239))/2</f>
        <v>4.2023158380183</v>
      </c>
      <c r="BO239" s="0" t="n">
        <f aca="false">(-BM239+SQRT(BM239^2-4*$D239))/2</f>
        <v>1.93631065160831</v>
      </c>
      <c r="BP239" s="0" t="n">
        <f aca="false">IF(BN239&lt;&gt;0,($C$21-$B239)*$BK239/BN239/$AC$51-$AC$60*$AC$51,0)</f>
        <v>4.07903902968612E-005</v>
      </c>
      <c r="BQ239" s="0" t="n">
        <f aca="false">IF(BO239&lt;&gt;0,($C$27-$B239)*$BK239/BO239/$AD$51-$AC$60*$AD$51,0)</f>
        <v>4.07860727080521E-005</v>
      </c>
      <c r="BR239" s="0" t="n">
        <f aca="false">(BP239-BI239)/($BK239-$BD239)</f>
        <v>0.00164892658003505</v>
      </c>
      <c r="BS239" s="0" t="n">
        <f aca="false">(BQ239-BJ239)/($BK239-$BD239)</f>
        <v>0.00122348171917933</v>
      </c>
      <c r="BT239" s="0" t="n">
        <f aca="false">IF(BR239&lt;&gt;BS239,(BJ239-BI239)/(BR239-BS239),0)</f>
        <v>1.31840739659288E-005</v>
      </c>
      <c r="BU239" s="0" t="n">
        <f aca="false">BD239+BT239</f>
        <v>0.023345667872301</v>
      </c>
      <c r="BV239" s="0" t="n">
        <f aca="false">-BU239*$AC$51</f>
        <v>-2.44475262269227</v>
      </c>
      <c r="BW239" s="0" t="n">
        <f aca="false">-BU239*$AD$51</f>
        <v>-1.22237631134613</v>
      </c>
      <c r="BX239" s="0" t="n">
        <f aca="false">(-BV239+SQRT(BV239^2-4*$C239))/2</f>
        <v>4.20156640560384</v>
      </c>
      <c r="BY239" s="0" t="n">
        <f aca="false">(-BW239+SQRT(BW239^2-4*$D239))/2</f>
        <v>1.93592236781455</v>
      </c>
      <c r="BZ239" s="0" t="n">
        <f aca="false">IF(BX239&lt;&gt;0,($C$21-$B239)*$BU239/BX239/$AC$51-$AC$60*$AC$51,0)</f>
        <v>4.07736609870008E-005</v>
      </c>
      <c r="CA239" s="0" t="n">
        <f aca="false">IF(BY239&lt;&gt;0,($C$27-$B239)*$BU239/BY239/$AD$51-$AC$60*$AD$51,0)</f>
        <v>4.07736602954152E-005</v>
      </c>
      <c r="CB239" s="0" t="n">
        <f aca="false">BU239*1.001</f>
        <v>0.0233690135401733</v>
      </c>
      <c r="CC239" s="0" t="n">
        <f aca="false">-CB239*$AC$51</f>
        <v>-2.44719737531496</v>
      </c>
      <c r="CD239" s="0" t="n">
        <f aca="false">-CB239*$AD$51</f>
        <v>-1.22359868765748</v>
      </c>
      <c r="CE239" s="0" t="n">
        <f aca="false">(-CC239+SQRT(CC239^2-4*$C239))/2</f>
        <v>4.20329053743325</v>
      </c>
      <c r="CF239" s="0" t="n">
        <f aca="false">(-CD239+SQRT(CD239^2-4*$D239))/2</f>
        <v>1.93681564874439</v>
      </c>
      <c r="CG239" s="0" t="n">
        <f aca="false">IF(CE239&lt;&gt;0,($C$21-$B239)*$CB239/CE239/$AC$51-$AC$60*$AC$51,0)</f>
        <v>4.08121347751067E-005</v>
      </c>
      <c r="CH239" s="0" t="n">
        <f aca="false">IF(CF239&lt;&gt;0,($C$27-$B239)*$CB239/CF239/$AD$51-$AC$60*$AD$51,0)</f>
        <v>4.08022049726172E-005</v>
      </c>
      <c r="CI239" s="0" t="n">
        <f aca="false">(CG239-BZ239)/($CB239-$BU239)</f>
        <v>0.00164800545935721</v>
      </c>
      <c r="CJ239" s="0" t="n">
        <f aca="false">(CH239-CA239)/($CB239-$BU239)</f>
        <v>0.00122269696280104</v>
      </c>
      <c r="CK239" s="0" t="n">
        <f aca="false">IF(CI239&lt;&gt;CJ239,(CA239-BZ239)/(CI239-CJ239),0)</f>
        <v>-1.62607997672448E-009</v>
      </c>
      <c r="CL239" s="6" t="n">
        <f aca="false">IF(AND(BU239&gt;0,CE239&gt;0,CE239&lt;$C$15,CF239&lt;$C$15,CG239&gt;0,ABS(CK239)&lt;0.1*BU239),B239,"")</f>
        <v>1.76977170480282</v>
      </c>
      <c r="CM239" s="0" t="n">
        <f aca="false">CG239+BU239^2/$C$39</f>
        <v>0.000131648836175738</v>
      </c>
      <c r="CN239" s="0" t="n">
        <f aca="false">-BU239*$C$15/$C$39</f>
        <v>-0.023345667872301</v>
      </c>
      <c r="CO239" s="0" t="n">
        <f aca="false">IF(CL239&lt;&gt;"",(-CM239+SQRT(CM239^2-4*$AC$60*CN239))/2/$AC$60,0)</f>
        <v>141.664670440506</v>
      </c>
      <c r="CP239" s="0" t="n">
        <f aca="false">CO239*30/PI()</f>
        <v>1352.79795372545</v>
      </c>
      <c r="DB239" s="6"/>
    </row>
    <row r="240" customFormat="false" ht="12.75" hidden="false" customHeight="false" outlineLevel="0" collapsed="false">
      <c r="A240" s="0" t="n">
        <f aca="false">A239+0.01</f>
        <v>0.910000000000001</v>
      </c>
      <c r="B240" s="0" t="n">
        <f aca="false">A240*$AC$68</f>
        <v>1.78943583485619</v>
      </c>
      <c r="C240" s="0" t="n">
        <f aca="false">$C$39*($B240-$C$21)</f>
        <v>-7.26338499086287</v>
      </c>
      <c r="D240" s="0" t="n">
        <f aca="false">$C$39*($B240-$C$27)</f>
        <v>-1.26338499086287</v>
      </c>
      <c r="E240" s="0" t="n">
        <f aca="false">$AC$71</f>
        <v>0.0474257507541105</v>
      </c>
      <c r="F240" s="0" t="n">
        <f aca="false">-E240*$AC$51</f>
        <v>-4.96641300533647</v>
      </c>
      <c r="G240" s="0" t="n">
        <f aca="false">-E240*$AD$51</f>
        <v>-2.48320650266823</v>
      </c>
      <c r="H240" s="0" t="n">
        <f aca="false">(-F240+SQRT(F240^2-4*$C240))/2</f>
        <v>6.14786194701176</v>
      </c>
      <c r="I240" s="0" t="n">
        <f aca="false">(-G240+SQRT(G240^2-4*$D240))/2</f>
        <v>2.91640581420125</v>
      </c>
      <c r="J240" s="0" t="n">
        <f aca="false">IF(H240&lt;&gt;0,($C$21-$B240)*$E240/H240/$AC$51-$AC$60*$AC$51,0)</f>
        <v>6.46741369607181E-005</v>
      </c>
      <c r="K240" s="0" t="n">
        <f aca="false">IF(I240&lt;&gt;0,($C$27-$B240)*$E240/I240/$AD$51-$AC$60*$AD$51,0)</f>
        <v>5.31450710996593E-005</v>
      </c>
      <c r="L240" s="0" t="n">
        <f aca="false">E240*1.001</f>
        <v>0.0474731765048646</v>
      </c>
      <c r="M240" s="0" t="n">
        <f aca="false">-L240*$AC$51</f>
        <v>-4.97137941834181</v>
      </c>
      <c r="N240" s="0" t="n">
        <f aca="false">-L240*$AD$51</f>
        <v>-2.4856897091709</v>
      </c>
      <c r="O240" s="0" t="n">
        <f aca="false">(-M240+SQRT(M240^2-4*$C240))/2</f>
        <v>6.15202825343288</v>
      </c>
      <c r="P240" s="0" t="n">
        <f aca="false">(-N240+SQRT(N240^2-4*$D240))/2</f>
        <v>2.91856807857932</v>
      </c>
      <c r="Q240" s="0" t="n">
        <f aca="false">IF(O240&lt;&gt;0,($C$21-$B240)*$L240/O240/$AC$51-$AC$60*$AC$51,0)</f>
        <v>6.47028604521617E-005</v>
      </c>
      <c r="R240" s="0" t="n">
        <f aca="false">IF(P240&lt;&gt;0,($C$27-$B240)*$L240/P240/$AD$51-$AC$60*$AD$51,0)</f>
        <v>5.31619690906847E-005</v>
      </c>
      <c r="S240" s="0" t="n">
        <f aca="false">(Q240-J240)/($L240-$E240)</f>
        <v>0.000605651802804894</v>
      </c>
      <c r="T240" s="0" t="n">
        <f aca="false">(R240-K240)/($L240-$E240)</f>
        <v>0.000356304133445246</v>
      </c>
      <c r="U240" s="0" t="n">
        <f aca="false">IF(S240&lt;&gt;T240,(K240-J240)/(S240-T240),0)</f>
        <v>-0.0462369104578626</v>
      </c>
      <c r="V240" s="0" t="n">
        <f aca="false">E240+U240</f>
        <v>0.00118884029624784</v>
      </c>
      <c r="W240" s="0" t="n">
        <f aca="false">-V240*$AC$51</f>
        <v>-0.124495064699458</v>
      </c>
      <c r="X240" s="0" t="n">
        <f aca="false">-V240*$AD$51</f>
        <v>-0.0622475323497289</v>
      </c>
      <c r="Y240" s="0" t="n">
        <f aca="false">(-W240+SQRT(W240^2-4*$C240))/2</f>
        <v>2.75803308504981</v>
      </c>
      <c r="Z240" s="0" t="n">
        <f aca="false">(-X240+SQRT(X240^2-4*$D240))/2</f>
        <v>1.15555859295843</v>
      </c>
      <c r="AA240" s="0" t="n">
        <f aca="false">IF(Y240&lt;&gt;0,($C$21-$B240)*$V240/Y240/$AC$51-$AC$60*$AC$51,0)</f>
        <v>-1.95192209144023E-005</v>
      </c>
      <c r="AB240" s="0" t="n">
        <f aca="false">IF(Z240&lt;&gt;0,($C$27-$B240)*$V240/Z240/$AD$51-$AC$60*$AD$51,0)</f>
        <v>-8.11376304117493E-006</v>
      </c>
      <c r="AC240" s="0" t="n">
        <f aca="false">V240*1.001</f>
        <v>0.00119002913654409</v>
      </c>
      <c r="AD240" s="0" t="n">
        <f aca="false">-AC240*$AC$51</f>
        <v>-0.124619559764157</v>
      </c>
      <c r="AE240" s="0" t="n">
        <f aca="false">-AC240*$AD$51</f>
        <v>-0.0623097798820786</v>
      </c>
      <c r="AF240" s="0" t="n">
        <f aca="false">(-AD240+SQRT(AD240^2-4*$C240))/2</f>
        <v>2.75809677063855</v>
      </c>
      <c r="AG240" s="0" t="n">
        <f aca="false">(-AE240+SQRT(AE240^2-4*$D240))/2</f>
        <v>1.15559057864454</v>
      </c>
      <c r="AH240" s="0" t="n">
        <f aca="false">IF(AF240&lt;&gt;0,($C$21-$B240)*$AC240/AF240/$AC$51-$AC$60*$AC$51,0)</f>
        <v>-1.9514353174677E-005</v>
      </c>
      <c r="AI240" s="0" t="n">
        <f aca="false">IF(AG240&lt;&gt;0,($C$27-$B240)*$AC240/AG240/$AD$51-$AC$60*$AD$51,0)</f>
        <v>-8.10974036890075E-006</v>
      </c>
      <c r="AJ240" s="0" t="n">
        <f aca="false">(AH240-AA240)/($AC240-$V240)</f>
        <v>0.00409452786944121</v>
      </c>
      <c r="AK240" s="0" t="n">
        <f aca="false">(AI240-AB240)/($AC240-$V240)</f>
        <v>0.00338369441789083</v>
      </c>
      <c r="AL240" s="0" t="n">
        <f aca="false">IF(AJ240&lt;&gt;AK240,(AB240-AA240)/(AJ240-AK240),0)</f>
        <v>0.0160451901192203</v>
      </c>
      <c r="AM240" s="0" t="n">
        <f aca="false">V240+AL240</f>
        <v>0.0172340304154681</v>
      </c>
      <c r="AN240" s="0" t="n">
        <f aca="false">-AM240*$AC$51</f>
        <v>-1.80474344483259</v>
      </c>
      <c r="AO240" s="0" t="n">
        <f aca="false">-AM240*$AD$51</f>
        <v>-0.902371722416295</v>
      </c>
      <c r="AP240" s="0" t="n">
        <f aca="false">(-AN240+SQRT(AN240^2-4*$C240))/2</f>
        <v>3.74449411884461</v>
      </c>
      <c r="AQ240" s="0" t="n">
        <f aca="false">(-AO240+SQRT(AO240^2-4*$D240))/2</f>
        <v>1.66236449056759</v>
      </c>
      <c r="AR240" s="0" t="n">
        <f aca="false">IF(AP240&lt;&gt;0,($C$21-$B240)*$AM240/AP240/$AC$51-$AC$60*$AC$51,0)</f>
        <v>2.8702922015925E-005</v>
      </c>
      <c r="AS240" s="0" t="n">
        <f aca="false">IF(AQ240&lt;&gt;0,($C$27-$B240)*$AM240/AQ240/$AD$51-$AC$60*$AD$51,0)</f>
        <v>2.94403298587716E-005</v>
      </c>
      <c r="AT240" s="0" t="n">
        <f aca="false">AM240*1.001</f>
        <v>0.0172512644458836</v>
      </c>
      <c r="AU240" s="0" t="n">
        <f aca="false">-AT240*$AC$51</f>
        <v>-1.80654818827742</v>
      </c>
      <c r="AV240" s="0" t="n">
        <f aca="false">-AT240*$AD$51</f>
        <v>-0.903274094138711</v>
      </c>
      <c r="AW240" s="0" t="n">
        <f aca="false">(-AU240+SQRT(AU240^2-4*$C240))/2</f>
        <v>3.74568312170758</v>
      </c>
      <c r="AX240" s="0" t="n">
        <f aca="false">(-AV240+SQRT(AV240^2-4*$D240))/2</f>
        <v>1.66298382365664</v>
      </c>
      <c r="AY240" s="0" t="n">
        <f aca="false">IF(AW240&lt;&gt;0,($C$21-$B240)*$AT240/AW240/$AC$51-$AC$60*$AC$51,0)</f>
        <v>2.87392211498698E-005</v>
      </c>
      <c r="AZ240" s="0" t="n">
        <f aca="false">IF(AX240&lt;&gt;0,($C$27-$B240)*$AT240/AX240/$AD$51-$AC$60*$AD$51,0)</f>
        <v>2.94664789018689E-005</v>
      </c>
      <c r="BA240" s="0" t="n">
        <f aca="false">(AY240-AR240)/($AT240-$AM240)</f>
        <v>0.00210624752711365</v>
      </c>
      <c r="BB240" s="0" t="n">
        <f aca="false">(AZ240-AS240)/($AT240-$AM240)</f>
        <v>0.00151729122363523</v>
      </c>
      <c r="BC240" s="0" t="n">
        <f aca="false">IF(BA240&lt;&gt;BB240,(AS240-AR240)/(BA240-BB240),0)</f>
        <v>0.0012520586646096</v>
      </c>
      <c r="BD240" s="0" t="n">
        <f aca="false">AM240+BC240</f>
        <v>0.0184860890800777</v>
      </c>
      <c r="BE240" s="0" t="n">
        <f aca="false">-BD240*$AC$51</f>
        <v>-1.93585872158596</v>
      </c>
      <c r="BF240" s="0" t="n">
        <f aca="false">-BD240*$AD$51</f>
        <v>-0.967929360792977</v>
      </c>
      <c r="BG240" s="0" t="n">
        <f aca="false">(-BE240+SQRT(BE240^2-4*$C240))/2</f>
        <v>3.83154110793119</v>
      </c>
      <c r="BH240" s="0" t="n">
        <f aca="false">(-BF240+SQRT(BF240^2-4*$D240))/2</f>
        <v>1.70773214308462</v>
      </c>
      <c r="BI240" s="0" t="n">
        <f aca="false">IF(BG240&lt;&gt;0,($C$21-$B240)*$BD240/BG240/$AC$51-$AC$60*$AC$51,0)</f>
        <v>3.12717326879899E-005</v>
      </c>
      <c r="BJ240" s="0" t="n">
        <f aca="false">IF(BH240&lt;&gt;0,($C$27-$B240)*$BD240/BH240/$AD$51-$AC$60*$AD$51,0)</f>
        <v>3.12811848550954E-005</v>
      </c>
      <c r="BK240" s="0" t="n">
        <f aca="false">BD240*1.001</f>
        <v>0.0185045751691578</v>
      </c>
      <c r="BL240" s="0" t="n">
        <f aca="false">-BK240*$AC$51</f>
        <v>-1.93779458030754</v>
      </c>
      <c r="BM240" s="0" t="n">
        <f aca="false">-BK240*$AD$51</f>
        <v>-0.96889729015377</v>
      </c>
      <c r="BN240" s="0" t="n">
        <f aca="false">(-BL240+SQRT(BL240^2-4*$C240))/2</f>
        <v>3.83283635195837</v>
      </c>
      <c r="BO240" s="0" t="n">
        <f aca="false">(-BM240+SQRT(BM240^2-4*$D240))/2</f>
        <v>1.70840758253341</v>
      </c>
      <c r="BP240" s="0" t="n">
        <f aca="false">IF(BN240&lt;&gt;0,($C$21-$B240)*$BK240/BN240/$AC$51-$AC$60*$AC$51,0)</f>
        <v>3.13086398450458E-005</v>
      </c>
      <c r="BQ240" s="0" t="n">
        <f aca="false">IF(BO240&lt;&gt;0,($C$27-$B240)*$BK240/BO240/$AD$51-$AC$60*$AD$51,0)</f>
        <v>3.13074888972913E-005</v>
      </c>
      <c r="BR240" s="0" t="n">
        <f aca="false">(BP240-BI240)/($BK240-$BD240)</f>
        <v>0.0019964827009108</v>
      </c>
      <c r="BS240" s="0" t="n">
        <f aca="false">(BQ240-BJ240)/($BK240-$BD240)</f>
        <v>0.00142291006399007</v>
      </c>
      <c r="BT240" s="0" t="n">
        <f aca="false">IF(BR240&lt;&gt;BS240,(BJ240-BI240)/(BR240-BS240),0)</f>
        <v>1.6479459613391E-005</v>
      </c>
      <c r="BU240" s="0" t="n">
        <f aca="false">BD240+BT240</f>
        <v>0.0185025685396911</v>
      </c>
      <c r="BV240" s="0" t="n">
        <f aca="false">-BU240*$AC$51</f>
        <v>-1.93758444656117</v>
      </c>
      <c r="BW240" s="0" t="n">
        <f aca="false">-BU240*$AD$51</f>
        <v>-0.968792223280587</v>
      </c>
      <c r="BX240" s="0" t="n">
        <f aca="false">(-BV240+SQRT(BV240^2-4*$C240))/2</f>
        <v>3.83269574168895</v>
      </c>
      <c r="BY240" s="0" t="n">
        <f aca="false">(-BW240+SQRT(BW240^2-4*$D240))/2</f>
        <v>1.70833425706885</v>
      </c>
      <c r="BZ240" s="0" t="n">
        <f aca="false">IF(BX240&lt;&gt;0,($C$21-$B240)*$BU240/BX240/$AC$51-$AC$60*$AC$51,0)</f>
        <v>3.13046350550561E-005</v>
      </c>
      <c r="CA240" s="0" t="n">
        <f aca="false">IF(BY240&lt;&gt;0,($C$27-$B240)*$BU240/BY240/$AD$51-$AC$60*$AD$51,0)</f>
        <v>3.1304634849508E-005</v>
      </c>
      <c r="CB240" s="0" t="n">
        <f aca="false">BU240*1.001</f>
        <v>0.0185210711082308</v>
      </c>
      <c r="CC240" s="0" t="n">
        <f aca="false">-CB240*$AC$51</f>
        <v>-1.93952203100773</v>
      </c>
      <c r="CD240" s="0" t="n">
        <f aca="false">-CB240*$AD$51</f>
        <v>-0.969761015503867</v>
      </c>
      <c r="CE240" s="0" t="n">
        <f aca="false">(-CC240+SQRT(CC240^2-4*$C240))/2</f>
        <v>3.83399239897378</v>
      </c>
      <c r="CF240" s="0" t="n">
        <f aca="false">(-CD240+SQRT(CD240^2-4*$D240))/2</f>
        <v>1.70901044271008</v>
      </c>
      <c r="CG240" s="0" t="n">
        <f aca="false">IF(CE240&lt;&gt;0,($C$21-$B240)*$CB240/CE240/$AC$51-$AC$60*$AC$51,0)</f>
        <v>3.13415490850534E-005</v>
      </c>
      <c r="CH240" s="0" t="n">
        <f aca="false">IF(CF240&lt;&gt;0,($C$27-$B240)*$CB240/CF240/$AD$51-$AC$60*$AD$51,0)</f>
        <v>3.13309401053654E-005</v>
      </c>
      <c r="CI240" s="0" t="n">
        <f aca="false">(CG240-BZ240)/($CB240-$BU240)</f>
        <v>0.00199507597651087</v>
      </c>
      <c r="CJ240" s="0" t="n">
        <f aca="false">(CH240-CA240)/($CB240-$BU240)</f>
        <v>0.00142170833205851</v>
      </c>
      <c r="CK240" s="0" t="n">
        <f aca="false">IF(CI240&lt;&gt;CJ240,(CA240-BZ240)/(CI240-CJ240),0)</f>
        <v>-3.58492596342633E-010</v>
      </c>
      <c r="CL240" s="6" t="n">
        <f aca="false">IF(AND(BU240&gt;0,CE240&gt;0,CE240&lt;$C$15,CF240&lt;$C$15,CG240&gt;0,ABS(CK240)&lt;0.1*BU240),B240,"")</f>
        <v>1.78943583485619</v>
      </c>
      <c r="CM240" s="0" t="n">
        <f aca="false">CG240+BU240^2/$C$39</f>
        <v>8.83990561793812E-005</v>
      </c>
      <c r="CN240" s="0" t="n">
        <f aca="false">-BU240*$C$15/$C$39</f>
        <v>-0.0185025685396911</v>
      </c>
      <c r="CO240" s="0" t="n">
        <f aca="false">IF(CL240&lt;&gt;"",(-CM240+SQRT(CM240^2-4*$AC$60*CN240))/2/$AC$60,0)</f>
        <v>149.862525731052</v>
      </c>
      <c r="CP240" s="0" t="n">
        <f aca="false">CO240*30/PI()</f>
        <v>1431.08170525999</v>
      </c>
      <c r="DB240" s="6"/>
    </row>
    <row r="241" customFormat="false" ht="12.75" hidden="false" customHeight="false" outlineLevel="0" collapsed="false">
      <c r="A241" s="0" t="n">
        <f aca="false">A240+0.01</f>
        <v>0.92</v>
      </c>
      <c r="B241" s="0" t="n">
        <f aca="false">A241*$AC$68</f>
        <v>1.80909996490955</v>
      </c>
      <c r="C241" s="0" t="n">
        <f aca="false">$C$39*($B241-$C$21)</f>
        <v>-7.14540021054268</v>
      </c>
      <c r="D241" s="0" t="n">
        <f aca="false">$C$39*($B241-$C$27)</f>
        <v>-1.14540021054268</v>
      </c>
      <c r="E241" s="0" t="n">
        <f aca="false">$AC$71</f>
        <v>0.0474257507541105</v>
      </c>
      <c r="F241" s="0" t="n">
        <f aca="false">-E241*$AC$51</f>
        <v>-4.96641300533647</v>
      </c>
      <c r="G241" s="0" t="n">
        <f aca="false">-E241*$AD$51</f>
        <v>-2.48320650266823</v>
      </c>
      <c r="H241" s="0" t="n">
        <f aca="false">(-F241+SQRT(F241^2-4*$C241))/2</f>
        <v>6.13172877140067</v>
      </c>
      <c r="I241" s="0" t="n">
        <f aca="false">(-G241+SQRT(G241^2-4*$D241))/2</f>
        <v>2.88080392369432</v>
      </c>
      <c r="J241" s="0" t="n">
        <f aca="false">IF(H241&lt;&gt;0,($C$21-$B241)*$E241/H241/$AC$51-$AC$60*$AC$51,0)</f>
        <v>6.34563979827992E-005</v>
      </c>
      <c r="K241" s="0" t="n">
        <f aca="false">IF(I241&lt;&gt;0,($C$27-$B241)*$E241/I241/$AD$51-$AC$60*$AD$51,0)</f>
        <v>4.77705793315185E-005</v>
      </c>
      <c r="L241" s="0" t="n">
        <f aca="false">E241*1.001</f>
        <v>0.0474731765048646</v>
      </c>
      <c r="M241" s="0" t="n">
        <f aca="false">-L241*$AC$51</f>
        <v>-4.97137941834181</v>
      </c>
      <c r="N241" s="0" t="n">
        <f aca="false">-L241*$AD$51</f>
        <v>-2.4856897091709</v>
      </c>
      <c r="O241" s="0" t="n">
        <f aca="false">(-M241+SQRT(M241^2-4*$C241))/2</f>
        <v>6.13590251677826</v>
      </c>
      <c r="P241" s="0" t="n">
        <f aca="false">(-N241+SQRT(N241^2-4*$D241))/2</f>
        <v>2.88298617261637</v>
      </c>
      <c r="Q241" s="0" t="n">
        <f aca="false">IF(O241&lt;&gt;0,($C$21-$B241)*$L241/O241/$AC$51-$AC$60*$AC$51,0)</f>
        <v>6.34844657923693E-005</v>
      </c>
      <c r="R241" s="0" t="n">
        <f aca="false">IF(P241&lt;&gt;0,($C$27-$B241)*$L241/P241/$AD$51-$AC$60*$AD$51,0)</f>
        <v>4.7785122731472E-005</v>
      </c>
      <c r="S241" s="0" t="n">
        <f aca="false">(Q241-J241)/($L241-$E241)</f>
        <v>0.000591826362763676</v>
      </c>
      <c r="T241" s="0" t="n">
        <f aca="false">(R241-K241)/($L241-$E241)</f>
        <v>0.000306656188299918</v>
      </c>
      <c r="U241" s="0" t="n">
        <f aca="false">IF(S241&lt;&gt;T241,(K241-J241)/(S241-T241),0)</f>
        <v>-0.055005116438901</v>
      </c>
      <c r="V241" s="0" t="n">
        <f aca="false">E241+U241</f>
        <v>-0.00757936568479051</v>
      </c>
      <c r="W241" s="0" t="n">
        <f aca="false">-V241*$AC$51</f>
        <v>0.793709318473615</v>
      </c>
      <c r="X241" s="0" t="n">
        <f aca="false">-V241*$AD$51</f>
        <v>0.396854659236807</v>
      </c>
      <c r="Y241" s="0" t="n">
        <f aca="false">(-W241+SQRT(W241^2-4*$C241))/2</f>
        <v>2.30553203239351</v>
      </c>
      <c r="Z241" s="0" t="n">
        <f aca="false">(-X241+SQRT(X241^2-4*$D241))/2</f>
        <v>0.890045736507797</v>
      </c>
      <c r="AA241" s="0" t="n">
        <f aca="false">IF(Y241&lt;&gt;0,($C$21-$B241)*$V241/Y241/$AC$51-$AC$60*$AC$51,0)</f>
        <v>-6.18880805969589E-005</v>
      </c>
      <c r="AB241" s="0" t="n">
        <f aca="false">IF(Z241&lt;&gt;0,($C$27-$B241)*$V241/Z241/$AD$51-$AC$60*$AD$51,0)</f>
        <v>-4.32986586125483E-005</v>
      </c>
      <c r="AC241" s="0" t="n">
        <f aca="false">V241*1.001</f>
        <v>-0.0075869450504753</v>
      </c>
      <c r="AD241" s="0" t="n">
        <f aca="false">-AC241*$AC$51</f>
        <v>0.794503027792088</v>
      </c>
      <c r="AE241" s="0" t="n">
        <f aca="false">-AC241*$AD$51</f>
        <v>0.397251513896044</v>
      </c>
      <c r="AF241" s="0" t="n">
        <f aca="false">(-AD241+SQRT(AD241^2-4*$C241))/2</f>
        <v>2.30519348569884</v>
      </c>
      <c r="AG241" s="0" t="n">
        <f aca="false">(-AE241+SQRT(AE241^2-4*$D241))/2</f>
        <v>0.889883499726378</v>
      </c>
      <c r="AH241" s="0" t="n">
        <f aca="false">IF(AF241&lt;&gt;0,($C$21-$B241)*$AC241/AF241/$AC$51-$AC$60*$AC$51,0)</f>
        <v>-6.19309626321723E-005</v>
      </c>
      <c r="AI241" s="0" t="n">
        <f aca="false">IF(AG241&lt;&gt;0,($C$27-$B241)*$AC241/AG241/$AD$51-$AC$60*$AD$51,0)</f>
        <v>-4.33353722254126E-005</v>
      </c>
      <c r="AJ241" s="0" t="n">
        <f aca="false">(AH241-AA241)/($AC241-$V241)</f>
        <v>0.00565773403695719</v>
      </c>
      <c r="AK241" s="0" t="n">
        <f aca="false">(AI241-AB241)/($AC241-$V241)</f>
        <v>0.00484388989674401</v>
      </c>
      <c r="AL241" s="0" t="n">
        <f aca="false">IF(AJ241&lt;&gt;AK241,(AB241-AA241)/(AJ241-AK241),0)</f>
        <v>0.0228415012972156</v>
      </c>
      <c r="AM241" s="0" t="n">
        <f aca="false">V241+AL241</f>
        <v>0.0152621356124251</v>
      </c>
      <c r="AN241" s="0" t="n">
        <f aca="false">-AM241*$AC$51</f>
        <v>-1.59824710393619</v>
      </c>
      <c r="AO241" s="0" t="n">
        <f aca="false">-AM241*$AD$51</f>
        <v>-0.799123551968096</v>
      </c>
      <c r="AP241" s="0" t="n">
        <f aca="false">(-AN241+SQRT(AN241^2-4*$C241))/2</f>
        <v>3.58910539095071</v>
      </c>
      <c r="AQ241" s="0" t="n">
        <f aca="false">(-AO241+SQRT(AO241^2-4*$D241))/2</f>
        <v>1.54194954875221</v>
      </c>
      <c r="AR241" s="0" t="n">
        <f aca="false">IF(AP241&lt;&gt;0,($C$21-$B241)*$AM241/AP241/$AC$51-$AC$60*$AC$51,0)</f>
        <v>2.38566970457133E-005</v>
      </c>
      <c r="AS241" s="0" t="n">
        <f aca="false">IF(AQ241&lt;&gt;0,($C$27-$B241)*$AM241/AQ241/$AD$51-$AC$60*$AD$51,0)</f>
        <v>2.38360788414116E-005</v>
      </c>
      <c r="AT241" s="0" t="n">
        <f aca="false">AM241*1.001</f>
        <v>0.0152773977480375</v>
      </c>
      <c r="AU241" s="0" t="n">
        <f aca="false">-AT241*$AC$51</f>
        <v>-1.59984535104013</v>
      </c>
      <c r="AV241" s="0" t="n">
        <f aca="false">-AT241*$AD$51</f>
        <v>-0.799922675520064</v>
      </c>
      <c r="AW241" s="0" t="n">
        <f aca="false">(-AU241+SQRT(AU241^2-4*$C241))/2</f>
        <v>3.59013350937364</v>
      </c>
      <c r="AX241" s="0" t="n">
        <f aca="false">(-AV241+SQRT(AV241^2-4*$D241))/2</f>
        <v>1.5424889226548</v>
      </c>
      <c r="AY241" s="0" t="n">
        <f aca="false">IF(AW241&lt;&gt;0,($C$21-$B241)*$AT241/AW241/$AC$51-$AC$60*$AC$51,0)</f>
        <v>2.38911933489012E-005</v>
      </c>
      <c r="AZ241" s="0" t="n">
        <f aca="false">IF(AX241&lt;&gt;0,($C$27-$B241)*$AT241/AX241/$AD$51-$AC$60*$AD$51,0)</f>
        <v>2.38595344997461E-005</v>
      </c>
      <c r="BA241" s="0" t="n">
        <f aca="false">(AY241-AR241)/($AT241-$AM241)</f>
        <v>0.0022602540079573</v>
      </c>
      <c r="BB241" s="0" t="n">
        <f aca="false">(AZ241-AS241)/($AT241-$AM241)</f>
        <v>0.00153685296279381</v>
      </c>
      <c r="BC241" s="0" t="n">
        <f aca="false">IF(BA241&lt;&gt;BB241,(AS241-AR241)/(BA241-BB241),0)</f>
        <v>-2.85017618367339E-005</v>
      </c>
      <c r="BD241" s="0" t="n">
        <f aca="false">AM241+BC241</f>
        <v>0.0152336338505883</v>
      </c>
      <c r="BE241" s="0" t="n">
        <f aca="false">-BD241*$AC$51</f>
        <v>-1.59526240641617</v>
      </c>
      <c r="BF241" s="0" t="n">
        <f aca="false">-BD241*$AD$51</f>
        <v>-0.797631203208085</v>
      </c>
      <c r="BG241" s="0" t="n">
        <f aca="false">(-BE241+SQRT(BE241^2-4*$C241))/2</f>
        <v>3.58718596102767</v>
      </c>
      <c r="BH241" s="0" t="n">
        <f aca="false">(-BF241+SQRT(BF241^2-4*$D241))/2</f>
        <v>1.54094260619919</v>
      </c>
      <c r="BI241" s="0" t="n">
        <f aca="false">IF(BG241&lt;&gt;0,($C$21-$B241)*$BD241/BG241/$AC$51-$AC$60*$AC$51,0)</f>
        <v>2.37922153055749E-005</v>
      </c>
      <c r="BJ241" s="0" t="n">
        <f aca="false">IF(BH241&lt;&gt;0,($C$27-$B241)*$BD241/BH241/$AD$51-$AC$60*$AD$51,0)</f>
        <v>2.37922241767888E-005</v>
      </c>
      <c r="BK241" s="0" t="n">
        <f aca="false">BD241*1.001</f>
        <v>0.0152488674844389</v>
      </c>
      <c r="BL241" s="0" t="n">
        <f aca="false">-BK241*$AC$51</f>
        <v>-1.59685766882259</v>
      </c>
      <c r="BM241" s="0" t="n">
        <f aca="false">-BK241*$AD$51</f>
        <v>-0.798428834411293</v>
      </c>
      <c r="BN241" s="0" t="n">
        <f aca="false">(-BL241+SQRT(BL241^2-4*$C241))/2</f>
        <v>3.58821176757331</v>
      </c>
      <c r="BO241" s="0" t="n">
        <f aca="false">(-BM241+SQRT(BM241^2-4*$D241))/2</f>
        <v>1.5414807440522</v>
      </c>
      <c r="BP241" s="0" t="n">
        <f aca="false">IF(BN241&lt;&gt;0,($C$21-$B241)*$BK241/BN241/$AC$51-$AC$60*$AC$51,0)</f>
        <v>2.38266893439347E-005</v>
      </c>
      <c r="BQ241" s="0" t="n">
        <f aca="false">IF(BO241&lt;&gt;0,($C$27-$B241)*$BK241/BO241/$AD$51-$AC$60*$AD$51,0)</f>
        <v>2.38156720099493E-005</v>
      </c>
      <c r="BR241" s="0" t="n">
        <f aca="false">(BP241-BI241)/($BK241-$BD241)</f>
        <v>0.00226302133147791</v>
      </c>
      <c r="BS241" s="0" t="n">
        <f aca="false">(BQ241-BJ241)/($BK241-$BD241)</f>
        <v>0.00153921470021741</v>
      </c>
      <c r="BT241" s="0" t="n">
        <f aca="false">IF(BR241&lt;&gt;BS241,(BJ241-BI241)/(BR241-BS241),0)</f>
        <v>1.22563312855411E-008</v>
      </c>
      <c r="BU241" s="0" t="n">
        <f aca="false">BD241+BT241</f>
        <v>0.0152336461069196</v>
      </c>
      <c r="BV241" s="0" t="n">
        <f aca="false">-BU241*$AC$51</f>
        <v>-1.59526368989618</v>
      </c>
      <c r="BW241" s="0" t="n">
        <f aca="false">-BU241*$AD$51</f>
        <v>-0.79763184494809</v>
      </c>
      <c r="BX241" s="0" t="n">
        <f aca="false">(-BV241+SQRT(BV241^2-4*$C241))/2</f>
        <v>3.58718678626363</v>
      </c>
      <c r="BY241" s="0" t="n">
        <f aca="false">(-BW241+SQRT(BW241^2-4*$D241))/2</f>
        <v>1.54094303911278</v>
      </c>
      <c r="BZ241" s="0" t="n">
        <f aca="false">IF(BX241&lt;&gt;0,($C$21-$B241)*$BU241/BX241/$AC$51-$AC$60*$AC$51,0)</f>
        <v>2.37922430509725E-005</v>
      </c>
      <c r="CA241" s="0" t="n">
        <f aca="false">IF(BY241&lt;&gt;0,($C$27-$B241)*$BU241/BY241/$AD$51-$AC$60*$AD$51,0)</f>
        <v>2.37922430496465E-005</v>
      </c>
      <c r="CB241" s="0" t="n">
        <f aca="false">BU241*1.001</f>
        <v>0.0152488797530265</v>
      </c>
      <c r="CC241" s="0" t="n">
        <f aca="false">-CB241*$AC$51</f>
        <v>-1.59685895358608</v>
      </c>
      <c r="CD241" s="0" t="n">
        <f aca="false">-CB241*$AD$51</f>
        <v>-0.798429476793038</v>
      </c>
      <c r="CE241" s="0" t="n">
        <f aca="false">(-CC241+SQRT(CC241^2-4*$C241))/2</f>
        <v>3.58821259380316</v>
      </c>
      <c r="CF241" s="0" t="n">
        <f aca="false">(-CD241+SQRT(CD241^2-4*$D241))/2</f>
        <v>1.54148117749717</v>
      </c>
      <c r="CG241" s="0" t="n">
        <f aca="false">IF(CE241&lt;&gt;0,($C$21-$B241)*$CB241/CE241/$AC$51-$AC$60*$AC$51,0)</f>
        <v>2.382671709893E-005</v>
      </c>
      <c r="CH241" s="0" t="n">
        <f aca="false">IF(CF241&lt;&gt;0,($C$27-$B241)*$CB241/CF241/$AD$51-$AC$60*$AD$51,0)</f>
        <v>2.38156908861892E-005</v>
      </c>
      <c r="CI241" s="0" t="n">
        <f aca="false">(CG241-BZ241)/($CB241-$BU241)</f>
        <v>0.00226302014078093</v>
      </c>
      <c r="CJ241" s="0" t="n">
        <f aca="false">(CH241-CA241)/($CB241-$BU241)</f>
        <v>0.00153921368385118</v>
      </c>
      <c r="CK241" s="0" t="n">
        <f aca="false">IF(CI241&lt;&gt;CJ241,(CA241-BZ241)/(CI241-CJ241),0)</f>
        <v>-1.83200427918834E-012</v>
      </c>
      <c r="CL241" s="6" t="n">
        <f aca="false">IF(AND(BU241&gt;0,CE241&gt;0,CE241&lt;$C$15,CF241&lt;$C$15,CG241&gt;0,ABS(CK241)&lt;0.1*BU241),B241,"")</f>
        <v>1.80909996490955</v>
      </c>
      <c r="CM241" s="0" t="n">
        <f aca="false">CG241+BU241^2/$C$39</f>
        <v>6.25040460507412E-005</v>
      </c>
      <c r="CN241" s="0" t="n">
        <f aca="false">-BU241*$C$15/$C$39</f>
        <v>-0.0152336461069196</v>
      </c>
      <c r="CO241" s="0" t="n">
        <f aca="false">IF(CL241&lt;&gt;"",(-CM241+SQRT(CM241^2-4*$AC$60*CN241))/2/$AC$60,0)</f>
        <v>154.438083667931</v>
      </c>
      <c r="CP241" s="0" t="n">
        <f aca="false">CO241*30/PI()</f>
        <v>1474.77506504346</v>
      </c>
      <c r="DB241" s="6"/>
    </row>
    <row r="242" customFormat="false" ht="12.75" hidden="false" customHeight="false" outlineLevel="0" collapsed="false">
      <c r="A242" s="0" t="n">
        <f aca="false">A241+0.01</f>
        <v>0.930000000000001</v>
      </c>
      <c r="B242" s="0" t="n">
        <f aca="false">A242*$AC$68</f>
        <v>1.82876409496292</v>
      </c>
      <c r="C242" s="0" t="n">
        <f aca="false">$C$39*($B242-$C$21)</f>
        <v>-7.02741543022249</v>
      </c>
      <c r="D242" s="0" t="n">
        <f aca="false">$C$39*($B242-$C$27)</f>
        <v>-1.02741543022249</v>
      </c>
      <c r="E242" s="0" t="n">
        <f aca="false">$AC$71</f>
        <v>0.0474257507541105</v>
      </c>
      <c r="F242" s="0" t="n">
        <f aca="false">-E242*$AC$51</f>
        <v>-4.96641300533647</v>
      </c>
      <c r="G242" s="0" t="n">
        <f aca="false">-E242*$AD$51</f>
        <v>-2.48320650266823</v>
      </c>
      <c r="H242" s="0" t="n">
        <f aca="false">(-F242+SQRT(F242^2-4*$C242))/2</f>
        <v>6.11552393994107</v>
      </c>
      <c r="I242" s="0" t="n">
        <f aca="false">(-G242+SQRT(G242^2-4*$D242))/2</f>
        <v>2.84441143198018</v>
      </c>
      <c r="J242" s="0" t="n">
        <f aca="false">IF(H242&lt;&gt;0,($C$21-$B242)*$E242/H242/$AC$51-$AC$60*$AC$51,0)</f>
        <v>6.22332503908648E-005</v>
      </c>
      <c r="K242" s="0" t="n">
        <f aca="false">IF(I242&lt;&gt;0,($C$27-$B242)*$E242/I242/$AD$51-$AC$60*$AD$51,0)</f>
        <v>4.22767377305602E-005</v>
      </c>
      <c r="L242" s="0" t="n">
        <f aca="false">E242*1.001</f>
        <v>0.0474731765048646</v>
      </c>
      <c r="M242" s="0" t="n">
        <f aca="false">-L242*$AC$51</f>
        <v>-4.97137941834181</v>
      </c>
      <c r="N242" s="0" t="n">
        <f aca="false">-L242*$AD$51</f>
        <v>-2.4856897091709</v>
      </c>
      <c r="O242" s="0" t="n">
        <f aca="false">(-M242+SQRT(M242^2-4*$C242))/2</f>
        <v>6.11970522379114</v>
      </c>
      <c r="P242" s="0" t="n">
        <f aca="false">(-N242+SQRT(N242^2-4*$D242))/2</f>
        <v>2.84661502602275</v>
      </c>
      <c r="Q242" s="0" t="n">
        <f aca="false">IF(O242&lt;&gt;0,($C$21-$B242)*$L242/O242/$AC$51-$AC$60*$AC$51,0)</f>
        <v>6.22606646289692E-005</v>
      </c>
      <c r="R242" s="0" t="n">
        <f aca="false">IF(P242&lt;&gt;0,($C$27-$B242)*$L242/P242/$AD$51-$AC$60*$AD$51,0)</f>
        <v>4.22890127887957E-005</v>
      </c>
      <c r="S242" s="0" t="n">
        <f aca="false">(Q242-J242)/($L242-$E242)</f>
        <v>0.000578045421917398</v>
      </c>
      <c r="T242" s="0" t="n">
        <f aca="false">(R242-K242)/($L242-$E242)</f>
        <v>0.000258826861785321</v>
      </c>
      <c r="U242" s="0" t="n">
        <f aca="false">IF(S242&lt;&gt;T242,(K242-J242)/(S242-T242),0)</f>
        <v>-0.0625167679850683</v>
      </c>
      <c r="V242" s="0" t="n">
        <f aca="false">E242+U242</f>
        <v>-0.0150910172309578</v>
      </c>
      <c r="W242" s="0" t="n">
        <f aca="false">-V242*$AC$51</f>
        <v>1.58032762893247</v>
      </c>
      <c r="X242" s="0" t="n">
        <f aca="false">-V242*$AD$51</f>
        <v>0.790163814466234</v>
      </c>
      <c r="Y242" s="0" t="n">
        <f aca="false">(-W242+SQRT(W242^2-4*$C242))/2</f>
        <v>1.97602025097741</v>
      </c>
      <c r="Z242" s="0" t="n">
        <f aca="false">(-X242+SQRT(X242^2-4*$D242))/2</f>
        <v>0.692808318683749</v>
      </c>
      <c r="AA242" s="0" t="n">
        <f aca="false">IF(Y242&lt;&gt;0,($C$21-$B242)*$V242/Y242/$AC$51-$AC$60*$AC$51,0)</f>
        <v>-0.000109918851799696</v>
      </c>
      <c r="AB242" s="0" t="n">
        <f aca="false">IF(Z242&lt;&gt;0,($C$27-$B242)*$V242/Z242/$AD$51-$AC$60*$AD$51,0)</f>
        <v>-8.34874122395336E-005</v>
      </c>
      <c r="AC242" s="0" t="n">
        <f aca="false">V242*1.001</f>
        <v>-0.0151061082481888</v>
      </c>
      <c r="AD242" s="0" t="n">
        <f aca="false">-AC242*$AC$51</f>
        <v>1.5819079565614</v>
      </c>
      <c r="AE242" s="0" t="n">
        <f aca="false">-AC242*$AD$51</f>
        <v>0.790953978280701</v>
      </c>
      <c r="AF242" s="0" t="n">
        <f aca="false">(-AD242+SQRT(AD242^2-4*$C242))/2</f>
        <v>1.97545590204805</v>
      </c>
      <c r="AG242" s="0" t="n">
        <f aca="false">(-AE242+SQRT(AE242^2-4*$D242))/2</f>
        <v>0.692556778332888</v>
      </c>
      <c r="AH242" s="0" t="n">
        <f aca="false">IF(AF242&lt;&gt;0,($C$21-$B242)*$AC242/AF242/$AC$51-$AC$60*$AC$51,0)</f>
        <v>-0.000110028694798071</v>
      </c>
      <c r="AI242" s="0" t="n">
        <f aca="false">IF(AG242&lt;&gt;0,($C$27-$B242)*$AC242/AG242/$AD$51-$AC$60*$AD$51,0)</f>
        <v>-8.35845478829015E-005</v>
      </c>
      <c r="AJ242" s="0" t="n">
        <f aca="false">(AH242-AA242)/($AC242-$V242)</f>
        <v>0.00727870074588024</v>
      </c>
      <c r="AK242" s="0" t="n">
        <f aca="false">(AI242-AB242)/($AC242-$V242)</f>
        <v>0.00643665313486249</v>
      </c>
      <c r="AL242" s="0" t="n">
        <f aca="false">IF(AJ242&lt;&gt;AK242,(AB242-AA242)/(AJ242-AK242),0)</f>
        <v>0.0313894834618862</v>
      </c>
      <c r="AM242" s="0" t="n">
        <f aca="false">V242+AL242</f>
        <v>0.0162984662309284</v>
      </c>
      <c r="AN242" s="0" t="n">
        <f aca="false">-AM242*$AC$51</f>
        <v>-1.70677139252886</v>
      </c>
      <c r="AO242" s="0" t="n">
        <f aca="false">-AM242*$AD$51</f>
        <v>-0.853385696264432</v>
      </c>
      <c r="AP242" s="0" t="n">
        <f aca="false">(-AN242+SQRT(AN242^2-4*$C242))/2</f>
        <v>3.63828831158354</v>
      </c>
      <c r="AQ242" s="0" t="n">
        <f aca="false">(-AO242+SQRT(AO242^2-4*$D242))/2</f>
        <v>1.52645746698012</v>
      </c>
      <c r="AR242" s="0" t="n">
        <f aca="false">IF(AP242&lt;&gt;0,($C$21-$B242)*$AM242/AP242/$AC$51-$AC$60*$AC$51,0)</f>
        <v>2.56010576917241E-005</v>
      </c>
      <c r="AS242" s="0" t="n">
        <f aca="false">IF(AQ242&lt;&gt;0,($C$27-$B242)*$AM242/AQ242/$AD$51-$AC$60*$AD$51,0)</f>
        <v>2.26676473678602E-005</v>
      </c>
      <c r="AT242" s="0" t="n">
        <f aca="false">AM242*1.001</f>
        <v>0.0163147646971593</v>
      </c>
      <c r="AU242" s="0" t="n">
        <f aca="false">-AT242*$AC$51</f>
        <v>-1.70847816392139</v>
      </c>
      <c r="AV242" s="0" t="n">
        <f aca="false">-AT242*$AD$51</f>
        <v>-0.854239081960697</v>
      </c>
      <c r="AW242" s="0" t="n">
        <f aca="false">(-AU242+SQRT(AU242^2-4*$C242))/2</f>
        <v>3.63940332117022</v>
      </c>
      <c r="AX242" s="0" t="n">
        <f aca="false">(-AV242+SQRT(AV242^2-4*$D242))/2</f>
        <v>1.5270497808182</v>
      </c>
      <c r="AY242" s="0" t="n">
        <f aca="false">IF(AW242&lt;&gt;0,($C$21-$B242)*$AT242/AW242/$AC$51-$AC$60*$AC$51,0)</f>
        <v>2.56357953408516E-005</v>
      </c>
      <c r="AZ242" s="0" t="n">
        <f aca="false">IF(AX242&lt;&gt;0,($C$27-$B242)*$AT242/AX242/$AD$51-$AC$60*$AD$51,0)</f>
        <v>2.26890082262867E-005</v>
      </c>
      <c r="BA242" s="0" t="n">
        <f aca="false">(AY242-AR242)/($AT242-$AM242)</f>
        <v>0.00213134466981896</v>
      </c>
      <c r="BB242" s="0" t="n">
        <f aca="false">(AZ242-AS242)/($AT242-$AM242)</f>
        <v>0.00131060543512487</v>
      </c>
      <c r="BC242" s="0" t="n">
        <f aca="false">IF(BA242&lt;&gt;BB242,(AS242-AR242)/(BA242-BB242),0)</f>
        <v>-0.00357410758480091</v>
      </c>
      <c r="BD242" s="0" t="n">
        <f aca="false">AM242+BC242</f>
        <v>0.0127243586461275</v>
      </c>
      <c r="BE242" s="0" t="n">
        <f aca="false">-BD242*$AC$51</f>
        <v>-1.3324917214772</v>
      </c>
      <c r="BF242" s="0" t="n">
        <f aca="false">-BD242*$AD$51</f>
        <v>-0.666245860738597</v>
      </c>
      <c r="BG242" s="0" t="n">
        <f aca="false">(-BE242+SQRT(BE242^2-4*$C242))/2</f>
        <v>3.39961355959907</v>
      </c>
      <c r="BH242" s="0" t="n">
        <f aca="false">(-BF242+SQRT(BF242^2-4*$D242))/2</f>
        <v>1.4000748116462</v>
      </c>
      <c r="BI242" s="0" t="n">
        <f aca="false">IF(BG242&lt;&gt;0,($C$21-$B242)*$BD242/BG242/$AC$51-$AC$60*$AC$51,0)</f>
        <v>1.73600725973361E-005</v>
      </c>
      <c r="BJ242" s="0" t="n">
        <f aca="false">IF(BH242&lt;&gt;0,($C$27-$B242)*$BD242/BH242/$AD$51-$AC$60*$AD$51,0)</f>
        <v>1.74711278003869E-005</v>
      </c>
      <c r="BK242" s="0" t="n">
        <f aca="false">BD242*1.001</f>
        <v>0.0127370830047736</v>
      </c>
      <c r="BL242" s="0" t="n">
        <f aca="false">-BK242*$AC$51</f>
        <v>-1.33382421319867</v>
      </c>
      <c r="BM242" s="0" t="n">
        <f aca="false">-BK242*$AD$51</f>
        <v>-0.666912106599336</v>
      </c>
      <c r="BN242" s="0" t="n">
        <f aca="false">(-BL242+SQRT(BL242^2-4*$C242))/2</f>
        <v>3.40044227620626</v>
      </c>
      <c r="BO242" s="0" t="n">
        <f aca="false">(-BM242+SQRT(BM242^2-4*$D242))/2</f>
        <v>1.40051198890224</v>
      </c>
      <c r="BP242" s="0" t="n">
        <f aca="false">IF(BN242&lt;&gt;0,($C$21-$B242)*$BK242/BN242/$AC$51-$AC$60*$AC$51,0)</f>
        <v>1.73917224265466E-005</v>
      </c>
      <c r="BQ242" s="0" t="n">
        <f aca="false">IF(BO242&lt;&gt;0,($C$27-$B242)*$BK242/BO242/$AD$51-$AC$60*$AD$51,0)</f>
        <v>1.74915627759942E-005</v>
      </c>
      <c r="BR242" s="0" t="n">
        <f aca="false">(BP242-BI242)/($BK242-$BD242)</f>
        <v>0.00248734180564669</v>
      </c>
      <c r="BS242" s="0" t="n">
        <f aca="false">(BQ242-BJ242)/($BK242-$BD242)</f>
        <v>0.0016059729355054</v>
      </c>
      <c r="BT242" s="0" t="n">
        <f aca="false">IF(BR242&lt;&gt;BS242,(BJ242-BI242)/(BR242-BS242),0)</f>
        <v>0.000126003092250168</v>
      </c>
      <c r="BU242" s="0" t="n">
        <f aca="false">BD242+BT242</f>
        <v>0.0128503617383776</v>
      </c>
      <c r="BV242" s="0" t="n">
        <f aca="false">-BU242*$AC$51</f>
        <v>-1.34568673444195</v>
      </c>
      <c r="BW242" s="0" t="n">
        <f aca="false">-BU242*$AD$51</f>
        <v>-0.672843367220976</v>
      </c>
      <c r="BX242" s="0" t="n">
        <f aca="false">(-BV242+SQRT(BV242^2-4*$C242))/2</f>
        <v>3.40782666278893</v>
      </c>
      <c r="BY242" s="0" t="n">
        <f aca="false">(-BW242+SQRT(BW242^2-4*$D242))/2</f>
        <v>1.40440809711293</v>
      </c>
      <c r="BZ242" s="0" t="n">
        <f aca="false">IF(BX242&lt;&gt;0,($C$21-$B242)*$BU242/BX242/$AC$51-$AC$60*$AC$51,0)</f>
        <v>1.76727235718049E-005</v>
      </c>
      <c r="CA242" s="0" t="n">
        <f aca="false">IF(BY242&lt;&gt;0,($C$27-$B242)*$BU242/BY242/$AD$51-$AC$60*$AD$51,0)</f>
        <v>1.76728365031937E-005</v>
      </c>
      <c r="CB242" s="0" t="n">
        <f aca="false">BU242*1.001</f>
        <v>0.012863212100116</v>
      </c>
      <c r="CC242" s="0" t="n">
        <f aca="false">-CB242*$AC$51</f>
        <v>-1.34703242117639</v>
      </c>
      <c r="CD242" s="0" t="n">
        <f aca="false">-CB242*$AD$51</f>
        <v>-0.673516210588197</v>
      </c>
      <c r="CE242" s="0" t="n">
        <f aca="false">(-CC242+SQRT(CC242^2-4*$C242))/2</f>
        <v>3.40866511259474</v>
      </c>
      <c r="CF242" s="0" t="n">
        <f aca="false">(-CD242+SQRT(CD242^2-4*$D242))/2</f>
        <v>1.40485054123013</v>
      </c>
      <c r="CG242" s="0" t="n">
        <f aca="false">IF(CE242&lt;&gt;0,($C$21-$B242)*$CB242/CE242/$AC$51-$AC$60*$AC$51,0)</f>
        <v>1.77045140520467E-005</v>
      </c>
      <c r="CH242" s="0" t="n">
        <f aca="false">IF(CF242&lt;&gt;0,($C$27-$B242)*$CB242/CF242/$AD$51-$AC$60*$AD$51,0)</f>
        <v>1.76933267376169E-005</v>
      </c>
      <c r="CI242" s="0" t="n">
        <f aca="false">(CG242-BZ242)/($CB242-$BU242)</f>
        <v>0.00247389769167717</v>
      </c>
      <c r="CJ242" s="0" t="n">
        <f aca="false">(CH242-CA242)/($CB242-$BU242)</f>
        <v>0.00159452588497784</v>
      </c>
      <c r="CK242" s="0" t="n">
        <f aca="false">IF(CI242&lt;&gt;CJ242,(CA242-BZ242)/(CI242-CJ242),0)</f>
        <v>1.28422799077727E-007</v>
      </c>
      <c r="CL242" s="6" t="n">
        <f aca="false">IF(AND(BU242&gt;0,CE242&gt;0,CE242&lt;$C$15,CF242&lt;$C$15,CG242&gt;0,ABS(CK242)&lt;0.1*BU242),B242,"")</f>
        <v>1.82876409496292</v>
      </c>
      <c r="CM242" s="0" t="n">
        <f aca="false">CG242+BU242^2/$C$39</f>
        <v>4.52264801865734E-005</v>
      </c>
      <c r="CN242" s="0" t="n">
        <f aca="false">-BU242*$C$15/$C$39</f>
        <v>-0.0128503617383776</v>
      </c>
      <c r="CO242" s="0" t="n">
        <f aca="false">IF(CL242&lt;&gt;"",(-CM242+SQRT(CM242^2-4*$AC$60*CN242))/2/$AC$60,0)</f>
        <v>156.85232944294</v>
      </c>
      <c r="CP242" s="0" t="n">
        <f aca="false">CO242*30/PI()</f>
        <v>1497.82941397934</v>
      </c>
      <c r="DB242" s="6"/>
    </row>
    <row r="243" customFormat="false" ht="12.75" hidden="false" customHeight="false" outlineLevel="0" collapsed="false">
      <c r="A243" s="0" t="n">
        <f aca="false">A242+0.01</f>
        <v>0.940000000000001</v>
      </c>
      <c r="B243" s="0" t="n">
        <f aca="false">A243*$AC$68</f>
        <v>1.84842822501628</v>
      </c>
      <c r="C243" s="0" t="n">
        <f aca="false">$C$39*($B243-$C$21)</f>
        <v>-6.90943064990231</v>
      </c>
      <c r="D243" s="0" t="n">
        <f aca="false">$C$39*($B243-$C$27)</f>
        <v>-0.909430649902305</v>
      </c>
      <c r="E243" s="0" t="n">
        <f aca="false">$AC$71</f>
        <v>0.0474257507541105</v>
      </c>
      <c r="F243" s="0" t="n">
        <f aca="false">-E243*$AC$51</f>
        <v>-4.96641300533647</v>
      </c>
      <c r="G243" s="0" t="n">
        <f aca="false">-E243*$AD$51</f>
        <v>-2.48320650266823</v>
      </c>
      <c r="H243" s="0" t="n">
        <f aca="false">(-F243+SQRT(F243^2-4*$C243))/2</f>
        <v>6.09924648928289</v>
      </c>
      <c r="I243" s="0" t="n">
        <f aca="false">(-G243+SQRT(G243^2-4*$D243))/2</f>
        <v>2.80717320621501</v>
      </c>
      <c r="J243" s="0" t="n">
        <f aca="false">IF(H243&lt;&gt;0,($C$21-$B243)*$E243/H243/$AC$51-$AC$60*$AC$51,0)</f>
        <v>6.10046214708406E-005</v>
      </c>
      <c r="K243" s="0" t="n">
        <f aca="false">IF(I243&lt;&gt;0,($C$27-$B243)*$E243/I243/$AD$51-$AC$60*$AD$51,0)</f>
        <v>3.66552233956373E-005</v>
      </c>
      <c r="L243" s="0" t="n">
        <f aca="false">E243*1.001</f>
        <v>0.0474731765048646</v>
      </c>
      <c r="M243" s="0" t="n">
        <f aca="false">-L243*$AC$51</f>
        <v>-4.97137941834181</v>
      </c>
      <c r="N243" s="0" t="n">
        <f aca="false">-L243*$AD$51</f>
        <v>-2.4856897091709</v>
      </c>
      <c r="O243" s="0" t="n">
        <f aca="false">(-M243+SQRT(M243^2-4*$C243))/2</f>
        <v>6.10343541336024</v>
      </c>
      <c r="P243" s="0" t="n">
        <f aca="false">(-N243+SQRT(N243^2-4*$D243))/2</f>
        <v>2.80939966769345</v>
      </c>
      <c r="Q243" s="0" t="n">
        <f aca="false">IF(O243&lt;&gt;0,($C$21-$B243)*$L243/O243/$AC$51-$AC$60*$AC$51,0)</f>
        <v>6.10313843443272E-005</v>
      </c>
      <c r="R243" s="0" t="n">
        <f aca="false">IF(P243&lt;&gt;0,($C$27-$B243)*$L243/P243/$AD$51-$AC$60*$AD$51,0)</f>
        <v>3.66653324792562E-005</v>
      </c>
      <c r="S243" s="0" t="n">
        <f aca="false">(Q243-J243)/($L243-$E243)</f>
        <v>0.000564311013765351</v>
      </c>
      <c r="T243" s="0" t="n">
        <f aca="false">(R243-K243)/($L243-$E243)</f>
        <v>0.000213156006140277</v>
      </c>
      <c r="U243" s="0" t="n">
        <f aca="false">IF(S243&lt;&gt;T243,(K243-J243)/(S243-T243),0)</f>
        <v>-0.0693408823638393</v>
      </c>
      <c r="V243" s="0" t="n">
        <f aca="false">E243+U243</f>
        <v>-0.0219151316097288</v>
      </c>
      <c r="W243" s="0" t="n">
        <f aca="false">-V243*$AC$51</f>
        <v>2.29494721558592</v>
      </c>
      <c r="X243" s="0" t="n">
        <f aca="false">-V243*$AD$51</f>
        <v>1.14747360779296</v>
      </c>
      <c r="Y243" s="0" t="n">
        <f aca="false">(-W243+SQRT(W243^2-4*$C243))/2</f>
        <v>1.7206488321464</v>
      </c>
      <c r="Z243" s="0" t="n">
        <f aca="false">(-X243+SQRT(X243^2-4*$D243))/2</f>
        <v>0.539189325748994</v>
      </c>
      <c r="AA243" s="0" t="n">
        <f aca="false">IF(Y243&lt;&gt;0,($C$21-$B243)*$V243/Y243/$AC$51-$AC$60*$AC$51,0)</f>
        <v>-0.000164562168945426</v>
      </c>
      <c r="AB243" s="0" t="n">
        <f aca="false">IF(Z243&lt;&gt;0,($C$27-$B243)*$V243/Z243/$AD$51-$AC$60*$AD$51,0)</f>
        <v>-0.00012990935092965</v>
      </c>
      <c r="AC243" s="0" t="n">
        <f aca="false">V243*1.001</f>
        <v>-0.0219370467413386</v>
      </c>
      <c r="AD243" s="0" t="n">
        <f aca="false">-AC243*$AC$51</f>
        <v>2.2972421628015</v>
      </c>
      <c r="AE243" s="0" t="n">
        <f aca="false">-AC243*$AD$51</f>
        <v>1.14862108140075</v>
      </c>
      <c r="AF243" s="0" t="n">
        <f aca="false">(-AD243+SQRT(AD243^2-4*$C243))/2</f>
        <v>1.71996063062011</v>
      </c>
      <c r="AG243" s="0" t="n">
        <f aca="false">(-AE243+SQRT(AE243^2-4*$D243))/2</f>
        <v>0.538911470877666</v>
      </c>
      <c r="AH243" s="0" t="n">
        <f aca="false">IF(AF243&lt;&gt;0,($C$21-$B243)*$AC243/AF243/$AC$51-$AC$60*$AC$51,0)</f>
        <v>-0.000164758326730275</v>
      </c>
      <c r="AI243" s="0" t="n">
        <f aca="false">IF(AG243&lt;&gt;0,($C$27-$B243)*$AC243/AG243/$AD$51-$AC$60*$AD$51,0)</f>
        <v>-0.000130087732767202</v>
      </c>
      <c r="AJ243" s="0" t="n">
        <f aca="false">(AH243-AA243)/($AC243-$V243)</f>
        <v>0.00895079200718804</v>
      </c>
      <c r="AK243" s="0" t="n">
        <f aca="false">(AI243-AB243)/($AC243-$V243)</f>
        <v>0.00813966535674854</v>
      </c>
      <c r="AL243" s="0" t="n">
        <f aca="false">IF(AJ243&lt;&gt;AK243,(AB243-AA243)/(AJ243-AK243),0)</f>
        <v>0.0427218338800729</v>
      </c>
      <c r="AM243" s="0" t="n">
        <f aca="false">V243+AL243</f>
        <v>0.0208067022703441</v>
      </c>
      <c r="AN243" s="0" t="n">
        <f aca="false">-AM243*$AC$51</f>
        <v>-2.1788727665981</v>
      </c>
      <c r="AO243" s="0" t="n">
        <f aca="false">-AM243*$AD$51</f>
        <v>-1.08943638329905</v>
      </c>
      <c r="AP243" s="0" t="n">
        <f aca="false">(-AN243+SQRT(AN243^2-4*$C243))/2</f>
        <v>3.93483658066286</v>
      </c>
      <c r="AQ243" s="0" t="n">
        <f aca="false">(-AO243+SQRT(AO243^2-4*$D243))/2</f>
        <v>1.64296614098348</v>
      </c>
      <c r="AR243" s="0" t="n">
        <f aca="false">IF(AP243&lt;&gt;0,($C$21-$B243)*$AM243/AP243/$AC$51-$AC$60*$AC$51,0)</f>
        <v>3.36464244124661E-005</v>
      </c>
      <c r="AS243" s="0" t="n">
        <f aca="false">IF(AQ243&lt;&gt;0,($C$27-$B243)*$AM243/AQ243/$AD$51-$AC$60*$AD$51,0)</f>
        <v>2.44090931892644E-005</v>
      </c>
      <c r="AT243" s="0" t="n">
        <f aca="false">AM243*1.001</f>
        <v>0.0208275089726144</v>
      </c>
      <c r="AU243" s="0" t="n">
        <f aca="false">-AT243*$AC$51</f>
        <v>-2.1810516393647</v>
      </c>
      <c r="AV243" s="0" t="n">
        <f aca="false">-AT243*$AD$51</f>
        <v>-1.09052581968235</v>
      </c>
      <c r="AW243" s="0" t="n">
        <f aca="false">(-AU243+SQRT(AU243^2-4*$C243))/2</f>
        <v>3.93634331440968</v>
      </c>
      <c r="AX243" s="0" t="n">
        <f aca="false">(-AV243+SQRT(AV243^2-4*$D243))/2</f>
        <v>1.64378113488379</v>
      </c>
      <c r="AY243" s="0" t="n">
        <f aca="false">IF(AW243&lt;&gt;0,($C$21-$B243)*$AT243/AW243/$AC$51-$AC$60*$AC$51,0)</f>
        <v>3.36822928990851E-005</v>
      </c>
      <c r="AZ243" s="0" t="n">
        <f aca="false">IF(AX243&lt;&gt;0,($C$27-$B243)*$AT243/AX243/$AD$51-$AC$60*$AD$51,0)</f>
        <v>2.44275589046789E-005</v>
      </c>
      <c r="BA243" s="0" t="n">
        <f aca="false">(AY243-AR243)/($AT243-$AM243)</f>
        <v>0.00172389099209171</v>
      </c>
      <c r="BB243" s="0" t="n">
        <f aca="false">(AZ243-AS243)/($AT243-$AM243)</f>
        <v>0.000887488808874331</v>
      </c>
      <c r="BC243" s="0" t="n">
        <f aca="false">IF(BA243&lt;&gt;BB243,(AS243-AR243)/(BA243-BB243),0)</f>
        <v>-0.0110441261495381</v>
      </c>
      <c r="BD243" s="0" t="n">
        <f aca="false">AM243+BC243</f>
        <v>0.00976257612080603</v>
      </c>
      <c r="BE243" s="0" t="n">
        <f aca="false">-BD243*$AC$51</f>
        <v>-1.02233458070785</v>
      </c>
      <c r="BF243" s="0" t="n">
        <f aca="false">-BD243*$AD$51</f>
        <v>-0.511167290353923</v>
      </c>
      <c r="BG243" s="0" t="n">
        <f aca="false">(-BE243+SQRT(BE243^2-4*$C243))/2</f>
        <v>3.18898779379139</v>
      </c>
      <c r="BH243" s="0" t="n">
        <f aca="false">(-BF243+SQRT(BF243^2-4*$D243))/2</f>
        <v>1.24287977582078</v>
      </c>
      <c r="BI243" s="0" t="n">
        <f aca="false">IF(BG243&lt;&gt;0,($C$21-$B243)*$BD243/BG243/$AC$51-$AC$60*$AC$51,0)</f>
        <v>9.16250645599931E-006</v>
      </c>
      <c r="BJ243" s="0" t="n">
        <f aca="false">IF(BH243&lt;&gt;0,($C$27-$B243)*$BD243/BH243/$AD$51-$AC$60*$AD$51,0)</f>
        <v>1.04870781151473E-005</v>
      </c>
      <c r="BK243" s="0" t="n">
        <f aca="false">BD243*1.001</f>
        <v>0.00977233869692684</v>
      </c>
      <c r="BL243" s="0" t="n">
        <f aca="false">-BK243*$AC$51</f>
        <v>-1.02335691528855</v>
      </c>
      <c r="BM243" s="0" t="n">
        <f aca="false">-BK243*$AD$51</f>
        <v>-0.511678457644277</v>
      </c>
      <c r="BN243" s="0" t="n">
        <f aca="false">(-BL243+SQRT(BL243^2-4*$C243))/2</f>
        <v>3.18959658445838</v>
      </c>
      <c r="BO243" s="0" t="n">
        <f aca="false">(-BM243+SQRT(BM243^2-4*$D243))/2</f>
        <v>1.24320155386124</v>
      </c>
      <c r="BP243" s="0" t="n">
        <f aca="false">IF(BN243&lt;&gt;0,($C$21-$B243)*$BK243/BN243/$AC$51-$AC$60*$AC$51,0)</f>
        <v>9.18973918095116E-006</v>
      </c>
      <c r="BQ243" s="0" t="n">
        <f aca="false">IF(BO243&lt;&gt;0,($C$27-$B243)*$BK243/BO243/$AD$51-$AC$60*$AD$51,0)</f>
        <v>1.05039250572113E-005</v>
      </c>
      <c r="BR243" s="0" t="n">
        <f aca="false">(BP243-BI243)/($BK243-$BD243)</f>
        <v>0.0027895019321597</v>
      </c>
      <c r="BS243" s="0" t="n">
        <f aca="false">(BQ243-BJ243)/($BK243-$BD243)</f>
        <v>0.00172566562919314</v>
      </c>
      <c r="BT243" s="0" t="n">
        <f aca="false">IF(BR243&lt;&gt;BS243,(BJ243-BI243)/(BR243-BS243),0)</f>
        <v>0.00124508973368772</v>
      </c>
      <c r="BU243" s="0" t="n">
        <f aca="false">BD243+BT243</f>
        <v>0.0110076658544937</v>
      </c>
      <c r="BV243" s="0" t="n">
        <f aca="false">-BU243*$AC$51</f>
        <v>-1.15272007272163</v>
      </c>
      <c r="BW243" s="0" t="n">
        <f aca="false">-BU243*$AD$51</f>
        <v>-0.576360036360813</v>
      </c>
      <c r="BX243" s="0" t="n">
        <f aca="false">(-BV243+SQRT(BV243^2-4*$C243))/2</f>
        <v>3.2673861494664</v>
      </c>
      <c r="BY243" s="0" t="n">
        <f aca="false">(-BW243+SQRT(BW243^2-4*$D243))/2</f>
        <v>1.28441210598965</v>
      </c>
      <c r="BZ243" s="0" t="n">
        <f aca="false">IF(BX243&lt;&gt;0,($C$21-$B243)*$BU243/BX243/$AC$51-$AC$60*$AC$51,0)</f>
        <v>1.25452184764358E-005</v>
      </c>
      <c r="CA243" s="0" t="n">
        <f aca="false">IF(BY243&lt;&gt;0,($C$27-$B243)*$BU243/BY243/$AD$51-$AC$60*$AD$51,0)</f>
        <v>1.25580078119023E-005</v>
      </c>
      <c r="CB243" s="0" t="n">
        <f aca="false">BU243*1.001</f>
        <v>0.0110186735203482</v>
      </c>
      <c r="CC243" s="0" t="n">
        <f aca="false">-CB243*$AC$51</f>
        <v>-1.15387279279435</v>
      </c>
      <c r="CD243" s="0" t="n">
        <f aca="false">-CB243*$AD$51</f>
        <v>-0.576936396397174</v>
      </c>
      <c r="CE243" s="0" t="n">
        <f aca="false">(-CC243+SQRT(CC243^2-4*$C243))/2</f>
        <v>3.26808601234016</v>
      </c>
      <c r="CF243" s="0" t="n">
        <f aca="false">(-CD243+SQRT(CD243^2-4*$D243))/2</f>
        <v>1.28478368602071</v>
      </c>
      <c r="CG243" s="0" t="n">
        <f aca="false">IF(CE243&lt;&gt;0,($C$21-$B243)*$CB243/CE243/$AC$51-$AC$60*$AC$51,0)</f>
        <v>1.25743241784736E-005</v>
      </c>
      <c r="CH243" s="0" t="n">
        <f aca="false">IF(CF243&lt;&gt;0,($C$27-$B243)*$CB243/CF243/$AD$51-$AC$60*$AD$51,0)</f>
        <v>1.25756345292358E-005</v>
      </c>
      <c r="CI243" s="0" t="n">
        <f aca="false">(CG243-BZ243)/($CB243-$BU243)</f>
        <v>0.00264413022911427</v>
      </c>
      <c r="CJ243" s="0" t="n">
        <f aca="false">(CH243-CA243)/($CB243-$BU243)</f>
        <v>0.00160131290016958</v>
      </c>
      <c r="CK243" s="0" t="n">
        <f aca="false">IF(CI243&lt;&gt;CJ243,(CA243-BZ243)/(CI243-CJ243),0)</f>
        <v>1.22642145575513E-005</v>
      </c>
      <c r="CL243" s="6" t="n">
        <f aca="false">IF(AND(BU243&gt;0,CE243&gt;0,CE243&lt;$C$15,CF243&lt;$C$15,CG243&gt;0,ABS(CK243)&lt;0.1*BU243),B243,"")</f>
        <v>1.84842822501628</v>
      </c>
      <c r="CM243" s="0" t="n">
        <f aca="false">CG243+BU243^2/$C$39</f>
        <v>3.27691087725049E-005</v>
      </c>
      <c r="CN243" s="0" t="n">
        <f aca="false">-BU243*$C$15/$C$39</f>
        <v>-0.0110076658544937</v>
      </c>
      <c r="CO243" s="0" t="n">
        <f aca="false">IF(CL243&lt;&gt;"",(-CM243+SQRT(CM243^2-4*$AC$60*CN243))/2/$AC$60,0)</f>
        <v>157.897981801758</v>
      </c>
      <c r="CP243" s="0" t="n">
        <f aca="false">CO243*30/PI()</f>
        <v>1507.81465847904</v>
      </c>
      <c r="DB243" s="6"/>
    </row>
    <row r="244" customFormat="false" ht="12.75" hidden="false" customHeight="false" outlineLevel="0" collapsed="false">
      <c r="A244" s="0" t="n">
        <f aca="false">A243+0.01</f>
        <v>0.950000000000001</v>
      </c>
      <c r="B244" s="0" t="n">
        <f aca="false">A244*$AC$68</f>
        <v>1.86809235506965</v>
      </c>
      <c r="C244" s="0" t="n">
        <f aca="false">$C$39*($B244-$C$21)</f>
        <v>-6.79144586958212</v>
      </c>
      <c r="D244" s="0" t="n">
        <f aca="false">$C$39*($B244-$C$27)</f>
        <v>-0.791445869582117</v>
      </c>
      <c r="E244" s="0" t="n">
        <f aca="false">$AC$71</f>
        <v>0.0474257507541105</v>
      </c>
      <c r="F244" s="0" t="n">
        <f aca="false">-E244*$AC$51</f>
        <v>-4.96641300533647</v>
      </c>
      <c r="G244" s="0" t="n">
        <f aca="false">-E244*$AD$51</f>
        <v>-2.48320650266823</v>
      </c>
      <c r="H244" s="0" t="n">
        <f aca="false">(-F244+SQRT(F244^2-4*$C244))/2</f>
        <v>6.08289543429496</v>
      </c>
      <c r="I244" s="0" t="n">
        <f aca="false">(-G244+SQRT(G244^2-4*$D244))/2</f>
        <v>2.76902739128529</v>
      </c>
      <c r="J244" s="0" t="n">
        <f aca="false">IF(H244&lt;&gt;0,($C$21-$B244)*$E244/H244/$AC$51-$AC$60*$AC$51,0)</f>
        <v>5.97704368646052E-005</v>
      </c>
      <c r="K244" s="0" t="n">
        <f aca="false">IF(I244&lt;&gt;0,($C$27-$B244)*$E244/I244/$AD$51-$AC$60*$AD$51,0)</f>
        <v>3.08966986260359E-005</v>
      </c>
      <c r="L244" s="0" t="n">
        <f aca="false">E244*1.001</f>
        <v>0.0474731765048646</v>
      </c>
      <c r="M244" s="0" t="n">
        <f aca="false">-L244*$AC$51</f>
        <v>-4.97137941834181</v>
      </c>
      <c r="N244" s="0" t="n">
        <f aca="false">-L244*$AD$51</f>
        <v>-2.4856897091709</v>
      </c>
      <c r="O244" s="0" t="n">
        <f aca="false">(-M244+SQRT(M244^2-4*$C244))/2</f>
        <v>6.08709210266434</v>
      </c>
      <c r="P244" s="0" t="n">
        <f aca="false">(-N244+SQRT(N244^2-4*$D244))/2</f>
        <v>2.77127843251799</v>
      </c>
      <c r="Q244" s="0" t="n">
        <f aca="false">IF(O244&lt;&gt;0,($C$21-$B244)*$L244/O244/$AC$51-$AC$60*$AC$51,0)</f>
        <v>5.97965506804943E-005</v>
      </c>
      <c r="R244" s="0" t="n">
        <f aca="false">IF(P244&lt;&gt;0,($C$27-$B244)*$L244/P244/$AD$51-$AC$60*$AD$51,0)</f>
        <v>3.09047634761414E-005</v>
      </c>
      <c r="S244" s="0" t="n">
        <f aca="false">(Q244-J244)/($L244-$E244)</f>
        <v>0.000550625250497966</v>
      </c>
      <c r="T244" s="0" t="n">
        <f aca="false">(R244-K244)/($L244-$E244)</f>
        <v>0.000170052133644166</v>
      </c>
      <c r="U244" s="0" t="n">
        <f aca="false">IF(S244&lt;&gt;T244,(K244-J244)/(S244-T244),0)</f>
        <v>-0.0758690957397849</v>
      </c>
      <c r="V244" s="0" t="n">
        <f aca="false">E244+U244</f>
        <v>-0.0284433449856744</v>
      </c>
      <c r="W244" s="0" t="n">
        <f aca="false">-V244*$AC$51</f>
        <v>2.97858012168382</v>
      </c>
      <c r="X244" s="0" t="n">
        <f aca="false">-V244*$AD$51</f>
        <v>1.48929006084191</v>
      </c>
      <c r="Y244" s="0" t="n">
        <f aca="false">(-W244+SQRT(W244^2-4*$C244))/2</f>
        <v>1.51228132010251</v>
      </c>
      <c r="Z244" s="0" t="n">
        <f aca="false">(-X244+SQRT(X244^2-4*$D244))/2</f>
        <v>0.41550241318815</v>
      </c>
      <c r="AA244" s="0" t="n">
        <f aca="false">IF(Y244&lt;&gt;0,($C$21-$B244)*$V244/Y244/$AC$51-$AC$60*$AC$51,0)</f>
        <v>-0.00022779889275911</v>
      </c>
      <c r="AB244" s="0" t="n">
        <f aca="false">IF(Z244&lt;&gt;0,($C$27-$B244)*$V244/Z244/$AD$51-$AC$60*$AD$51,0)</f>
        <v>-0.000184707127705257</v>
      </c>
      <c r="AC244" s="0" t="n">
        <f aca="false">V244*1.001</f>
        <v>-0.02847178833066</v>
      </c>
      <c r="AD244" s="0" t="n">
        <f aca="false">-AC244*$AC$51</f>
        <v>2.98155870180551</v>
      </c>
      <c r="AE244" s="0" t="n">
        <f aca="false">-AC244*$AD$51</f>
        <v>1.49077935090275</v>
      </c>
      <c r="AF244" s="0" t="n">
        <f aca="false">(-AD244+SQRT(AD244^2-4*$C244))/2</f>
        <v>1.51153124972806</v>
      </c>
      <c r="AG244" s="0" t="n">
        <f aca="false">(-AE244+SQRT(AE244^2-4*$D244))/2</f>
        <v>0.415235861856685</v>
      </c>
      <c r="AH244" s="0" t="n">
        <f aca="false">IF(AF244&lt;&gt;0,($C$21-$B244)*$AC244/AF244/$AC$51-$AC$60*$AC$51,0)</f>
        <v>-0.000228103172785467</v>
      </c>
      <c r="AI244" s="0" t="n">
        <f aca="false">IF(AG244&lt;&gt;0,($C$27-$B244)*$AC244/AG244/$AD$51-$AC$60*$AD$51,0)</f>
        <v>-0.000184990398764125</v>
      </c>
      <c r="AJ244" s="0" t="n">
        <f aca="false">(AH244-AA244)/($AC244-$V244)</f>
        <v>0.010697758175432</v>
      </c>
      <c r="AK244" s="0" t="n">
        <f aca="false">(AI244-AB244)/($AC244-$V244)</f>
        <v>0.00995913311218387</v>
      </c>
      <c r="AL244" s="0" t="n">
        <f aca="false">IF(AJ244&lt;&gt;AK244,(AB244-AA244)/(AJ244-AK244),0)</f>
        <v>0.0583405129313611</v>
      </c>
      <c r="AM244" s="0" t="n">
        <f aca="false">V244+AL244</f>
        <v>0.0298971679456868</v>
      </c>
      <c r="AN244" s="0" t="n">
        <f aca="false">-AM244*$AC$51</f>
        <v>-3.13082410604366</v>
      </c>
      <c r="AO244" s="0" t="n">
        <f aca="false">-AM244*$AD$51</f>
        <v>-1.56541205302183</v>
      </c>
      <c r="AP244" s="0" t="n">
        <f aca="false">(-AN244+SQRT(AN244^2-4*$C244))/2</f>
        <v>4.60547138884542</v>
      </c>
      <c r="AQ244" s="0" t="n">
        <f aca="false">(-AO244+SQRT(AO244^2-4*$D244))/2</f>
        <v>1.96764256216108</v>
      </c>
      <c r="AR244" s="0" t="n">
        <f aca="false">IF(AP244&lt;&gt;0,($C$21-$B244)*$AM244/AP244/$AC$51-$AC$60*$AC$51,0)</f>
        <v>4.56657439591967E-005</v>
      </c>
      <c r="AS244" s="0" t="n">
        <f aca="false">IF(AQ244&lt;&gt;0,($C$27-$B244)*$AM244/AQ244/$AD$51-$AC$60*$AD$51,0)</f>
        <v>2.60274577411384E-005</v>
      </c>
      <c r="AT244" s="0" t="n">
        <f aca="false">AM244*1.001</f>
        <v>0.0299270651136325</v>
      </c>
      <c r="AU244" s="0" t="n">
        <f aca="false">-AT244*$AC$51</f>
        <v>-3.1339549301497</v>
      </c>
      <c r="AV244" s="0" t="n">
        <f aca="false">-AT244*$AD$51</f>
        <v>-1.56697746507485</v>
      </c>
      <c r="AW244" s="0" t="n">
        <f aca="false">(-AU244+SQRT(AU244^2-4*$C244))/2</f>
        <v>4.60784317168449</v>
      </c>
      <c r="AX244" s="0" t="n">
        <f aca="false">(-AV244+SQRT(AV244^2-4*$D244))/2</f>
        <v>1.96894242779305</v>
      </c>
      <c r="AY244" s="0" t="n">
        <f aca="false">IF(AW244&lt;&gt;0,($C$21-$B244)*$AT244/AW244/$AC$51-$AC$60*$AC$51,0)</f>
        <v>4.56997583945654E-005</v>
      </c>
      <c r="AZ244" s="0" t="n">
        <f aca="false">IF(AX244&lt;&gt;0,($C$27-$B244)*$AT244/AX244/$AD$51-$AC$60*$AD$51,0)</f>
        <v>2.60404400991357E-005</v>
      </c>
      <c r="BA244" s="0" t="n">
        <f aca="false">(AY244-AR244)/($AT244-$AM244)</f>
        <v>0.00113771429556257</v>
      </c>
      <c r="BB244" s="0" t="n">
        <f aca="false">(AZ244-AS244)/($AT244-$AM244)</f>
        <v>0.000434233704709057</v>
      </c>
      <c r="BC244" s="0" t="n">
        <f aca="false">IF(BA244&lt;&gt;BB244,(AS244-AR244)/(BA244-BB244),0)</f>
        <v>-0.0279158891849907</v>
      </c>
      <c r="BD244" s="0" t="n">
        <f aca="false">AM244+BC244</f>
        <v>0.00198127876069606</v>
      </c>
      <c r="BE244" s="0" t="n">
        <f aca="false">-BD244*$AC$51</f>
        <v>-0.207479026643875</v>
      </c>
      <c r="BF244" s="0" t="n">
        <f aca="false">-BD244*$AD$51</f>
        <v>-0.103739513321937</v>
      </c>
      <c r="BG244" s="0" t="n">
        <f aca="false">(-BE244+SQRT(BE244^2-4*$C244))/2</f>
        <v>2.71184375897747</v>
      </c>
      <c r="BH244" s="0" t="n">
        <f aca="false">(-BF244+SQRT(BF244^2-4*$D244))/2</f>
        <v>0.943013034275845</v>
      </c>
      <c r="BI244" s="0" t="n">
        <f aca="false">IF(BG244&lt;&gt;0,($C$21-$B244)*$BD244/BG244/$AC$51-$AC$60*$AC$51,0)</f>
        <v>-1.66051121568214E-005</v>
      </c>
      <c r="BJ244" s="0" t="n">
        <f aca="false">IF(BH244&lt;&gt;0,($C$27-$B244)*$BD244/BH244/$AD$51-$AC$60*$AD$51,0)</f>
        <v>-6.95809903145477E-006</v>
      </c>
      <c r="BK244" s="0" t="n">
        <f aca="false">BD244*1.001</f>
        <v>0.00198326003945676</v>
      </c>
      <c r="BL244" s="0" t="n">
        <f aca="false">-BK244*$AC$51</f>
        <v>-0.207686505670519</v>
      </c>
      <c r="BM244" s="0" t="n">
        <f aca="false">-BK244*$AD$51</f>
        <v>-0.103843252835259</v>
      </c>
      <c r="BN244" s="0" t="n">
        <f aca="false">(-BL244+SQRT(BL244^2-4*$C244))/2</f>
        <v>2.71195162687602</v>
      </c>
      <c r="BO244" s="0" t="n">
        <f aca="false">(-BM244+SQRT(BM244^2-4*$D244))/2</f>
        <v>0.943067924660499</v>
      </c>
      <c r="BP244" s="0" t="n">
        <f aca="false">IF(BN244&lt;&gt;0,($C$21-$B244)*$BK244/BN244/$AC$51-$AC$60*$AC$51,0)</f>
        <v>-1.65975295539688E-005</v>
      </c>
      <c r="BQ244" s="0" t="n">
        <f aca="false">IF(BO244&lt;&gt;0,($C$27-$B244)*$BK244/BO244/$AD$51-$AC$60*$AD$51,0)</f>
        <v>-6.95311444417914E-006</v>
      </c>
      <c r="BR244" s="0" t="n">
        <f aca="false">(BP244-BI244)/($BK244-$BD244)</f>
        <v>0.00382712569429886</v>
      </c>
      <c r="BS244" s="0" t="n">
        <f aca="false">(BQ244-BJ244)/($BK244-$BD244)</f>
        <v>0.00251584349184791</v>
      </c>
      <c r="BT244" s="0" t="n">
        <f aca="false">IF(BR244&lt;&gt;BS244,(BJ244-BI244)/(BR244-BS244),0)</f>
        <v>0.00735693133585978</v>
      </c>
      <c r="BU244" s="0" t="n">
        <f aca="false">BD244+BT244</f>
        <v>0.00933821009655584</v>
      </c>
      <c r="BV244" s="0" t="n">
        <f aca="false">-BU244*$AC$51</f>
        <v>-0.977895074567262</v>
      </c>
      <c r="BW244" s="0" t="n">
        <f aca="false">-BU244*$AD$51</f>
        <v>-0.488947537283631</v>
      </c>
      <c r="BX244" s="0" t="n">
        <f aca="false">(-BV244+SQRT(BV244^2-4*$C244))/2</f>
        <v>3.14045947649828</v>
      </c>
      <c r="BY244" s="0" t="n">
        <f aca="false">(-BW244+SQRT(BW244^2-4*$D244))/2</f>
        <v>1.1670859803191</v>
      </c>
      <c r="BZ244" s="0" t="n">
        <f aca="false">IF(BX244&lt;&gt;0,($C$21-$B244)*$BU244/BX244/$AC$51-$AC$60*$AC$51,0)</f>
        <v>7.63838112667267E-006</v>
      </c>
      <c r="CA244" s="0" t="n">
        <f aca="false">IF(BY244&lt;&gt;0,($C$27-$B244)*$BU244/BY244/$AD$51-$AC$60*$AD$51,0)</f>
        <v>7.90622288755629E-006</v>
      </c>
      <c r="CB244" s="0" t="n">
        <f aca="false">BU244*1.001</f>
        <v>0.0093475483066524</v>
      </c>
      <c r="CC244" s="0" t="n">
        <f aca="false">-CB244*$AC$51</f>
        <v>-0.978872969641829</v>
      </c>
      <c r="CD244" s="0" t="n">
        <f aca="false">-CB244*$AD$51</f>
        <v>-0.489436484820915</v>
      </c>
      <c r="CE244" s="0" t="n">
        <f aca="false">(-CC244+SQRT(CC244^2-4*$C244))/2</f>
        <v>3.14103863111963</v>
      </c>
      <c r="CF244" s="0" t="n">
        <f aca="false">(-CD244+SQRT(CD244^2-4*$D244))/2</f>
        <v>1.16739526485687</v>
      </c>
      <c r="CG244" s="0" t="n">
        <f aca="false">IF(CE244&lt;&gt;0,($C$21-$B244)*$CB244/CE244/$AC$51-$AC$60*$AC$51,0)</f>
        <v>7.6645895452999E-006</v>
      </c>
      <c r="CH244" s="0" t="n">
        <f aca="false">IF(CF244&lt;&gt;0,($C$27-$B244)*$CB244/CF244/$AD$51-$AC$60*$AD$51,0)</f>
        <v>7.92103445354161E-006</v>
      </c>
      <c r="CI244" s="0" t="n">
        <f aca="false">(CG244-BZ244)/($CB244-$BU244)</f>
        <v>0.00280657838667601</v>
      </c>
      <c r="CJ244" s="0" t="n">
        <f aca="false">(CH244-CA244)/($CB244-$BU244)</f>
        <v>0.00158612473184618</v>
      </c>
      <c r="CK244" s="0" t="n">
        <f aca="false">IF(CI244&lt;&gt;CJ244,(CA244-BZ244)/(CI244-CJ244),0)</f>
        <v>0.000219460820837944</v>
      </c>
      <c r="CL244" s="6" t="n">
        <f aca="false">IF(AND(BU244&gt;0,CE244&gt;0,CE244&lt;$C$15,CF244&lt;$C$15,CG244&gt;0,ABS(CK244)&lt;0.1*BU244),B244,"")</f>
        <v>1.86809235506965</v>
      </c>
      <c r="CM244" s="0" t="n">
        <f aca="false">CG244+BU244^2/$C$39</f>
        <v>2.21982841798695E-005</v>
      </c>
      <c r="CN244" s="0" t="n">
        <f aca="false">-BU244*$C$15/$C$39</f>
        <v>-0.00933821009655584</v>
      </c>
      <c r="CO244" s="0" t="n">
        <f aca="false">IF(CL244&lt;&gt;"",(-CM244+SQRT(CM244^2-4*$AC$60*CN244))/2/$AC$60,0)</f>
        <v>157.894402862844</v>
      </c>
      <c r="CP244" s="0" t="n">
        <f aca="false">CO244*30/PI()</f>
        <v>1507.78048212988</v>
      </c>
      <c r="DB244" s="6"/>
    </row>
    <row r="245" customFormat="false" ht="12.75" hidden="false" customHeight="false" outlineLevel="0" collapsed="false">
      <c r="A245" s="0" t="n">
        <f aca="false">A244+0.01</f>
        <v>0.960000000000001</v>
      </c>
      <c r="B245" s="0" t="n">
        <f aca="false">A245*$AC$68</f>
        <v>1.88775648512301</v>
      </c>
      <c r="C245" s="0" t="n">
        <f aca="false">$C$39*($B245-$C$21)</f>
        <v>-6.67346108926193</v>
      </c>
      <c r="D245" s="0" t="n">
        <f aca="false">$C$39*($B245-$C$27)</f>
        <v>-0.673461089261928</v>
      </c>
      <c r="E245" s="0" t="n">
        <f aca="false">$AC$71</f>
        <v>0.0474257507541105</v>
      </c>
      <c r="F245" s="0" t="n">
        <f aca="false">-E245*$AC$51</f>
        <v>-4.96641300533647</v>
      </c>
      <c r="G245" s="0" t="n">
        <f aca="false">-E245*$AD$51</f>
        <v>-2.48320650266823</v>
      </c>
      <c r="H245" s="0" t="n">
        <f aca="false">(-F245+SQRT(F245^2-4*$C245))/2</f>
        <v>6.06646976736924</v>
      </c>
      <c r="I245" s="0" t="n">
        <f aca="false">(-G245+SQRT(G245^2-4*$D245))/2</f>
        <v>2.72990420308594</v>
      </c>
      <c r="J245" s="0" t="n">
        <f aca="false">IF(H245&lt;&gt;0,($C$21-$B245)*$E245/H245/$AC$51-$AC$60*$AC$51,0)</f>
        <v>5.85306205174752E-005</v>
      </c>
      <c r="K245" s="0" t="n">
        <f aca="false">IF(I245&lt;&gt;0,($C$27-$B245)*$E245/I245/$AD$51-$AC$60*$AD$51,0)</f>
        <v>2.4990628753711E-005</v>
      </c>
      <c r="L245" s="0" t="n">
        <f aca="false">E245*1.001</f>
        <v>0.0474731765048646</v>
      </c>
      <c r="M245" s="0" t="n">
        <f aca="false">-L245*$AC$51</f>
        <v>-4.97137941834181</v>
      </c>
      <c r="N245" s="0" t="n">
        <f aca="false">-L245*$AD$51</f>
        <v>-2.4856897091709</v>
      </c>
      <c r="O245" s="0" t="n">
        <f aca="false">(-M245+SQRT(M245^2-4*$C245))/2</f>
        <v>6.07067428647944</v>
      </c>
      <c r="P245" s="0" t="n">
        <f aca="false">(-N245+SQRT(N245^2-4*$D245))/2</f>
        <v>2.73218176134344</v>
      </c>
      <c r="Q245" s="0" t="n">
        <f aca="false">IF(O245&lt;&gt;0,($C$21-$B245)*$L245/O245/$AC$51-$AC$60*$AC$51,0)</f>
        <v>5.85560876868601E-005</v>
      </c>
      <c r="R245" s="0" t="n">
        <f aca="false">IF(P245&lt;&gt;0,($C$27-$B245)*$L245/P245/$AD$51-$AC$60*$AD$51,0)</f>
        <v>2.49967945696667E-005</v>
      </c>
      <c r="S245" s="0" t="n">
        <f aca="false">(Q245-J245)/($L245-$E245)</f>
        <v>0.000536990326562285</v>
      </c>
      <c r="T245" s="0" t="n">
        <f aca="false">(R245-K245)/($L245-$E245)</f>
        <v>0.000130009875597473</v>
      </c>
      <c r="U245" s="0" t="n">
        <f aca="false">IF(S245&lt;&gt;T245,(K245-J245)/(S245-T245),0)</f>
        <v>-0.0824118005772815</v>
      </c>
      <c r="V245" s="0" t="n">
        <f aca="false">E245+U245</f>
        <v>-0.034986049823171</v>
      </c>
      <c r="W245" s="0" t="n">
        <f aca="false">-V245*$AC$51</f>
        <v>3.66373057008668</v>
      </c>
      <c r="X245" s="0" t="n">
        <f aca="false">-V245*$AD$51</f>
        <v>1.83186528504334</v>
      </c>
      <c r="Y245" s="0" t="n">
        <f aca="false">(-W245+SQRT(W245^2-4*$C245))/2</f>
        <v>1.33502459491915</v>
      </c>
      <c r="Z245" s="0" t="n">
        <f aca="false">(-X245+SQRT(X245^2-4*$D245))/2</f>
        <v>0.313861525174151</v>
      </c>
      <c r="AA245" s="0" t="n">
        <f aca="false">IF(Y245&lt;&gt;0,($C$21-$B245)*$V245/Y245/$AC$51-$AC$60*$AC$51,0)</f>
        <v>-0.000302842956685184</v>
      </c>
      <c r="AB245" s="0" t="n">
        <f aca="false">IF(Z245&lt;&gt;0,($C$27-$B245)*$V245/Z245/$AD$51-$AC$60*$AD$51,0)</f>
        <v>-0.000251207905902447</v>
      </c>
      <c r="AC245" s="0" t="n">
        <f aca="false">V245*1.001</f>
        <v>-0.0350210358729941</v>
      </c>
      <c r="AD245" s="0" t="n">
        <f aca="false">-AC245*$AC$51</f>
        <v>3.66739430065677</v>
      </c>
      <c r="AE245" s="0" t="n">
        <f aca="false">-AC245*$AD$51</f>
        <v>1.83369715032838</v>
      </c>
      <c r="AF245" s="0" t="n">
        <f aca="false">(-AD245+SQRT(AD245^2-4*$C245))/2</f>
        <v>1.33425271170927</v>
      </c>
      <c r="AG245" s="0" t="n">
        <f aca="false">(-AE245+SQRT(AE245^2-4*$D245))/2</f>
        <v>0.313627917517622</v>
      </c>
      <c r="AH245" s="0" t="n">
        <f aca="false">IF(AF245&lt;&gt;0,($C$21-$B245)*$AC245/AF245/$AC$51-$AC$60*$AC$51,0)</f>
        <v>-0.000303282482457378</v>
      </c>
      <c r="AI245" s="0" t="n">
        <f aca="false">IF(AG245&lt;&gt;0,($C$27-$B245)*$AC245/AG245/$AD$51-$AC$60*$AD$51,0)</f>
        <v>-0.000251625029181246</v>
      </c>
      <c r="AJ245" s="0" t="n">
        <f aca="false">(AH245-AA245)/($AC245-$V245)</f>
        <v>0.0125628864766247</v>
      </c>
      <c r="AK245" s="0" t="n">
        <f aca="false">(AI245-AB245)/($AC245-$V245)</f>
        <v>0.0119225600177017</v>
      </c>
      <c r="AL245" s="0" t="n">
        <f aca="false">IF(AJ245&lt;&gt;AK245,(AB245-AA245)/(AJ245-AK245),0)</f>
        <v>0.0806386337206611</v>
      </c>
      <c r="AM245" s="0" t="n">
        <f aca="false">V245+AL245</f>
        <v>0.0456525838974902</v>
      </c>
      <c r="AN245" s="0" t="n">
        <f aca="false">-AM245*$AC$51</f>
        <v>-4.78072740632489</v>
      </c>
      <c r="AO245" s="0" t="n">
        <f aca="false">-AM245*$AD$51</f>
        <v>-2.39036370316245</v>
      </c>
      <c r="AP245" s="0" t="n">
        <f aca="false">(-AN245+SQRT(AN245^2-4*$C245))/2</f>
        <v>5.90992329530724</v>
      </c>
      <c r="AQ245" s="0" t="n">
        <f aca="false">(-AO245+SQRT(AO245^2-4*$D245))/2</f>
        <v>2.64498209561867</v>
      </c>
      <c r="AR245" s="0" t="n">
        <f aca="false">IF(AP245&lt;&gt;0,($C$21-$B245)*$AM245/AP245/$AC$51-$AC$60*$AC$51,0)</f>
        <v>5.75433700660778E-005</v>
      </c>
      <c r="AS245" s="0" t="n">
        <f aca="false">IF(AQ245&lt;&gt;0,($C$27-$B245)*$AM245/AQ245/$AD$51-$AC$60*$AD$51,0)</f>
        <v>2.47492348604459E-005</v>
      </c>
      <c r="AT245" s="0" t="n">
        <f aca="false">AM245*1.001</f>
        <v>0.0456982364813877</v>
      </c>
      <c r="AU245" s="0" t="n">
        <f aca="false">-AT245*$AC$51</f>
        <v>-4.78550813373122</v>
      </c>
      <c r="AV245" s="0" t="n">
        <f aca="false">-AT245*$AD$51</f>
        <v>-2.39275406686561</v>
      </c>
      <c r="AW245" s="0" t="n">
        <f aca="false">(-AU245+SQRT(AU245^2-4*$C245))/2</f>
        <v>5.91393754884491</v>
      </c>
      <c r="AX245" s="0" t="n">
        <f aca="false">(-AV245+SQRT(AV245^2-4*$D245))/2</f>
        <v>2.64716271553316</v>
      </c>
      <c r="AY245" s="0" t="n">
        <f aca="false">IF(AW245&lt;&gt;0,($C$21-$B245)*$AT245/AW245/$AC$51-$AC$60*$AC$51,0)</f>
        <v>5.75696691566567E-005</v>
      </c>
      <c r="AZ245" s="0" t="n">
        <f aca="false">IF(AX245&lt;&gt;0,($C$27-$B245)*$AT245/AX245/$AD$51-$AC$60*$AD$51,0)</f>
        <v>2.47557254099636E-005</v>
      </c>
      <c r="BA245" s="0" t="n">
        <f aca="false">(AY245-AR245)/($AT245-$AM245)</f>
        <v>0.000576070143979137</v>
      </c>
      <c r="BB245" s="0" t="n">
        <f aca="false">(AZ245-AS245)/($AT245-$AM245)</f>
        <v>0.000142172665017761</v>
      </c>
      <c r="BC245" s="0" t="n">
        <f aca="false">IF(BA245&lt;&gt;BB245,(AS245-AR245)/(BA245-BB245),0)</f>
        <v>-0.0755803773834581</v>
      </c>
      <c r="BD245" s="0" t="n">
        <f aca="false">AM245+BC245</f>
        <v>-0.0299277934859679</v>
      </c>
      <c r="BE245" s="0" t="n">
        <f aca="false">-BD245*$AC$51</f>
        <v>3.13403120512231</v>
      </c>
      <c r="BF245" s="0" t="n">
        <f aca="false">-BD245*$AD$51</f>
        <v>1.56701560256115</v>
      </c>
      <c r="BG245" s="0" t="n">
        <f aca="false">(-BE245+SQRT(BE245^2-4*$C245))/2</f>
        <v>1.45440773552506</v>
      </c>
      <c r="BH245" s="0" t="n">
        <f aca="false">(-BF245+SQRT(BF245^2-4*$D245))/2</f>
        <v>0.351104715805962</v>
      </c>
      <c r="BI245" s="0" t="n">
        <f aca="false">IF(BG245&lt;&gt;0,($C$21-$B245)*$BD245/BG245/$AC$51-$AC$60*$AC$51,0)</f>
        <v>-0.000243056650247372</v>
      </c>
      <c r="BJ245" s="0" t="n">
        <f aca="false">IF(BH245&lt;&gt;0,($C$27-$B245)*$BD245/BH245/$AD$51-$AC$60*$AD$51,0)</f>
        <v>-0.000194977202982808</v>
      </c>
      <c r="BK245" s="0" t="n">
        <f aca="false">BD245*1.001</f>
        <v>-0.0299577212794539</v>
      </c>
      <c r="BL245" s="0" t="n">
        <f aca="false">-BK245*$AC$51</f>
        <v>3.13716523632743</v>
      </c>
      <c r="BM245" s="0" t="n">
        <f aca="false">-BK245*$AD$51</f>
        <v>1.56858261816371</v>
      </c>
      <c r="BN245" s="0" t="n">
        <f aca="false">(-BL245+SQRT(BL245^2-4*$C245))/2</f>
        <v>1.45365372588141</v>
      </c>
      <c r="BO245" s="0" t="n">
        <f aca="false">(-BM245+SQRT(BM245^2-4*$D245))/2</f>
        <v>0.350862401550875</v>
      </c>
      <c r="BP245" s="0" t="n">
        <f aca="false">IF(BN245&lt;&gt;0,($C$21-$B245)*$BK245/BN245/$AC$51-$AC$60*$AC$51,0)</f>
        <v>-0.000243388682274786</v>
      </c>
      <c r="BQ245" s="0" t="n">
        <f aca="false">IF(BO245&lt;&gt;0,($C$27-$B245)*$BK245/BO245/$AD$51-$AC$60*$AD$51,0)</f>
        <v>-0.000195286250504944</v>
      </c>
      <c r="BR245" s="0" t="n">
        <f aca="false">(BP245-BI245)/($BK245-$BD245)</f>
        <v>0.011094437268503</v>
      </c>
      <c r="BS245" s="0" t="n">
        <f aca="false">(BQ245-BJ245)/($BK245-$BD245)</f>
        <v>0.0103264386090343</v>
      </c>
      <c r="BT245" s="0" t="n">
        <f aca="false">IF(BR245&lt;&gt;BS245,(BJ245-BI245)/(BR245-BS245),0)</f>
        <v>0.0626035562325391</v>
      </c>
      <c r="BU245" s="0" t="n">
        <f aca="false">BD245+BT245</f>
        <v>0.0326757627465712</v>
      </c>
      <c r="BV245" s="0" t="n">
        <f aca="false">-BU245*$AC$51</f>
        <v>-3.42179787316903</v>
      </c>
      <c r="BW245" s="0" t="n">
        <f aca="false">-BU245*$AD$51</f>
        <v>-1.71089893658452</v>
      </c>
      <c r="BX245" s="0" t="n">
        <f aca="false">(-BV245+SQRT(BV245^2-4*$C245))/2</f>
        <v>4.80938828794075</v>
      </c>
      <c r="BY245" s="0" t="n">
        <f aca="false">(-BW245+SQRT(BW245^2-4*$D245))/2</f>
        <v>2.04088393803887</v>
      </c>
      <c r="BZ245" s="0" t="n">
        <f aca="false">IF(BX245&lt;&gt;0,($C$21-$B245)*$BU245/BX245/$AC$51-$AC$60*$AC$51,0)</f>
        <v>4.76596334382967E-005</v>
      </c>
      <c r="CA245" s="0" t="n">
        <f aca="false">IF(BY245&lt;&gt;0,($C$27-$B245)*$BU245/BY245/$AD$51-$AC$60*$AD$51,0)</f>
        <v>2.20707338617853E-005</v>
      </c>
      <c r="CB245" s="0" t="n">
        <f aca="false">BU245*1.001</f>
        <v>0.0327084385093177</v>
      </c>
      <c r="CC245" s="0" t="n">
        <f aca="false">-CB245*$AC$51</f>
        <v>-3.4252196710422</v>
      </c>
      <c r="CD245" s="0" t="n">
        <f aca="false">-CB245*$AD$51</f>
        <v>-1.7126098355211</v>
      </c>
      <c r="CE245" s="0" t="n">
        <f aca="false">(-CC245+SQRT(CC245^2-4*$C245))/2</f>
        <v>4.81204422553254</v>
      </c>
      <c r="CF245" s="0" t="n">
        <f aca="false">(-CD245+SQRT(CD245^2-4*$D245))/2</f>
        <v>2.04235685652328</v>
      </c>
      <c r="CG245" s="0" t="n">
        <f aca="false">IF(CE245&lt;&gt;0,($C$21-$B245)*$CB245/CE245/$AC$51-$AC$60*$AC$51,0)</f>
        <v>4.76919267422025E-005</v>
      </c>
      <c r="CH245" s="0" t="n">
        <f aca="false">IF(CF245&lt;&gt;0,($C$27-$B245)*$CB245/CF245/$AD$51-$AC$60*$AD$51,0)</f>
        <v>2.20802785194214E-005</v>
      </c>
      <c r="CI245" s="0" t="n">
        <f aca="false">(CG245-BZ245)/($CB245-$BU245)</f>
        <v>0.000988295335485023</v>
      </c>
      <c r="CJ245" s="0" t="n">
        <f aca="false">(CH245-CA245)/($CB245-$BU245)</f>
        <v>0.000292102060786037</v>
      </c>
      <c r="CK245" s="0" t="n">
        <f aca="false">IF(CI245&lt;&gt;CJ245,(CA245-BZ245)/(CI245-CJ245),0)</f>
        <v>-0.0367554535593227</v>
      </c>
      <c r="CL245" s="6" t="str">
        <f aca="false">IF(AND(BU245&gt;0,CE245&gt;0,CE245&lt;$C$15,CF245&lt;$C$15,CG245&gt;0,ABS(CK245)&lt;0.1*BU245),B245,"")</f>
        <v/>
      </c>
      <c r="CM245" s="0" t="n">
        <f aca="false">CG245+BU245^2/$C$39</f>
        <v>0.000225642838587237</v>
      </c>
      <c r="CN245" s="0" t="n">
        <f aca="false">-BU245*$C$15/$C$39</f>
        <v>-0.0326757627465712</v>
      </c>
      <c r="CO245" s="0" t="n">
        <f aca="false">IF(CL245&lt;&gt;"",(-CM245+SQRT(CM245^2-4*$AC$60*CN245))/2/$AC$60,0)</f>
        <v>0</v>
      </c>
      <c r="CP245" s="0" t="n">
        <f aca="false">CO245*30/PI()</f>
        <v>0</v>
      </c>
      <c r="DB245" s="6"/>
    </row>
    <row r="246" customFormat="false" ht="12.75" hidden="false" customHeight="false" outlineLevel="0" collapsed="false">
      <c r="A246" s="0" t="n">
        <f aca="false">A245+0.01</f>
        <v>0.970000000000001</v>
      </c>
      <c r="B246" s="0" t="n">
        <f aca="false">A246*$AC$68</f>
        <v>1.90742061517638</v>
      </c>
      <c r="C246" s="0" t="n">
        <f aca="false">$C$39*($B246-$C$21)</f>
        <v>-6.55547630894174</v>
      </c>
      <c r="D246" s="0" t="n">
        <f aca="false">$C$39*($B246-$C$27)</f>
        <v>-0.55547630894174</v>
      </c>
      <c r="E246" s="0" t="n">
        <f aca="false">$AC$71</f>
        <v>0.0474257507541105</v>
      </c>
      <c r="F246" s="0" t="n">
        <f aca="false">-E246*$AC$51</f>
        <v>-4.96641300533647</v>
      </c>
      <c r="G246" s="0" t="n">
        <f aca="false">-E246*$AD$51</f>
        <v>-2.48320650266823</v>
      </c>
      <c r="H246" s="0" t="n">
        <f aca="false">(-F246+SQRT(F246^2-4*$C246))/2</f>
        <v>6.04996845769629</v>
      </c>
      <c r="I246" s="0" t="n">
        <f aca="false">(-G246+SQRT(G246^2-4*$D246))/2</f>
        <v>2.68972442812327</v>
      </c>
      <c r="J246" s="0" t="n">
        <f aca="false">IF(H246&lt;&gt;0,($C$21-$B246)*$E246/H246/$AC$51-$AC$60*$AC$51,0)</f>
        <v>5.72850946235123E-005</v>
      </c>
      <c r="K246" s="0" t="n">
        <f aca="false">IF(I246&lt;&gt;0,($C$27-$B246)*$E246/I246/$AD$51-$AC$60*$AD$51,0)</f>
        <v>1.89250556420648E-005</v>
      </c>
      <c r="L246" s="0" t="n">
        <f aca="false">E246*1.001</f>
        <v>0.0474731765048646</v>
      </c>
      <c r="M246" s="0" t="n">
        <f aca="false">-L246*$AC$51</f>
        <v>-4.97137941834181</v>
      </c>
      <c r="N246" s="0" t="n">
        <f aca="false">-L246*$AD$51</f>
        <v>-2.4856897091709</v>
      </c>
      <c r="O246" s="0" t="n">
        <f aca="false">(-M246+SQRT(M246^2-4*$C246))/2</f>
        <v>6.05418093645729</v>
      </c>
      <c r="P246" s="0" t="n">
        <f aca="false">(-N246+SQRT(N246^2-4*$D246))/2</f>
        <v>2.69203070930225</v>
      </c>
      <c r="Q246" s="0" t="n">
        <f aca="false">IF(O246&lt;&gt;0,($C$21-$B246)*$L246/O246/$AC$51-$AC$60*$AC$51,0)</f>
        <v>5.73099176656394E-005</v>
      </c>
      <c r="R246" s="0" t="n">
        <f aca="false">IF(P246&lt;&gt;0,($C$27-$B246)*$L246/P246/$AD$51-$AC$60*$AD$51,0)</f>
        <v>1.89294962576807E-005</v>
      </c>
      <c r="S246" s="0" t="n">
        <f aca="false">(Q246-J246)/($L246-$E246)</f>
        <v>0.000523408522424883</v>
      </c>
      <c r="T246" s="0" t="n">
        <f aca="false">(R246-K246)/($L246-$E246)</f>
        <v>9.36330062315328E-005</v>
      </c>
      <c r="U246" s="0" t="n">
        <f aca="false">IF(S246&lt;&gt;T246,(K246-J246)/(S246-T246),0)</f>
        <v>-0.0892559895482501</v>
      </c>
      <c r="V246" s="0" t="n">
        <f aca="false">E246+U246</f>
        <v>-0.0418302387941396</v>
      </c>
      <c r="W246" s="0" t="n">
        <f aca="false">-V246*$AC$51</f>
        <v>4.38045236311919</v>
      </c>
      <c r="X246" s="0" t="n">
        <f aca="false">-V246*$AD$51</f>
        <v>2.1902261815596</v>
      </c>
      <c r="Y246" s="0" t="n">
        <f aca="false">(-W246+SQRT(W246^2-4*$C246))/2</f>
        <v>1.17913088401402</v>
      </c>
      <c r="Z246" s="0" t="n">
        <f aca="false">(-X246+SQRT(X246^2-4*$D246))/2</f>
        <v>0.229556298365668</v>
      </c>
      <c r="AA246" s="0" t="n">
        <f aca="false">IF(Y246&lt;&gt;0,($C$21-$B246)*$V246/Y246/$AC$51-$AC$60*$AC$51,0)</f>
        <v>-0.000394630791592509</v>
      </c>
      <c r="AB246" s="0" t="n">
        <f aca="false">IF(Z246&lt;&gt;0,($C$27-$B246)*$V246/Z246/$AD$51-$AC$60*$AD$51,0)</f>
        <v>-0.000334444584744581</v>
      </c>
      <c r="AC246" s="0" t="n">
        <f aca="false">V246*1.001</f>
        <v>-0.0418720690329337</v>
      </c>
      <c r="AD246" s="0" t="n">
        <f aca="false">-AC246*$AC$51</f>
        <v>4.38483281548231</v>
      </c>
      <c r="AE246" s="0" t="n">
        <f aca="false">-AC246*$AD$51</f>
        <v>2.19241640774116</v>
      </c>
      <c r="AF246" s="0" t="n">
        <f aca="false">(-AD246+SQRT(AD246^2-4*$C246))/2</f>
        <v>1.17836480940634</v>
      </c>
      <c r="AG246" s="0" t="n">
        <f aca="false">(-AE246+SQRT(AE246^2-4*$D246))/2</f>
        <v>0.229366665827433</v>
      </c>
      <c r="AH246" s="0" t="n">
        <f aca="false">IF(AF246&lt;&gt;0,($C$21-$B246)*$AC246/AF246/$AC$51-$AC$60*$AC$51,0)</f>
        <v>-0.000395241787689141</v>
      </c>
      <c r="AI246" s="0" t="n">
        <f aca="false">IF(AG246&lt;&gt;0,($C$27-$B246)*$AC246/AG246/$AD$51-$AC$60*$AD$51,0)</f>
        <v>-0.000335033423255818</v>
      </c>
      <c r="AJ246" s="0" t="n">
        <f aca="false">(AH246-AA246)/($AC246-$V246)</f>
        <v>0.0146065648737761</v>
      </c>
      <c r="AK246" s="0" t="n">
        <f aca="false">(AI246-AB246)/($AC246-$V246)</f>
        <v>0.0140768622941572</v>
      </c>
      <c r="AL246" s="0" t="n">
        <f aca="false">IF(AJ246&lt;&gt;AK246,(AB246-AA246)/(AJ246-AK246),0)</f>
        <v>0.113622642523713</v>
      </c>
      <c r="AM246" s="0" t="n">
        <f aca="false">V246+AL246</f>
        <v>0.0717924037295736</v>
      </c>
      <c r="AN246" s="0" t="n">
        <f aca="false">-AM246*$AC$51</f>
        <v>-7.5180829380127</v>
      </c>
      <c r="AO246" s="0" t="n">
        <f aca="false">-AM246*$AD$51</f>
        <v>-3.75904146900635</v>
      </c>
      <c r="AP246" s="0" t="n">
        <f aca="false">(-AN246+SQRT(AN246^2-4*$C246))/2</f>
        <v>8.3072135276087</v>
      </c>
      <c r="AQ246" s="0" t="n">
        <f aca="false">(-AO246+SQRT(AO246^2-4*$D246))/2</f>
        <v>3.90141947093116</v>
      </c>
      <c r="AR246" s="0" t="n">
        <f aca="false">IF(AP246&lt;&gt;0,($C$21-$B246)*$AM246/AP246/$AC$51-$AC$60*$AC$51,0)</f>
        <v>6.56648428154718E-005</v>
      </c>
      <c r="AS246" s="0" t="n">
        <f aca="false">IF(AQ246&lt;&gt;0,($C$27-$B246)*$AM246/AQ246/$AD$51-$AC$60*$AD$51,0)</f>
        <v>2.02854845220518E-005</v>
      </c>
      <c r="AT246" s="0" t="n">
        <f aca="false">AM246*1.001</f>
        <v>0.0718641961333032</v>
      </c>
      <c r="AU246" s="0" t="n">
        <f aca="false">-AT246*$AC$51</f>
        <v>-7.52560102095071</v>
      </c>
      <c r="AV246" s="0" t="n">
        <f aca="false">-AT246*$AD$51</f>
        <v>-3.76280051047535</v>
      </c>
      <c r="AW246" s="0" t="n">
        <f aca="false">(-AU246+SQRT(AU246^2-4*$C246))/2</f>
        <v>8.31407989000979</v>
      </c>
      <c r="AX246" s="0" t="n">
        <f aca="false">(-AV246+SQRT(AV246^2-4*$D246))/2</f>
        <v>3.90504627896567</v>
      </c>
      <c r="AY246" s="0" t="n">
        <f aca="false">IF(AW246&lt;&gt;0,($C$21-$B246)*$AT246/AW246/$AC$51-$AC$60*$AC$51,0)</f>
        <v>6.56804689810454E-005</v>
      </c>
      <c r="AZ246" s="0" t="n">
        <f aca="false">IF(AX246&lt;&gt;0,($C$27-$B246)*$AT246/AX246/$AD$51-$AC$60*$AD$51,0)</f>
        <v>2.02877725638317E-005</v>
      </c>
      <c r="BA246" s="0" t="n">
        <f aca="false">(AY246-AR246)/($AT246-$AM246)</f>
        <v>0.000217657645682461</v>
      </c>
      <c r="BB246" s="0" t="n">
        <f aca="false">(AZ246-AS246)/($AT246-$AM246)</f>
        <v>3.18702489535907E-005</v>
      </c>
      <c r="BC246" s="0" t="n">
        <f aca="false">IF(BA246&lt;&gt;BB246,(AS246-AR246)/(BA246-BB246),0)</f>
        <v>-0.244254234099875</v>
      </c>
      <c r="BD246" s="0" t="n">
        <f aca="false">AM246+BC246</f>
        <v>-0.172461830370302</v>
      </c>
      <c r="BE246" s="0" t="n">
        <f aca="false">-BD246*$AC$51</f>
        <v>18.0601606438663</v>
      </c>
      <c r="BF246" s="0" t="n">
        <f aca="false">-BD246*$AD$51</f>
        <v>9.03008032193315</v>
      </c>
      <c r="BG246" s="0" t="n">
        <f aca="false">(-BE246+SQRT(BE246^2-4*$C246))/2</f>
        <v>0.355963942266014</v>
      </c>
      <c r="BH246" s="0" t="n">
        <f aca="false">(-BF246+SQRT(BF246^2-4*$D246))/2</f>
        <v>0.0611005672106977</v>
      </c>
      <c r="BI246" s="0" t="n">
        <f aca="false">IF(BG246&lt;&gt;0,($C$21-$B246)*$BD246/BG246/$AC$51-$AC$60*$AC$51,0)</f>
        <v>-0.00507938814908276</v>
      </c>
      <c r="BJ246" s="0" t="n">
        <f aca="false">IF(BH246&lt;&gt;0,($C$27-$B246)*$BD246/BH246/$AD$51-$AC$60*$AD$51,0)</f>
        <v>-0.0050029735098049</v>
      </c>
      <c r="BK246" s="0" t="n">
        <f aca="false">BD246*1.001</f>
        <v>-0.172634292200672</v>
      </c>
      <c r="BL246" s="0" t="n">
        <f aca="false">-BK246*$AC$51</f>
        <v>18.0782208045102</v>
      </c>
      <c r="BM246" s="0" t="n">
        <f aca="false">-BK246*$AD$51</f>
        <v>9.03911040225508</v>
      </c>
      <c r="BN246" s="0" t="n">
        <f aca="false">(-BL246+SQRT(BL246^2-4*$C246))/2</f>
        <v>0.355621801118135</v>
      </c>
      <c r="BO246" s="0" t="n">
        <f aca="false">(-BM246+SQRT(BM246^2-4*$D246))/2</f>
        <v>0.061040341482693</v>
      </c>
      <c r="BP246" s="0" t="n">
        <f aca="false">IF(BN246&lt;&gt;0,($C$21-$B246)*$BK246/BN246/$AC$51-$AC$60*$AC$51,0)</f>
        <v>-0.00508931116743176</v>
      </c>
      <c r="BQ246" s="0" t="n">
        <f aca="false">IF(BO246&lt;&gt;0,($C$27-$B246)*$BK246/BO246/$AD$51-$AC$60*$AD$51,0)</f>
        <v>-0.00501289327515639</v>
      </c>
      <c r="BR246" s="0" t="n">
        <f aca="false">(BP246-BI246)/($BK246-$BD246)</f>
        <v>0.0575374755543729</v>
      </c>
      <c r="BS246" s="0" t="n">
        <f aca="false">(BQ246-BJ246)/($BK246-$BD246)</f>
        <v>0.0575186134241226</v>
      </c>
      <c r="BT246" s="0" t="n">
        <f aca="false">IF(BR246&lt;&gt;BS246,(BJ246-BI246)/(BR246-BS246),0)</f>
        <v>4.05121999815923</v>
      </c>
      <c r="BU246" s="0" t="n">
        <f aca="false">BD246+BT246</f>
        <v>3.87875816778893</v>
      </c>
      <c r="BV246" s="0" t="n">
        <f aca="false">-BU246*$AC$51</f>
        <v>-406.182605499236</v>
      </c>
      <c r="BW246" s="0" t="n">
        <f aca="false">-BU246*$AD$51</f>
        <v>-203.091302749618</v>
      </c>
      <c r="BX246" s="0" t="n">
        <f aca="false">(-BV246+SQRT(BV246^2-4*$C246))/2</f>
        <v>406.198744092485</v>
      </c>
      <c r="BY246" s="0" t="n">
        <f aca="false">(-BW246+SQRT(BW246^2-4*$D246))/2</f>
        <v>203.094037819121</v>
      </c>
      <c r="BZ246" s="0" t="n">
        <f aca="false">IF(BX246&lt;&gt;0,($C$21-$B246)*$BU246/BX246/$AC$51-$AC$60*$AC$51,0)</f>
        <v>7.51252012241947E-005</v>
      </c>
      <c r="CA246" s="0" t="n">
        <f aca="false">IF(BY246&lt;&gt;0,($C$27-$B246)*$BU246/BY246/$AD$51-$AC$60*$AD$51,0)</f>
        <v>2.15173889026175E-005</v>
      </c>
      <c r="CB246" s="0" t="n">
        <f aca="false">BU246*1.001</f>
        <v>3.88263692595671</v>
      </c>
      <c r="CC246" s="0" t="n">
        <f aca="false">-CB246*$AC$51</f>
        <v>-406.588788104736</v>
      </c>
      <c r="CD246" s="0" t="n">
        <f aca="false">-CB246*$AD$51</f>
        <v>-203.294394052368</v>
      </c>
      <c r="CE246" s="0" t="n">
        <f aca="false">(-CC246+SQRT(CC246^2-4*$C246))/2</f>
        <v>406.604910576792</v>
      </c>
      <c r="CF246" s="0" t="n">
        <f aca="false">(-CD246+SQRT(CD246^2-4*$D246))/2</f>
        <v>203.297126389606</v>
      </c>
      <c r="CG246" s="0" t="n">
        <f aca="false">IF(CE246&lt;&gt;0,($C$21-$B246)*$CB246/CE246/$AC$51-$AC$60*$AC$51,0)</f>
        <v>7.51252091285664E-005</v>
      </c>
      <c r="CH246" s="0" t="n">
        <f aca="false">IF(CF246&lt;&gt;0,($C$27-$B246)*$CB246/CF246/$AD$51-$AC$60*$AD$51,0)</f>
        <v>2.15173898107631E-005</v>
      </c>
      <c r="CI246" s="0" t="n">
        <f aca="false">(CG246-BZ246)/($CB246-$BU246)</f>
        <v>2.03786145523844E-009</v>
      </c>
      <c r="CJ246" s="0" t="n">
        <f aca="false">(CH246-CA246)/($CB246-$BU246)</f>
        <v>2.34133090154415E-010</v>
      </c>
      <c r="CK246" s="0" t="n">
        <f aca="false">IF(CI246&lt;&gt;CJ246,(CA246-BZ246)/(CI246-CJ246),0)</f>
        <v>-29720.5573518161</v>
      </c>
      <c r="CL246" s="6" t="str">
        <f aca="false">IF(AND(BU246&gt;0,CE246&gt;0,CE246&lt;$C$15,CF246&lt;$C$15,CG246&gt;0,ABS(CK246)&lt;0.1*BU246),B246,"")</f>
        <v/>
      </c>
      <c r="CM246" s="0" t="n">
        <f aca="false">CG246+BU246^2/$C$39</f>
        <v>2.50753594590735</v>
      </c>
      <c r="CN246" s="0" t="n">
        <f aca="false">-BU246*$C$15/$C$39</f>
        <v>-3.87875816778893</v>
      </c>
      <c r="CO246" s="0" t="n">
        <f aca="false">IF(CL246&lt;&gt;"",(-CM246+SQRT(CM246^2-4*$AC$60*CN246))/2/$AC$60,0)</f>
        <v>0</v>
      </c>
      <c r="CP246" s="0" t="n">
        <f aca="false">CO246*30/PI()</f>
        <v>0</v>
      </c>
      <c r="DB246" s="6"/>
    </row>
    <row r="247" customFormat="false" ht="12.75" hidden="false" customHeight="false" outlineLevel="0" collapsed="false">
      <c r="A247" s="0" t="n">
        <f aca="false">A246+0.01</f>
        <v>0.980000000000001</v>
      </c>
      <c r="B247" s="0" t="n">
        <f aca="false">A247*$AC$68</f>
        <v>1.92708474522974</v>
      </c>
      <c r="C247" s="0" t="n">
        <f aca="false">$C$39*($B247-$C$21)</f>
        <v>-6.43749152862155</v>
      </c>
      <c r="D247" s="0" t="n">
        <f aca="false">$C$39*($B247-$C$27)</f>
        <v>-0.437491528621552</v>
      </c>
      <c r="E247" s="0" t="n">
        <f aca="false">$AC$71</f>
        <v>0.0474257507541105</v>
      </c>
      <c r="F247" s="0" t="n">
        <f aca="false">-E247*$AC$51</f>
        <v>-4.96641300533647</v>
      </c>
      <c r="G247" s="0" t="n">
        <f aca="false">-E247*$AD$51</f>
        <v>-2.48320650266823</v>
      </c>
      <c r="H247" s="0" t="n">
        <f aca="false">(-F247+SQRT(F247^2-4*$C247))/2</f>
        <v>6.03339045051028</v>
      </c>
      <c r="I247" s="0" t="n">
        <f aca="false">(-G247+SQRT(G247^2-4*$D247))/2</f>
        <v>2.64839753705787</v>
      </c>
      <c r="J247" s="0" t="n">
        <f aca="false">IF(H247&lt;&gt;0,($C$21-$B247)*$E247/H247/$AC$51-$AC$60*$AC$51,0)</f>
        <v>5.60337795685434E-005</v>
      </c>
      <c r="K247" s="0" t="n">
        <f aca="false">IF(I247&lt;&gt;0,($C$27-$B247)*$E247/I247/$AD$51-$AC$60*$AD$51,0)</f>
        <v>1.26863129047777E-005</v>
      </c>
      <c r="L247" s="0" t="n">
        <f aca="false">E247*1.001</f>
        <v>0.0474731765048646</v>
      </c>
      <c r="M247" s="0" t="n">
        <f aca="false">-L247*$AC$51</f>
        <v>-4.97137941834181</v>
      </c>
      <c r="N247" s="0" t="n">
        <f aca="false">-L247*$AD$51</f>
        <v>-2.4856897091709</v>
      </c>
      <c r="O247" s="0" t="n">
        <f aca="false">(-M247+SQRT(M247^2-4*$C247))/2</f>
        <v>6.03761100037369</v>
      </c>
      <c r="P247" s="0" t="n">
        <f aca="false">(-N247+SQRT(N247^2-4*$D247))/2</f>
        <v>2.65073507089888</v>
      </c>
      <c r="Q247" s="0" t="n">
        <f aca="false">IF(O247&lt;&gt;0,($C$21-$B247)*$L247/O247/$AC$51-$AC$60*$AC$51,0)</f>
        <v>5.60579611150791E-005</v>
      </c>
      <c r="R247" s="0" t="n">
        <f aca="false">IF(P247&lt;&gt;0,($C$27-$B247)*$L247/P247/$AD$51-$AC$60*$AD$51,0)</f>
        <v>1.26892374241106E-005</v>
      </c>
      <c r="S247" s="0" t="n">
        <f aca="false">(Q247-J247)/($L247-$E247)</f>
        <v>0.000509882208529119</v>
      </c>
      <c r="T247" s="0" t="n">
        <f aca="false">(R247-K247)/($L247-$E247)</f>
        <v>6.16652195556274E-005</v>
      </c>
      <c r="U247" s="0" t="n">
        <f aca="false">IF(S247&lt;&gt;T247,(K247-J247)/(S247-T247),0)</f>
        <v>-0.0967108961287708</v>
      </c>
      <c r="V247" s="0" t="n">
        <f aca="false">E247+U247</f>
        <v>-0.0492851453746603</v>
      </c>
      <c r="W247" s="0" t="n">
        <f aca="false">-V247*$AC$51</f>
        <v>5.16112835467126</v>
      </c>
      <c r="X247" s="0" t="n">
        <f aca="false">-V247*$AD$51</f>
        <v>2.58056417733563</v>
      </c>
      <c r="Y247" s="0" t="n">
        <f aca="false">(-W247+SQRT(W247^2-4*$C247))/2</f>
        <v>1.03838636142136</v>
      </c>
      <c r="Z247" s="0" t="n">
        <f aca="false">(-X247+SQRT(X247^2-4*$D247))/2</f>
        <v>0.159655633083893</v>
      </c>
      <c r="AA247" s="0" t="n">
        <f aca="false">IF(Y247&lt;&gt;0,($C$21-$B247)*$V247/Y247/$AC$51-$AC$60*$AC$51,0)</f>
        <v>-0.000510790487102511</v>
      </c>
      <c r="AB247" s="0" t="n">
        <f aca="false">IF(Z247&lt;&gt;0,($C$27-$B247)*$V247/Z247/$AD$51-$AC$60*$AD$51,0)</f>
        <v>-0.000442135353346431</v>
      </c>
      <c r="AC247" s="0" t="n">
        <f aca="false">V247*1.001</f>
        <v>-0.0493344305200349</v>
      </c>
      <c r="AD247" s="0" t="n">
        <f aca="false">-AC247*$AC$51</f>
        <v>5.16628948302593</v>
      </c>
      <c r="AE247" s="0" t="n">
        <f aca="false">-AC247*$AD$51</f>
        <v>2.58314474151296</v>
      </c>
      <c r="AF247" s="0" t="n">
        <f aca="false">(-AD247+SQRT(AD247^2-4*$C247))/2</f>
        <v>1.03764637152126</v>
      </c>
      <c r="AG247" s="0" t="n">
        <f aca="false">(-AE247+SQRT(AE247^2-4*$D247))/2</f>
        <v>0.159513676837896</v>
      </c>
      <c r="AH247" s="0" t="n">
        <f aca="false">IF(AF247&lt;&gt;0,($C$21-$B247)*$AC247/AF247/$AC$51-$AC$60*$AC$51,0)</f>
        <v>-0.000511623915222708</v>
      </c>
      <c r="AI247" s="0" t="n">
        <f aca="false">IF(AG247&lt;&gt;0,($C$27-$B247)*$AC247/AG247/$AD$51-$AC$60*$AD$51,0)</f>
        <v>-0.000442948187769689</v>
      </c>
      <c r="AJ247" s="0" t="n">
        <f aca="false">(AH247-AA247)/($AC247-$V247)</f>
        <v>0.0169103309701598</v>
      </c>
      <c r="AK247" s="0" t="n">
        <f aca="false">(AI247-AB247)/($AC247-$V247)</f>
        <v>0.0164924830205758</v>
      </c>
      <c r="AL247" s="0" t="n">
        <f aca="false">IF(AJ247&lt;&gt;AK247,(AB247-AA247)/(AJ247-AK247),0)</f>
        <v>0.16430649910917</v>
      </c>
      <c r="AM247" s="0" t="n">
        <f aca="false">V247+AL247</f>
        <v>0.11502135373451</v>
      </c>
      <c r="AN247" s="0" t="n">
        <f aca="false">-AM247*$AC$51</f>
        <v>-12.0450079966096</v>
      </c>
      <c r="AO247" s="0" t="n">
        <f aca="false">-AM247*$AD$51</f>
        <v>-6.02250399830482</v>
      </c>
      <c r="AP247" s="0" t="n">
        <f aca="false">(-AN247+SQRT(AN247^2-4*$C247))/2</f>
        <v>12.5576433187952</v>
      </c>
      <c r="AQ247" s="0" t="n">
        <f aca="false">(-AO247+SQRT(AO247^2-4*$D247))/2</f>
        <v>6.09429110545984</v>
      </c>
      <c r="AR247" s="0" t="n">
        <f aca="false">IF(AP247&lt;&gt;0,($C$21-$B247)*$AM247/AP247/$AC$51-$AC$60*$AC$51,0)</f>
        <v>6.93420013478387E-005</v>
      </c>
      <c r="AS247" s="0" t="n">
        <f aca="false">IF(AQ247&lt;&gt;0,($C$27-$B247)*$AM247/AQ247/$AD$51-$AC$60*$AD$51,0)</f>
        <v>1.40319406436112E-005</v>
      </c>
      <c r="AT247" s="0" t="n">
        <f aca="false">AM247*1.001</f>
        <v>0.115136375088244</v>
      </c>
      <c r="AU247" s="0" t="n">
        <f aca="false">-AT247*$AC$51</f>
        <v>-12.0570530046062</v>
      </c>
      <c r="AV247" s="0" t="n">
        <f aca="false">-AT247*$AD$51</f>
        <v>-6.02852650230313</v>
      </c>
      <c r="AW247" s="0" t="n">
        <f aca="false">(-AU247+SQRT(AU247^2-4*$C247))/2</f>
        <v>12.5692163220081</v>
      </c>
      <c r="AX247" s="0" t="n">
        <f aca="false">(-AV247+SQRT(AV247^2-4*$D247))/2</f>
        <v>6.10024356150099</v>
      </c>
      <c r="AY247" s="0" t="n">
        <f aca="false">IF(AW247&lt;&gt;0,($C$21-$B247)*$AT247/AW247/$AC$51-$AC$60*$AC$51,0)</f>
        <v>6.93493528561744E-005</v>
      </c>
      <c r="AZ247" s="0" t="n">
        <f aca="false">IF(AX247&lt;&gt;0,($C$27-$B247)*$AT247/AX247/$AD$51-$AC$60*$AD$51,0)</f>
        <v>1.40325517424935E-005</v>
      </c>
      <c r="BA247" s="0" t="n">
        <f aca="false">(AY247-AR247)/($AT247-$AM247)</f>
        <v>6.39142915379695E-005</v>
      </c>
      <c r="BB247" s="0" t="n">
        <f aca="false">(AZ247-AS247)/($AT247-$AM247)</f>
        <v>5.31291679716684E-006</v>
      </c>
      <c r="BC247" s="0" t="n">
        <f aca="false">IF(BA247&lt;&gt;BB247,(AS247-AR247)/(BA247-BB247),0)</f>
        <v>-0.943835549061217</v>
      </c>
      <c r="BD247" s="0" t="n">
        <f aca="false">AM247+BC247</f>
        <v>-0.828814195326707</v>
      </c>
      <c r="BE247" s="0" t="n">
        <f aca="false">-BD247*$AC$51</f>
        <v>86.7932195743106</v>
      </c>
      <c r="BF247" s="0" t="n">
        <f aca="false">-BD247*$AD$51</f>
        <v>43.3966097871553</v>
      </c>
      <c r="BG247" s="0" t="n">
        <f aca="false">(-BE247+SQRT(BE247^2-4*$C247))/2</f>
        <v>0.074107167448112</v>
      </c>
      <c r="BH247" s="0" t="n">
        <f aca="false">(-BF247+SQRT(BF247^2-4*$D247))/2</f>
        <v>0.010078896637534</v>
      </c>
      <c r="BI247" s="0" t="n">
        <f aca="false">IF(BG247&lt;&gt;0,($C$21-$B247)*$BD247/BG247/$AC$51-$AC$60*$AC$51,0)</f>
        <v>-0.114611085201792</v>
      </c>
      <c r="BJ247" s="0" t="n">
        <f aca="false">IF(BH247&lt;&gt;0,($C$27-$B247)*$BD247/BH247/$AD$51-$AC$60*$AD$51,0)</f>
        <v>-0.114527669582567</v>
      </c>
      <c r="BK247" s="0" t="n">
        <f aca="false">BD247*1.001</f>
        <v>-0.829643009522034</v>
      </c>
      <c r="BL247" s="0" t="n">
        <f aca="false">-BK247*$AC$51</f>
        <v>86.8800127938849</v>
      </c>
      <c r="BM247" s="0" t="n">
        <f aca="false">-BK247*$AD$51</f>
        <v>43.4400063969425</v>
      </c>
      <c r="BN247" s="0" t="n">
        <f aca="false">(-BL247+SQRT(BL247^2-4*$C247))/2</f>
        <v>0.0740332603339411</v>
      </c>
      <c r="BO247" s="0" t="n">
        <f aca="false">(-BM247+SQRT(BM247^2-4*$D247))/2</f>
        <v>0.0100688324775398</v>
      </c>
      <c r="BP247" s="0" t="n">
        <f aca="false">IF(BN247&lt;&gt;0,($C$21-$B247)*$BK247/BN247/$AC$51-$AC$60*$AC$51,0)</f>
        <v>-0.11484017751381</v>
      </c>
      <c r="BQ247" s="0" t="n">
        <f aca="false">IF(BO247&lt;&gt;0,($C$27-$B247)*$BK247/BO247/$AD$51-$AC$60*$AD$51,0)</f>
        <v>-0.114756761740523</v>
      </c>
      <c r="BR247" s="0" t="n">
        <f aca="false">(BP247-BI247)/($BK247-$BD247)</f>
        <v>0.276409734906731</v>
      </c>
      <c r="BS247" s="0" t="n">
        <f aca="false">(BQ247-BJ247)/($BK247-$BD247)</f>
        <v>0.276409549025888</v>
      </c>
      <c r="BT247" s="0" t="n">
        <f aca="false">IF(BR247&lt;&gt;BS247,(BJ247-BI247)/(BR247-BS247),0)</f>
        <v>448.758560218977</v>
      </c>
      <c r="BU247" s="0" t="n">
        <f aca="false">BD247+BT247</f>
        <v>447.929746023651</v>
      </c>
      <c r="BV247" s="0" t="n">
        <f aca="false">-BU247*$AC$51</f>
        <v>-46907.0933144081</v>
      </c>
      <c r="BW247" s="0" t="n">
        <f aca="false">-BU247*$AD$51</f>
        <v>-23453.546657204</v>
      </c>
      <c r="BX247" s="0" t="n">
        <f aca="false">(-BV247+SQRT(BV247^2-4*$C247))/2</f>
        <v>46907.0934516473</v>
      </c>
      <c r="BY247" s="0" t="n">
        <f aca="false">(-BW247+SQRT(BW247^2-4*$D247))/2</f>
        <v>23453.5466758576</v>
      </c>
      <c r="BZ247" s="0" t="n">
        <f aca="false">IF(BX247&lt;&gt;0,($C$21-$B247)*$BU247/BX247/$AC$51-$AC$60*$AC$51,0)</f>
        <v>7.3336005727923E-005</v>
      </c>
      <c r="CA247" s="0" t="n">
        <f aca="false">IF(BY247&lt;&gt;0,($C$27-$B247)*$BU247/BY247/$AD$51-$AC$60*$AD$51,0)</f>
        <v>1.43452290914337E-005</v>
      </c>
      <c r="CB247" s="0" t="n">
        <f aca="false">BU247*1.001</f>
        <v>448.377675769674</v>
      </c>
      <c r="CC247" s="0" t="n">
        <f aca="false">-CB247*$AC$51</f>
        <v>-46954.0004077225</v>
      </c>
      <c r="CD247" s="0" t="n">
        <f aca="false">-CB247*$AD$51</f>
        <v>-23477.0002038612</v>
      </c>
      <c r="CE247" s="0" t="n">
        <f aca="false">(-CC247+SQRT(CC247^2-4*$C247))/2</f>
        <v>46954.0005448246</v>
      </c>
      <c r="CF247" s="0" t="n">
        <f aca="false">(-CD247+SQRT(CD247^2-4*$D247))/2</f>
        <v>23477.0002224961</v>
      </c>
      <c r="CG247" s="0" t="n">
        <f aca="false">IF(CE247&lt;&gt;0,($C$21-$B247)*$CB247/CE247/$AC$51-$AC$60*$AC$51,0)</f>
        <v>7.33360057284947E-005</v>
      </c>
      <c r="CH247" s="0" t="n">
        <f aca="false">IF(CF247&lt;&gt;0,($C$27-$B247)*$CB247/CF247/$AD$51-$AC$60*$AD$51,0)</f>
        <v>1.43452290914759E-005</v>
      </c>
      <c r="CI247" s="0" t="n">
        <f aca="false">(CG247-BZ247)/($CB247-$BU247)</f>
        <v>1.27625527344904E-015</v>
      </c>
      <c r="CJ247" s="0" t="n">
        <f aca="false">(CH247-CA247)/($CB247-$BU247)</f>
        <v>9.43001427984042E-017</v>
      </c>
      <c r="CK247" s="0" t="n">
        <f aca="false">IF(CI247&lt;&gt;CJ247,(CA247-BZ247)/(CI247-CJ247),0)</f>
        <v>-49909489037.8932</v>
      </c>
      <c r="CL247" s="6" t="str">
        <f aca="false">IF(AND(BU247&gt;0,CE247&gt;0,CE247&lt;$C$15,CF247&lt;$C$15,CG247&gt;0,ABS(CK247)&lt;0.1*BU247),B247,"")</f>
        <v/>
      </c>
      <c r="CM247" s="0" t="n">
        <f aca="false">CG247+BU247^2/$C$39</f>
        <v>33440.176302138</v>
      </c>
      <c r="CN247" s="0" t="n">
        <f aca="false">-BU247*$C$15/$C$39</f>
        <v>-447.929746023651</v>
      </c>
      <c r="CO247" s="0" t="n">
        <f aca="false">IF(CL247&lt;&gt;"",(-CM247+SQRT(CM247^2-4*$AC$60*CN247))/2/$AC$60,0)</f>
        <v>0</v>
      </c>
      <c r="CP247" s="0" t="n">
        <f aca="false">CO247*30/PI()</f>
        <v>0</v>
      </c>
      <c r="DB247" s="6"/>
    </row>
    <row r="248" customFormat="false" ht="12.75" hidden="false" customHeight="false" outlineLevel="0" collapsed="false">
      <c r="A248" s="0" t="n">
        <f aca="false">A247+0.01</f>
        <v>0.990000000000001</v>
      </c>
      <c r="B248" s="0" t="n">
        <f aca="false">A248*$AC$68</f>
        <v>1.94674887528311</v>
      </c>
      <c r="C248" s="0" t="n">
        <f aca="false">$C$39*($B248-$C$21)</f>
        <v>-6.31950674830136</v>
      </c>
      <c r="D248" s="0" t="n">
        <f aca="false">$C$39*($B248-$C$27)</f>
        <v>-0.319506748301363</v>
      </c>
      <c r="E248" s="0" t="n">
        <f aca="false">$AC$71</f>
        <v>0.0474257507541105</v>
      </c>
      <c r="F248" s="0" t="n">
        <f aca="false">-E248*$AC$51</f>
        <v>-4.96641300533647</v>
      </c>
      <c r="G248" s="0" t="n">
        <f aca="false">-E248*$AD$51</f>
        <v>-2.48320650266823</v>
      </c>
      <c r="H248" s="0" t="n">
        <f aca="false">(-F248+SQRT(F248^2-4*$C248))/2</f>
        <v>6.01673466630231</v>
      </c>
      <c r="I248" s="0" t="n">
        <f aca="false">(-G248+SQRT(G248^2-4*$D248))/2</f>
        <v>2.60581928335574</v>
      </c>
      <c r="J248" s="0" t="n">
        <f aca="false">IF(H248&lt;&gt;0,($C$21-$B248)*$E248/H248/$AC$51-$AC$60*$AC$51,0)</f>
        <v>5.47765938707744E-005</v>
      </c>
      <c r="K248" s="0" t="n">
        <f aca="false">IF(I248&lt;&gt;0,($C$27-$B248)*$E248/I248/$AD$51-$AC$60*$AD$51,0)</f>
        <v>6.2586633961273E-006</v>
      </c>
      <c r="L248" s="0" t="n">
        <f aca="false">E248*1.001</f>
        <v>0.0474731765048646</v>
      </c>
      <c r="M248" s="0" t="n">
        <f aca="false">-L248*$AC$51</f>
        <v>-4.97137941834181</v>
      </c>
      <c r="N248" s="0" t="n">
        <f aca="false">-L248*$AD$51</f>
        <v>-2.4856897091709</v>
      </c>
      <c r="O248" s="0" t="n">
        <f aca="false">(-M248+SQRT(M248^2-4*$C248))/2</f>
        <v>6.02096340134517</v>
      </c>
      <c r="P248" s="0" t="n">
        <f aca="false">(-N248+SQRT(N248^2-4*$D248))/2</f>
        <v>2.60819099416724</v>
      </c>
      <c r="Q248" s="0" t="n">
        <f aca="false">IF(O248&lt;&gt;0,($C$21-$B248)*$L248/O248/$AC$51-$AC$60*$AC$51,0)</f>
        <v>5.48001366702708E-005</v>
      </c>
      <c r="R248" s="0" t="n">
        <f aca="false">IF(P248&lt;&gt;0,($C$27-$B248)*$L248/P248/$AD$51-$AC$60*$AD$51,0)</f>
        <v>6.26032480996258E-006</v>
      </c>
      <c r="S248" s="0" t="n">
        <f aca="false">(Q248-J248)/($L248-$E248)</f>
        <v>0.000496413849480705</v>
      </c>
      <c r="T248" s="0" t="n">
        <f aca="false">(R248-K248)/($L248-$E248)</f>
        <v>3.50318931984368E-005</v>
      </c>
      <c r="U248" s="0" t="n">
        <f aca="false">IF(S248&lt;&gt;T248,(K248-J248)/(S248-T248),0)</f>
        <v>-0.105157841163958</v>
      </c>
      <c r="V248" s="0" t="n">
        <f aca="false">E248+U248</f>
        <v>-0.0577320904098479</v>
      </c>
      <c r="W248" s="0" t="n">
        <f aca="false">-V248*$AC$51</f>
        <v>6.04569037026533</v>
      </c>
      <c r="X248" s="0" t="n">
        <f aca="false">-V248*$AD$51</f>
        <v>3.02284518513267</v>
      </c>
      <c r="Y248" s="0" t="n">
        <f aca="false">(-W248+SQRT(W248^2-4*$C248))/2</f>
        <v>0.908706641001781</v>
      </c>
      <c r="Z248" s="0" t="n">
        <f aca="false">(-X248+SQRT(X248^2-4*$D248))/2</f>
        <v>0.102239392367717</v>
      </c>
      <c r="AA248" s="0" t="n">
        <f aca="false">IF(Y248&lt;&gt;0,($C$21-$B248)*$V248/Y248/$AC$51-$AC$60*$AC$51,0)</f>
        <v>-0.000663496301549591</v>
      </c>
      <c r="AB248" s="0" t="n">
        <f aca="false">IF(Z248&lt;&gt;0,($C$27-$B248)*$V248/Z248/$AD$51-$AC$60*$AD$51,0)</f>
        <v>-0.000586538331879582</v>
      </c>
      <c r="AC248" s="0" t="n">
        <f aca="false">V248*1.001</f>
        <v>-0.0577898225002578</v>
      </c>
      <c r="AD248" s="0" t="n">
        <f aca="false">-AC248*$AC$51</f>
        <v>6.0517360606356</v>
      </c>
      <c r="AE248" s="0" t="n">
        <f aca="false">-AC248*$AD$51</f>
        <v>3.0258680303178</v>
      </c>
      <c r="AF248" s="0" t="n">
        <f aca="false">(-AD248+SQRT(AD248^2-4*$C248))/2</f>
        <v>0.908008440188193</v>
      </c>
      <c r="AG248" s="0" t="n">
        <f aca="false">(-AE248+SQRT(AE248^2-4*$D248))/2</f>
        <v>0.102143717498632</v>
      </c>
      <c r="AH248" s="0" t="n">
        <f aca="false">IF(AF248&lt;&gt;0,($C$21-$B248)*$AC248/AF248/$AC$51-$AC$60*$AC$51,0)</f>
        <v>-0.000664627132990279</v>
      </c>
      <c r="AI248" s="0" t="n">
        <f aca="false">IF(AG248&lt;&gt;0,($C$27-$B248)*$AC248/AG248/$AD$51-$AC$60*$AD$51,0)</f>
        <v>-0.000587651074226874</v>
      </c>
      <c r="AJ248" s="0" t="n">
        <f aca="false">(AH248-AA248)/($AC248-$V248)</f>
        <v>0.0195875713604022</v>
      </c>
      <c r="AK248" s="0" t="n">
        <f aca="false">(AI248-AB248)/($AC248-$V248)</f>
        <v>0.0192742431357037</v>
      </c>
      <c r="AL248" s="0" t="n">
        <f aca="false">IF(AJ248&lt;&gt;AK248,(AB248-AA248)/(AJ248-AK248),0)</f>
        <v>0.245614546037381</v>
      </c>
      <c r="AM248" s="0" t="n">
        <f aca="false">V248+AL248</f>
        <v>0.187882455627533</v>
      </c>
      <c r="AN248" s="0" t="n">
        <f aca="false">-AM248*$AC$51</f>
        <v>-19.6750047445956</v>
      </c>
      <c r="AO248" s="0" t="n">
        <f aca="false">-AM248*$AD$51</f>
        <v>-9.83750237229779</v>
      </c>
      <c r="AP248" s="0" t="n">
        <f aca="false">(-AN248+SQRT(AN248^2-4*$C248))/2</f>
        <v>19.9911204305697</v>
      </c>
      <c r="AQ248" s="0" t="n">
        <f aca="false">(-AO248+SQRT(AO248^2-4*$D248))/2</f>
        <v>9.86987428899561</v>
      </c>
      <c r="AR248" s="0" t="n">
        <f aca="false">IF(AP248&lt;&gt;0,($C$21-$B248)*$AM248/AP248/$AC$51-$AC$60*$AC$51,0)</f>
        <v>7.00241117621358E-005</v>
      </c>
      <c r="AS248" s="0" t="n">
        <f aca="false">IF(AQ248&lt;&gt;0,($C$27-$B248)*$AM248/AQ248/$AD$51-$AC$60*$AD$51,0)</f>
        <v>7.10890738335462E-006</v>
      </c>
      <c r="AT248" s="0" t="n">
        <f aca="false">AM248*1.001</f>
        <v>0.18807033808316</v>
      </c>
      <c r="AU248" s="0" t="n">
        <f aca="false">-AT248*$AC$51</f>
        <v>-19.6946797493402</v>
      </c>
      <c r="AV248" s="0" t="n">
        <f aca="false">-AT248*$AD$51</f>
        <v>-9.84733987467008</v>
      </c>
      <c r="AW248" s="0" t="n">
        <f aca="false">(-AU248+SQRT(AU248^2-4*$C248))/2</f>
        <v>20.0104894531998</v>
      </c>
      <c r="AX248" s="0" t="n">
        <f aca="false">(-AV248+SQRT(AV248^2-4*$D248))/2</f>
        <v>9.87967966292257</v>
      </c>
      <c r="AY248" s="0" t="n">
        <f aca="false">IF(AW248&lt;&gt;0,($C$21-$B248)*$AT248/AW248/$AC$51-$AC$60*$AC$51,0)</f>
        <v>7.00270504493284E-005</v>
      </c>
      <c r="AZ248" s="0" t="n">
        <f aca="false">IF(AX248&lt;&gt;0,($C$27-$B248)*$AT248/AX248/$AD$51-$AC$60*$AD$51,0)</f>
        <v>7.10903377665614E-006</v>
      </c>
      <c r="BA248" s="0" t="n">
        <f aca="false">(AY248-AR248)/($AT248-$AM248)</f>
        <v>1.56410942297978E-005</v>
      </c>
      <c r="BB248" s="0" t="n">
        <f aca="false">(AZ248-AS248)/($AT248-$AM248)</f>
        <v>6.72725407490168E-007</v>
      </c>
      <c r="BC248" s="0" t="n">
        <f aca="false">IF(BA248&lt;&gt;BB248,(AS248-AR248)/(BA248-BB248),0)</f>
        <v>-4.20321045837792</v>
      </c>
      <c r="BD248" s="0" t="n">
        <f aca="false">AM248+BC248</f>
        <v>-4.01532800275038</v>
      </c>
      <c r="BE248" s="0" t="n">
        <f aca="false">-BD248*$AC$51</f>
        <v>420.484165173133</v>
      </c>
      <c r="BF248" s="0" t="n">
        <f aca="false">-BD248*$AD$51</f>
        <v>210.242082586566</v>
      </c>
      <c r="BG248" s="0" t="n">
        <f aca="false">(-BE248+SQRT(BE248^2-4*$C248))/2</f>
        <v>0.0150285823187062</v>
      </c>
      <c r="BH248" s="0" t="n">
        <f aca="false">(-BF248+SQRT(BF248^2-4*$D248))/2</f>
        <v>0.00151969784016615</v>
      </c>
      <c r="BI248" s="0" t="n">
        <f aca="false">IF(BG248&lt;&gt;0,($C$21-$B248)*$BD248/BG248/$AC$51-$AC$60*$AC$51,0)</f>
        <v>-2.68726370529716</v>
      </c>
      <c r="BJ248" s="0" t="n">
        <f aca="false">IF(BH248&lt;&gt;0,($C$27-$B248)*$BD248/BH248/$AD$51-$AC$60*$AD$51,0)</f>
        <v>-2.68717483622766</v>
      </c>
      <c r="BK248" s="0" t="n">
        <f aca="false">BD248*1.001</f>
        <v>-4.01934333075313</v>
      </c>
      <c r="BL248" s="0" t="n">
        <f aca="false">-BK248*$AC$51</f>
        <v>420.904649338306</v>
      </c>
      <c r="BM248" s="0" t="n">
        <f aca="false">-BK248*$AD$51</f>
        <v>210.452324669153</v>
      </c>
      <c r="BN248" s="0" t="n">
        <f aca="false">(-BL248+SQRT(BL248^2-4*$C248))/2</f>
        <v>0.0150135698214626</v>
      </c>
      <c r="BO248" s="0" t="n">
        <f aca="false">(-BM248+SQRT(BM248^2-4*$D248))/2</f>
        <v>0.00151817968242085</v>
      </c>
      <c r="BP248" s="0" t="n">
        <f aca="false">IF(BN248&lt;&gt;0,($C$21-$B248)*$BK248/BN248/$AC$51-$AC$60*$AC$51,0)</f>
        <v>-2.69264067877283</v>
      </c>
      <c r="BQ248" s="0" t="n">
        <f aca="false">IF(BO248&lt;&gt;0,($C$27-$B248)*$BK248/BO248/$AD$51-$AC$60*$AD$51,0)</f>
        <v>-2.69255180969325</v>
      </c>
      <c r="BR248" s="0" t="n">
        <f aca="false">(BP248-BI248)/($BK248-$BD248)</f>
        <v>1.33911189122892</v>
      </c>
      <c r="BS248" s="0" t="n">
        <f aca="false">(BQ248-BJ248)/($BK248-$BD248)</f>
        <v>1.339111888719</v>
      </c>
      <c r="BT248" s="0" t="n">
        <f aca="false">IF(BR248&lt;&gt;BS248,(BJ248-BI248)/(BR248-BS248),0)</f>
        <v>35407.1034091187</v>
      </c>
      <c r="BU248" s="0" t="n">
        <f aca="false">BD248+BT248</f>
        <v>35403.0880811159</v>
      </c>
      <c r="BV248" s="0" t="n">
        <f aca="false">-BU248*$AC$51</f>
        <v>-3707402.7143342</v>
      </c>
      <c r="BW248" s="0" t="n">
        <f aca="false">-BU248*$AD$51</f>
        <v>-1853701.3571671</v>
      </c>
      <c r="BX248" s="0" t="n">
        <f aca="false">(-BV248+SQRT(BV248^2-4*$C248))/2</f>
        <v>3707402.71433591</v>
      </c>
      <c r="BY248" s="0" t="n">
        <f aca="false">(-BW248+SQRT(BW248^2-4*$D248))/2</f>
        <v>1853701.35716727</v>
      </c>
      <c r="BZ248" s="0" t="n">
        <f aca="false">IF(BX248&lt;&gt;0,($C$21-$B248)*$BU248/BX248/$AC$51-$AC$60*$AC$51,0)</f>
        <v>7.1542852375057E-005</v>
      </c>
      <c r="CA248" s="0" t="n">
        <f aca="false">IF(BY248&lt;&gt;0,($C$27-$B248)*$BU248/BY248/$AD$51-$AC$60*$AD$51,0)</f>
        <v>7.17261455629129E-006</v>
      </c>
      <c r="CB248" s="0" t="n">
        <f aca="false">BU248*1.001</f>
        <v>35438.491169197</v>
      </c>
      <c r="CC248" s="0" t="n">
        <f aca="false">-CB248*$AC$51</f>
        <v>-3711110.11704854</v>
      </c>
      <c r="CD248" s="0" t="n">
        <f aca="false">-CB248*$AD$51</f>
        <v>-1855555.05852427</v>
      </c>
      <c r="CE248" s="0" t="n">
        <f aca="false">(-CC248+SQRT(CC248^2-4*$C248))/2</f>
        <v>3711110.11705024</v>
      </c>
      <c r="CF248" s="0" t="n">
        <f aca="false">(-CD248+SQRT(CD248^2-4*$D248))/2</f>
        <v>1855555.05852444</v>
      </c>
      <c r="CG248" s="0" t="n">
        <f aca="false">IF(CE248&lt;&gt;0,($C$21-$B248)*$CB248/CE248/$AC$51-$AC$60*$AC$51,0)</f>
        <v>7.15428523750571E-005</v>
      </c>
      <c r="CH248" s="0" t="n">
        <f aca="false">IF(CF248&lt;&gt;0,($C$27-$B248)*$CB248/CF248/$AD$51-$AC$60*$AD$51,0)</f>
        <v>7.1726145562913E-006</v>
      </c>
      <c r="CI248" s="0" t="n">
        <f aca="false">(CG248-BZ248)/($CB248-$BU248)</f>
        <v>0</v>
      </c>
      <c r="CJ248" s="0" t="n">
        <f aca="false">(CH248-CA248)/($CB248-$BU248)</f>
        <v>0</v>
      </c>
      <c r="CK248" s="0" t="n">
        <f aca="false">IF(CI248&lt;&gt;CJ248,(CA248-BZ248)/(CI248-CJ248),0)</f>
        <v>0</v>
      </c>
      <c r="CL248" s="6" t="str">
        <f aca="false">IF(AND(BU248&gt;0,CE248&gt;0,CE248&lt;$C$15,CF248&lt;$C$15,CG248&gt;0,ABS(CK248)&lt;0.1*BU248),B248,"")</f>
        <v/>
      </c>
      <c r="CM248" s="0" t="n">
        <f aca="false">CG248+BU248^2/$C$39</f>
        <v>208896440.946613</v>
      </c>
      <c r="CN248" s="0" t="n">
        <f aca="false">-BU248*$C$15/$C$39</f>
        <v>-35403.0880811159</v>
      </c>
      <c r="CO248" s="0" t="n">
        <f aca="false">IF(CL248&lt;&gt;"",(-CM248+SQRT(CM248^2-4*$AC$60*CN248))/2/$AC$60,0)</f>
        <v>0</v>
      </c>
      <c r="CP248" s="0" t="n">
        <f aca="false">CO248*30/PI()</f>
        <v>0</v>
      </c>
      <c r="DB248" s="6"/>
    </row>
    <row r="249" customFormat="false" ht="12.75" hidden="false" customHeight="false" outlineLevel="0" collapsed="false">
      <c r="A249" s="0" t="n">
        <f aca="false">A248+0.01</f>
        <v>1</v>
      </c>
      <c r="B249" s="0" t="n">
        <f aca="false">A249*$AC$68</f>
        <v>1.96641300533647</v>
      </c>
      <c r="C249" s="0" t="n">
        <f aca="false">$C$39*($B249-$C$21)</f>
        <v>-6.20152196798118</v>
      </c>
      <c r="D249" s="0" t="n">
        <f aca="false">$C$39*($B249-$C$27)</f>
        <v>-0.201521967981175</v>
      </c>
      <c r="E249" s="0" t="n">
        <f aca="false">$AC$71</f>
        <v>0.0474257507541105</v>
      </c>
      <c r="F249" s="0" t="n">
        <f aca="false">-E249*$AC$51</f>
        <v>-4.96641300533647</v>
      </c>
      <c r="G249" s="0" t="n">
        <f aca="false">-E249*$AD$51</f>
        <v>-2.48320650266823</v>
      </c>
      <c r="H249" s="0" t="n">
        <f aca="false">(-F249+SQRT(F249^2-4*$C249))/2</f>
        <v>6</v>
      </c>
      <c r="I249" s="0" t="n">
        <f aca="false">(-G249+SQRT(G249^2-4*$D249))/2</f>
        <v>2.56186860409644</v>
      </c>
      <c r="J249" s="0" t="n">
        <f aca="false">IF(H249&lt;&gt;0,($C$21-$B249)*$E249/H249/$AC$51-$AC$60*$AC$51,0)</f>
        <v>5.35134541188726E-005</v>
      </c>
      <c r="K249" s="0" t="n">
        <f aca="false">IF(I249&lt;&gt;0,($C$27-$B249)*$E249/I249/$AD$51-$AC$60*$AD$51,0)</f>
        <v>-3.76168645650682E-007</v>
      </c>
      <c r="L249" s="0" t="n">
        <f aca="false">E249*1.001</f>
        <v>0.0474731765048646</v>
      </c>
      <c r="M249" s="0" t="n">
        <f aca="false">-L249*$AC$51</f>
        <v>-4.97137941834181</v>
      </c>
      <c r="N249" s="0" t="n">
        <f aca="false">-L249*$AD$51</f>
        <v>-2.4856897091709</v>
      </c>
      <c r="O249" s="0" t="n">
        <f aca="false">(-M249+SQRT(M249^2-4*$C249))/2</f>
        <v>6.00423703701222</v>
      </c>
      <c r="P249" s="0" t="n">
        <f aca="false">(-N249+SQRT(N249^2-4*$D249))/2</f>
        <v>2.56427790266269</v>
      </c>
      <c r="Q249" s="0" t="n">
        <f aca="false">IF(O249&lt;&gt;0,($C$21-$B249)*$L249/O249/$AC$51-$AC$60*$AC$51,0)</f>
        <v>5.35363610414422E-005</v>
      </c>
      <c r="R249" s="0" t="n">
        <f aca="false">IF(P249&lt;&gt;0,($C$27-$B249)*$L249/P249/$AD$51-$AC$60*$AD$51,0)</f>
        <v>-3.75462110049469E-007</v>
      </c>
      <c r="S249" s="0" t="n">
        <f aca="false">(Q249-J249)/($L249-$E249)</f>
        <v>0.000483006008453602</v>
      </c>
      <c r="T249" s="0" t="n">
        <f aca="false">(R249-K249)/($L249-$E249)</f>
        <v>1.48977209633583E-005</v>
      </c>
      <c r="U249" s="0" t="n">
        <f aca="false">IF(S249&lt;&gt;T249,(K249-J249)/(S249-T249),0)</f>
        <v>-0.115122129226662</v>
      </c>
      <c r="V249" s="0" t="n">
        <f aca="false">E249+U249</f>
        <v>-0.0676963784725514</v>
      </c>
      <c r="W249" s="0" t="n">
        <f aca="false">-V249*$AC$51</f>
        <v>7.08914817613339</v>
      </c>
      <c r="X249" s="0" t="n">
        <f aca="false">-V249*$AD$51</f>
        <v>3.5445740880667</v>
      </c>
      <c r="Y249" s="0" t="n">
        <f aca="false">(-W249+SQRT(W249^2-4*$C249))/2</f>
        <v>0.787345513423505</v>
      </c>
      <c r="Z249" s="0" t="n">
        <f aca="false">(-X249+SQRT(X249^2-4*$D249))/2</f>
        <v>0.0559698674617617</v>
      </c>
      <c r="AA249" s="0" t="n">
        <f aca="false">IF(Y249&lt;&gt;0,($C$21-$B249)*$V249/Y249/$AC$51-$AC$60*$AC$51,0)</f>
        <v>-0.000873132360976245</v>
      </c>
      <c r="AB249" s="0" t="n">
        <f aca="false">IF(Z249&lt;&gt;0,($C$27-$B249)*$V249/Z249/$AD$51-$AC$60*$AD$51,0)</f>
        <v>-0.000788111635412357</v>
      </c>
      <c r="AC249" s="0" t="n">
        <f aca="false">V249*1.001</f>
        <v>-0.067764074851024</v>
      </c>
      <c r="AD249" s="0" t="n">
        <f aca="false">-AC249*$AC$51</f>
        <v>7.09623732430952</v>
      </c>
      <c r="AE249" s="0" t="n">
        <f aca="false">-AC249*$AD$51</f>
        <v>3.54811866215476</v>
      </c>
      <c r="AF249" s="0" t="n">
        <f aca="false">(-AD249+SQRT(AD249^2-4*$C249))/2</f>
        <v>0.786701750355089</v>
      </c>
      <c r="AG249" s="0" t="n">
        <f aca="false">(-AE249+SQRT(AE249^2-4*$D249))/2</f>
        <v>0.0559156627856225</v>
      </c>
      <c r="AH249" s="0" t="n">
        <f aca="false">IF(AF249&lt;&gt;0,($C$21-$B249)*$AC249/AF249/$AC$51-$AC$60*$AC$51,0)</f>
        <v>-0.000874676125180715</v>
      </c>
      <c r="AI249" s="0" t="n">
        <f aca="false">IF(AG249&lt;&gt;0,($C$27-$B249)*$AC249/AG249/$AD$51-$AC$60*$AD$51,0)</f>
        <v>-0.000789640367789098</v>
      </c>
      <c r="AJ249" s="0" t="n">
        <f aca="false">(AH249-AA249)/($AC249-$V249)</f>
        <v>0.0228042361984885</v>
      </c>
      <c r="AK249" s="0" t="n">
        <f aca="false">(AI249-AB249)/($AC249-$V249)</f>
        <v>0.0225821884602209</v>
      </c>
      <c r="AL249" s="0" t="n">
        <f aca="false">IF(AJ249&lt;&gt;AK249,(AB249-AA249)/(AJ249-AK249),0)</f>
        <v>0.38289390482979</v>
      </c>
      <c r="AM249" s="0" t="n">
        <f aca="false">V249+AL249</f>
        <v>0.315197526357239</v>
      </c>
      <c r="AN249" s="0" t="n">
        <f aca="false">-AM249*$AC$51</f>
        <v>-33.0074077744525</v>
      </c>
      <c r="AO249" s="0" t="n">
        <f aca="false">-AM249*$AD$51</f>
        <v>-16.5037038872263</v>
      </c>
      <c r="AP249" s="0" t="n">
        <f aca="false">(-AN249+SQRT(AN249^2-4*$C249))/2</f>
        <v>33.1942330569449</v>
      </c>
      <c r="AQ249" s="0" t="n">
        <f aca="false">(-AO249+SQRT(AO249^2-4*$D249))/2</f>
        <v>16.5159055777138</v>
      </c>
      <c r="AR249" s="0" t="n">
        <f aca="false">IF(AP249&lt;&gt;0,($C$21-$B249)*$AM249/AP249/$AC$51-$AC$60*$AC$51,0)</f>
        <v>6.92192263164671E-005</v>
      </c>
      <c r="AS249" s="0" t="n">
        <f aca="false">IF(AQ249&lt;&gt;0,($C$27-$B249)*$AM249/AQ249/$AD$51-$AC$60*$AD$51,0)</f>
        <v>-9.05089472963969E-009</v>
      </c>
      <c r="AT249" s="0" t="n">
        <f aca="false">AM249*1.001</f>
        <v>0.315512723883596</v>
      </c>
      <c r="AU249" s="0" t="n">
        <f aca="false">-AT249*$AC$51</f>
        <v>-33.040415182227</v>
      </c>
      <c r="AV249" s="0" t="n">
        <f aca="false">-AT249*$AD$51</f>
        <v>-16.5202075911135</v>
      </c>
      <c r="AW249" s="0" t="n">
        <f aca="false">(-AU249+SQRT(AU249^2-4*$C249))/2</f>
        <v>33.2270559121304</v>
      </c>
      <c r="AX249" s="0" t="n">
        <f aca="false">(-AV249+SQRT(AV249^2-4*$D249))/2</f>
        <v>16.5323971100707</v>
      </c>
      <c r="AY249" s="0" t="n">
        <f aca="false">IF(AW249&lt;&gt;0,($C$21-$B249)*$AT249/AW249/$AC$51-$AC$60*$AC$51,0)</f>
        <v>6.92202738374721E-005</v>
      </c>
      <c r="AZ249" s="0" t="n">
        <f aca="false">IF(AX249&lt;&gt;0,($C$27-$B249)*$AT249/AX249/$AD$51-$AC$60*$AD$51,0)</f>
        <v>-9.03284669036507E-009</v>
      </c>
      <c r="BA249" s="0" t="n">
        <f aca="false">(AY249-AR249)/($AT249-$AM249)</f>
        <v>3.32337952372163E-006</v>
      </c>
      <c r="BB249" s="0" t="n">
        <f aca="false">(AZ249-AS249)/($AT249-$AM249)</f>
        <v>5.72594572146789E-008</v>
      </c>
      <c r="BC249" s="0" t="n">
        <f aca="false">IF(BA249&lt;&gt;BB249,(AS249-AR249)/(BA249-BB249),0)</f>
        <v>-21.1958763920259</v>
      </c>
      <c r="BD249" s="0" t="n">
        <f aca="false">AM249+BC249</f>
        <v>-20.8806788656687</v>
      </c>
      <c r="BE249" s="0" t="n">
        <f aca="false">-BD249*$AC$51</f>
        <v>2186.61957754508</v>
      </c>
      <c r="BF249" s="0" t="n">
        <f aca="false">-BD249*$AD$51</f>
        <v>1093.30978877254</v>
      </c>
      <c r="BG249" s="0" t="n">
        <f aca="false">(-BE249+SQRT(BE249^2-4*$C249))/2</f>
        <v>0.00283611927193306</v>
      </c>
      <c r="BH249" s="0" t="n">
        <f aca="false">(-BF249+SQRT(BF249^2-4*$D249))/2</f>
        <v>0.000184322811378479</v>
      </c>
      <c r="BI249" s="0" t="n">
        <f aca="false">IF(BG249&lt;&gt;0,($C$21-$B249)*$BD249/BG249/$AC$51-$AC$60*$AC$51,0)</f>
        <v>-72.6672437374283</v>
      </c>
      <c r="BJ249" s="0" t="n">
        <f aca="false">IF(BH249&lt;&gt;0,($C$27-$B249)*$BD249/BH249/$AD$51-$AC$60*$AD$51,0)</f>
        <v>-72.6671494955738</v>
      </c>
      <c r="BK249" s="0" t="n">
        <f aca="false">BD249*1.001</f>
        <v>-20.9015595445343</v>
      </c>
      <c r="BL249" s="0" t="n">
        <f aca="false">-BK249*$AC$51</f>
        <v>2188.80619712262</v>
      </c>
      <c r="BM249" s="0" t="n">
        <f aca="false">-BK249*$AD$51</f>
        <v>1094.40309856131</v>
      </c>
      <c r="BN249" s="0" t="n">
        <f aca="false">(-BL249+SQRT(BL249^2-4*$C249))/2</f>
        <v>0.00283328599334709</v>
      </c>
      <c r="BO249" s="0" t="n">
        <f aca="false">(-BM249+SQRT(BM249^2-4*$D249))/2</f>
        <v>0.000184138672807421</v>
      </c>
      <c r="BP249" s="0" t="n">
        <f aca="false">IF(BN249&lt;&gt;0,($C$21-$B249)*$BK249/BN249/$AC$51-$AC$60*$AC$51,0)</f>
        <v>-72.812650652946</v>
      </c>
      <c r="BQ249" s="0" t="n">
        <f aca="false">IF(BO249&lt;&gt;0,($C$27-$B249)*$BK249/BO249/$AD$51-$AC$60*$AD$51,0)</f>
        <v>-72.8125563970062</v>
      </c>
      <c r="BR249" s="0" t="n">
        <f aca="false">(BP249-BI249)/($BK249-$BD249)</f>
        <v>6.96370632646448</v>
      </c>
      <c r="BS249" s="0" t="n">
        <f aca="false">(BQ249-BJ249)/($BK249-$BD249)</f>
        <v>6.96370565189959</v>
      </c>
      <c r="BT249" s="0" t="n">
        <f aca="false">IF(BR249&lt;&gt;BS249,(BJ249-BI249)/(BR249-BS249),0)</f>
        <v>139.707618524257</v>
      </c>
      <c r="BU249" s="0" t="n">
        <f aca="false">BD249+BT249</f>
        <v>118.826939658588</v>
      </c>
      <c r="BV249" s="0" t="n">
        <f aca="false">-BU249*$AC$51</f>
        <v>-12443.528022666</v>
      </c>
      <c r="BW249" s="0" t="n">
        <f aca="false">-BU249*$AD$51</f>
        <v>-6221.76401133298</v>
      </c>
      <c r="BX249" s="0" t="n">
        <f aca="false">(-BV249+SQRT(BV249^2-4*$C249))/2</f>
        <v>12443.5285210392</v>
      </c>
      <c r="BY249" s="0" t="n">
        <f aca="false">(-BW249+SQRT(BW249^2-4*$D249))/2</f>
        <v>6221.76404372283</v>
      </c>
      <c r="BZ249" s="0" t="n">
        <f aca="false">IF(BX249&lt;&gt;0,($C$21-$B249)*$BU249/BX249/$AC$51-$AC$60*$AC$51,0)</f>
        <v>6.97496949611665E-005</v>
      </c>
      <c r="CA249" s="0" t="n">
        <f aca="false">IF(BY249&lt;&gt;0,($C$27-$B249)*$BU249/BY249/$AD$51-$AC$60*$AD$51,0)</f>
        <v>-6.37782436184366E-014</v>
      </c>
      <c r="CB249" s="0" t="n">
        <f aca="false">BU249*1.001</f>
        <v>118.945766598247</v>
      </c>
      <c r="CC249" s="0" t="n">
        <f aca="false">-CB249*$AC$51</f>
        <v>-12455.9715506886</v>
      </c>
      <c r="CD249" s="0" t="n">
        <f aca="false">-CB249*$AD$51</f>
        <v>-6227.98577534431</v>
      </c>
      <c r="CE249" s="0" t="n">
        <f aca="false">(-CC249+SQRT(CC249^2-4*$C249))/2</f>
        <v>12455.972048564</v>
      </c>
      <c r="CF249" s="0" t="n">
        <f aca="false">(-CD249+SQRT(CD249^2-4*$D249))/2</f>
        <v>6227.9858077018</v>
      </c>
      <c r="CG249" s="0" t="n">
        <f aca="false">IF(CE249&lt;&gt;0,($C$21-$B249)*$CB249/CE249/$AC$51-$AC$60*$AC$51,0)</f>
        <v>6.97496949687049E-005</v>
      </c>
      <c r="CH249" s="0" t="n">
        <f aca="false">IF(CF249&lt;&gt;0,($C$27-$B249)*$CB249/CF249/$AD$51-$AC$60*$AD$51,0)</f>
        <v>-6.36508786622898E-014</v>
      </c>
      <c r="CI249" s="0" t="n">
        <f aca="false">(CG249-BZ249)/($CB249-$BU249)</f>
        <v>6.34403029260059E-014</v>
      </c>
      <c r="CJ249" s="0" t="n">
        <f aca="false">(CH249-CA249)/($CB249-$BU249)</f>
        <v>1.07185253203354E-015</v>
      </c>
      <c r="CK249" s="0" t="n">
        <f aca="false">IF(CI249&lt;&gt;CJ249,(CA249-BZ249)/(CI249-CJ249),0)</f>
        <v>-1118349014.35495</v>
      </c>
      <c r="CL249" s="6" t="str">
        <f aca="false">IF(AND(BU249&gt;0,CE249&gt;0,CE249&lt;$C$15,CF249&lt;$C$15,CG249&gt;0,ABS(CK249)&lt;0.1*BU249),B249,"")</f>
        <v/>
      </c>
      <c r="CM249" s="0" t="n">
        <f aca="false">CG249+BU249^2/$C$39</f>
        <v>2353.30700118733</v>
      </c>
      <c r="CN249" s="0" t="n">
        <f aca="false">-BU249*$C$15/$C$39</f>
        <v>-118.826939658588</v>
      </c>
      <c r="CO249" s="0" t="n">
        <f aca="false">IF(CL249&lt;&gt;"",(-CM249+SQRT(CM249^2-4*$AC$60*CN249))/2/$AC$60,0)</f>
        <v>0</v>
      </c>
      <c r="CP249" s="0" t="n">
        <f aca="false">CO249*30/PI()</f>
        <v>0</v>
      </c>
      <c r="DB249" s="6"/>
    </row>
    <row r="250" customFormat="false" ht="12.75" hidden="false" customHeight="false" outlineLevel="0" collapsed="false">
      <c r="DB250" s="6"/>
    </row>
    <row r="251" customFormat="false" ht="12.75" hidden="false" customHeight="false" outlineLevel="0" collapsed="false">
      <c r="A251" s="1" t="s">
        <v>212</v>
      </c>
      <c r="B251" s="0" t="s">
        <v>286</v>
      </c>
      <c r="DB251" s="6"/>
    </row>
    <row r="252" customFormat="false" ht="12.75" hidden="false" customHeight="false" outlineLevel="0" collapsed="false">
      <c r="B252" s="0" t="n">
        <f aca="false">C30</f>
        <v>1.8</v>
      </c>
      <c r="C252" s="0" t="n">
        <f aca="false">$C$39*($B252-$C$21)</f>
        <v>-7.2</v>
      </c>
      <c r="D252" s="0" t="n">
        <f aca="false">$C$39*($B252-$C$27)</f>
        <v>-1.2</v>
      </c>
      <c r="E252" s="0" t="n">
        <f aca="false">$AC$71</f>
        <v>0.0474257507541105</v>
      </c>
      <c r="F252" s="0" t="n">
        <f aca="false">-E252*$AC$51</f>
        <v>-4.96641300533647</v>
      </c>
      <c r="G252" s="0" t="n">
        <f aca="false">-E252*$AD$51</f>
        <v>-2.48320650266823</v>
      </c>
      <c r="H252" s="0" t="n">
        <f aca="false">(-F252+SQRT(F252^2-4*$C252))/2</f>
        <v>6.13920356706719</v>
      </c>
      <c r="I252" s="0" t="n">
        <f aca="false">(-G252+SQRT(G252^2-4*$D252))/2</f>
        <v>2.89737456215076</v>
      </c>
      <c r="J252" s="0" t="n">
        <f aca="false">IF(H252&lt;&gt;0,($C$21-$B252)*$E252/H252/$AC$51-$AC$60*$AC$51,0)</f>
        <v>6.40205987486326E-005</v>
      </c>
      <c r="K252" s="0" t="n">
        <f aca="false">IF(I252&lt;&gt;0,($C$27-$B252)*$E252/I252/$AD$51-$AC$60*$AD$51,0)</f>
        <v>5.02720970517537E-005</v>
      </c>
      <c r="L252" s="0" t="n">
        <f aca="false">E252*1.001</f>
        <v>0.0474731765048646</v>
      </c>
      <c r="M252" s="0" t="n">
        <f aca="false">-L252*$AC$51</f>
        <v>-4.97137941834181</v>
      </c>
      <c r="N252" s="0" t="n">
        <f aca="false">-L252*$AD$51</f>
        <v>-2.4856897091709</v>
      </c>
      <c r="O252" s="0" t="n">
        <f aca="false">(-M252+SQRT(M252^2-4*$C252))/2</f>
        <v>6.1433738576832</v>
      </c>
      <c r="P252" s="0" t="n">
        <f aca="false">(-N252+SQRT(N252^2-4*$D252))/2</f>
        <v>2.89954740259144</v>
      </c>
      <c r="Q252" s="0" t="n">
        <f aca="false">IF(O252&lt;&gt;0,($C$21-$B252)*$L252/O252/$AC$51-$AC$60*$AC$51,0)</f>
        <v>6.40489697313233E-005</v>
      </c>
      <c r="R252" s="0" t="n">
        <f aca="false">IF(P252&lt;&gt;0,($C$27-$B252)*$L252/P252/$AD$51-$AC$60*$AD$51,0)</f>
        <v>5.0287720236739E-005</v>
      </c>
      <c r="S252" s="0" t="n">
        <f aca="false">(Q252-J252)/($L252-$E252)</f>
        <v>0.000598218947293811</v>
      </c>
      <c r="T252" s="0" t="n">
        <f aca="false">(R252-K252)/($L252-$E252)</f>
        <v>0.000329424094230318</v>
      </c>
      <c r="U252" s="0" t="n">
        <f aca="false">(K252-J252)/(S252-T252)</f>
        <v>-0.0511486791513503</v>
      </c>
      <c r="V252" s="0" t="n">
        <f aca="false">E252+U252</f>
        <v>-0.0037229283972398</v>
      </c>
      <c r="W252" s="0" t="n">
        <f aca="false">-V252*$AC$51</f>
        <v>0.389864150086979</v>
      </c>
      <c r="X252" s="0" t="n">
        <f aca="false">-V252*$AD$51</f>
        <v>0.194932075043489</v>
      </c>
      <c r="Y252" s="0" t="n">
        <f aca="false">(-W252+SQRT(W252^2-4*$C252))/2</f>
        <v>2.49542078543425</v>
      </c>
      <c r="Z252" s="0" t="n">
        <f aca="false">(-X252+SQRT(X252^2-4*$D252))/2</f>
        <v>1.00230649735544</v>
      </c>
      <c r="AA252" s="0" t="n">
        <f aca="false">IF(Y252&lt;&gt;0,($C$21-$B252)*$V252/Y252/$AC$51-$AC$60*$AC$51,0)</f>
        <v>-4.15980943880554E-005</v>
      </c>
      <c r="AB252" s="0" t="n">
        <f aca="false">IF(Z252&lt;&gt;0,($C$27-$B252)*$V252/Z252/$AD$51-$AC$60*$AD$51,0)</f>
        <v>-2.64388814108705E-005</v>
      </c>
      <c r="AC252" s="0" t="n">
        <f aca="false">V252*1.001</f>
        <v>-0.00372665132563704</v>
      </c>
      <c r="AD252" s="0" t="n">
        <f aca="false">-AC252*$AC$51</f>
        <v>0.390254014237066</v>
      </c>
      <c r="AE252" s="0" t="n">
        <f aca="false">-AC252*$AD$51</f>
        <v>0.195127007118533</v>
      </c>
      <c r="AF252" s="0" t="n">
        <f aca="false">(-AD252+SQRT(AD252^2-4*$C252))/2</f>
        <v>2.49523998437297</v>
      </c>
      <c r="AG252" s="0" t="n">
        <f aca="false">(-AE252+SQRT(AE252^2-4*$D252))/2</f>
        <v>1.00221767341493</v>
      </c>
      <c r="AH252" s="0" t="n">
        <f aca="false">IF(AF252&lt;&gt;0,($C$21-$B252)*$AC252/AF252/$AC$51-$AC$60*$AC$51,0)</f>
        <v>-4.16164303337492E-005</v>
      </c>
      <c r="AI252" s="0" t="n">
        <f aca="false">IF(AG252&lt;&gt;0,($C$27-$B252)*$AC252/AG252/$AD$51-$AC$60*$AD$51,0)</f>
        <v>-2.6454327912167E-005</v>
      </c>
      <c r="AJ252" s="0" t="n">
        <f aca="false">(AH252-AA252)/($AC252-$V252)</f>
        <v>0.00492514057142307</v>
      </c>
      <c r="AK252" s="0" t="n">
        <f aca="false">(AI252-AB252)/($AC252-$V252)</f>
        <v>0.00414901917211104</v>
      </c>
      <c r="AL252" s="0" t="n">
        <f aca="false">(AB252-AA252)/(AJ252-AK252)</f>
        <v>0.0195320126343924</v>
      </c>
      <c r="AM252" s="0" t="n">
        <f aca="false">V252+AL252</f>
        <v>0.0158090842371526</v>
      </c>
      <c r="AN252" s="0" t="n">
        <f aca="false">-AM252*$AC$51</f>
        <v>-1.65552342998069</v>
      </c>
      <c r="AO252" s="0" t="n">
        <f aca="false">-AM252*$AD$51</f>
        <v>-0.827761714990347</v>
      </c>
      <c r="AP252" s="0" t="n">
        <f aca="false">(-AN252+SQRT(AN252^2-4*$C252))/2</f>
        <v>3.63581966610242</v>
      </c>
      <c r="AQ252" s="0" t="n">
        <f aca="false">(-AO252+SQRT(AO252^2-4*$D252))/2</f>
        <v>1.5849049239434</v>
      </c>
      <c r="AR252" s="0" t="n">
        <f aca="false">IF(AP252&lt;&gt;0,($C$21-$B252)*$AM252/AP252/$AC$51-$AC$60*$AC$51,0)</f>
        <v>2.53239796496108E-005</v>
      </c>
      <c r="AS252" s="0" t="n">
        <f aca="false">IF(AQ252&lt;&gt;0,($C$27-$B252)*$AM252/AQ252/$AD$51-$AC$60*$AD$51,0)</f>
        <v>2.58498016257769E-005</v>
      </c>
      <c r="AT252" s="0" t="n">
        <f aca="false">AM252*1.001</f>
        <v>0.0158248933213898</v>
      </c>
      <c r="AU252" s="0" t="n">
        <f aca="false">-AT252*$AC$51</f>
        <v>-1.65717895341067</v>
      </c>
      <c r="AV252" s="0" t="n">
        <f aca="false">-AT252*$AD$51</f>
        <v>-0.828589476705337</v>
      </c>
      <c r="AW252" s="0" t="n">
        <f aca="false">(-AU252+SQRT(AU252^2-4*$C252))/2</f>
        <v>3.63689154751375</v>
      </c>
      <c r="AX252" s="0" t="n">
        <f aca="false">(-AV252+SQRT(AV252^2-4*$D252))/2</f>
        <v>1.58546514876556</v>
      </c>
      <c r="AY252" s="0" t="n">
        <f aca="false">IF(AW252&lt;&gt;0,($C$21-$B252)*$AT252/AW252/$AC$51-$AC$60*$AC$51,0)</f>
        <v>2.53591060962286E-005</v>
      </c>
      <c r="AZ252" s="0" t="n">
        <f aca="false">IF(AX252&lt;&gt;0,($C$27-$B252)*$AT252/AX252/$AD$51-$AC$60*$AD$51,0)</f>
        <v>2.58744260721466E-005</v>
      </c>
      <c r="BA252" s="0" t="n">
        <f aca="false">(AY252-AR252)/($AT252-$AM252)</f>
        <v>0.00222191532987779</v>
      </c>
      <c r="BB252" s="0" t="n">
        <f aca="false">(AZ252-AS252)/($AT252-$AM252)</f>
        <v>0.00155761371122815</v>
      </c>
      <c r="BC252" s="0" t="n">
        <f aca="false">(AS252-AR252)/(BA252-BB252)</f>
        <v>0.000791541013003927</v>
      </c>
      <c r="BD252" s="0" t="n">
        <f aca="false">AM252+BC252</f>
        <v>0.0166006252501565</v>
      </c>
      <c r="BE252" s="0" t="n">
        <f aca="false">-BD252*$AC$51</f>
        <v>-1.73841341102963</v>
      </c>
      <c r="BF252" s="0" t="n">
        <f aca="false">-BD252*$AD$51</f>
        <v>-0.869206705514817</v>
      </c>
      <c r="BG252" s="0" t="n">
        <f aca="false">(-BE252+SQRT(BE252^2-4*$C252))/2</f>
        <v>3.68975989538944</v>
      </c>
      <c r="BH252" s="0" t="n">
        <f aca="false">(-BF252+SQRT(BF252^2-4*$D252))/2</f>
        <v>1.61311091498515</v>
      </c>
      <c r="BI252" s="0" t="n">
        <f aca="false">IF(BG252&lt;&gt;0,($C$21-$B252)*$BD252/BG252/$AC$51-$AC$60*$AC$51,0)</f>
        <v>2.70538374455618E-005</v>
      </c>
      <c r="BJ252" s="0" t="n">
        <f aca="false">IF(BH252&lt;&gt;0,($C$27-$B252)*$BD252/BH252/$AD$51-$AC$60*$AD$51,0)</f>
        <v>2.70578966124724E-005</v>
      </c>
      <c r="BK252" s="0" t="n">
        <f aca="false">BD252*1.001</f>
        <v>0.0166172258754067</v>
      </c>
      <c r="BL252" s="0" t="n">
        <f aca="false">-BK252*$AC$51</f>
        <v>-1.74015182444066</v>
      </c>
      <c r="BM252" s="0" t="n">
        <f aca="false">-BK252*$AD$51</f>
        <v>-0.870075912220331</v>
      </c>
      <c r="BN252" s="0" t="n">
        <f aca="false">(-BL252+SQRT(BL252^2-4*$C252))/2</f>
        <v>3.69089708574871</v>
      </c>
      <c r="BO252" s="0" t="n">
        <f aca="false">(-BM252+SQRT(BM252^2-4*$D252))/2</f>
        <v>1.61370585813198</v>
      </c>
      <c r="BP252" s="0" t="n">
        <f aca="false">IF(BN252&lt;&gt;0,($C$21-$B252)*$BK252/BN252/$AC$51-$AC$60*$AC$51,0)</f>
        <v>2.70894927881504E-005</v>
      </c>
      <c r="BQ252" s="0" t="n">
        <f aca="false">IF(BO252&lt;&gt;0,($C$27-$B252)*$BK252/BO252/$AD$51-$AC$60*$AD$51,0)</f>
        <v>2.70826986041962E-005</v>
      </c>
      <c r="BR252" s="0" t="n">
        <f aca="false">(BP252-BI252)/($BK252-$BD252)</f>
        <v>0.00214783130462354</v>
      </c>
      <c r="BS252" s="0" t="n">
        <f aca="false">(BQ252-BJ252)/($BK252-$BD252)</f>
        <v>0.00149403961296551</v>
      </c>
      <c r="BT252" s="0" t="n">
        <f aca="false">(BJ252-BI252)/(BR252-BS252)</f>
        <v>6.20865477867084E-006</v>
      </c>
      <c r="BU252" s="0" t="n">
        <f aca="false">BD252+BT252</f>
        <v>0.0166068339049352</v>
      </c>
      <c r="BV252" s="0" t="n">
        <f aca="false">-BU252*$AC$51</f>
        <v>-1.73906357983768</v>
      </c>
      <c r="BW252" s="0" t="n">
        <f aca="false">-BU252*$AD$51</f>
        <v>-0.869531789918839</v>
      </c>
      <c r="BX252" s="0" t="n">
        <f aca="false">(-BV252+SQRT(BV252^2-4*$C252))/2</f>
        <v>3.69018517764294</v>
      </c>
      <c r="BY252" s="0" t="n">
        <f aca="false">(-BW252+SQRT(BW252^2-4*$D252))/2</f>
        <v>1.61333340826524</v>
      </c>
      <c r="BZ252" s="0" t="n">
        <f aca="false">IF(BX252&lt;&gt;0,($C$21-$B252)*$BU252/BX252/$AC$51-$AC$60*$AC$51,0)</f>
        <v>2.7067175557692E-005</v>
      </c>
      <c r="CA252" s="0" t="n">
        <f aca="false">IF(BY252&lt;&gt;0,($C$27-$B252)*$BU252/BY252/$AD$51-$AC$60*$AD$51,0)</f>
        <v>2.70671751249695E-005</v>
      </c>
      <c r="CB252" s="0" t="n">
        <f aca="false">BU252*1.001</f>
        <v>0.0166234407388401</v>
      </c>
      <c r="CC252" s="0" t="n">
        <f aca="false">-CB252*$AC$51</f>
        <v>-1.74080264341752</v>
      </c>
      <c r="CD252" s="0" t="n">
        <f aca="false">-CB252*$AD$51</f>
        <v>-0.870401321708758</v>
      </c>
      <c r="CE252" s="0" t="n">
        <f aca="false">(-CC252+SQRT(CC252^2-4*$C252))/2</f>
        <v>3.69132288404124</v>
      </c>
      <c r="CF252" s="0" t="n">
        <f aca="false">(-CD252+SQRT(CD252^2-4*$D252))/2</f>
        <v>1.61392862574199</v>
      </c>
      <c r="CG252" s="0" t="n">
        <f aca="false">IF(CE252&lt;&gt;0,($C$21-$B252)*$CB252/CE252/$AC$51-$AC$60*$AC$51,0)</f>
        <v>2.71028347428625E-005</v>
      </c>
      <c r="CH252" s="0" t="n">
        <f aca="false">IF(CF252&lt;&gt;0,($C$27-$B252)*$CB252/CF252/$AD$51-$AC$60*$AD$51,0)</f>
        <v>2.70919782839545E-005</v>
      </c>
      <c r="CI252" s="0" t="n">
        <f aca="false">(CG252-BZ252)/($CB252-$BU252)</f>
        <v>0.00214725969890668</v>
      </c>
      <c r="CJ252" s="0" t="n">
        <f aca="false">(CH252-CA252)/($CB252-$BU252)</f>
        <v>0.00149355133717859</v>
      </c>
      <c r="CK252" s="0" t="n">
        <f aca="false">(CA252-BZ252)/IF((CI252-CJ252)&lt;&gt;0,(CI252-CJ252),1E-016)</f>
        <v>-6.61950401027216E-010</v>
      </c>
      <c r="CL252" s="0" t="n">
        <f aca="false">IF(AND(BU252&gt;0,CE252&gt;0,CE252&lt;$C$15,CG252&gt;0,ABS(CK252)&lt;0.00001),B252,"")</f>
        <v>1.8</v>
      </c>
      <c r="CM252" s="0" t="n">
        <f aca="false">CG252+BU252^2/$C$39</f>
        <v>7.30673234672134E-005</v>
      </c>
      <c r="CN252" s="0" t="n">
        <f aca="false">-BU252*$C$15/$C$39</f>
        <v>-0.0166068339049352</v>
      </c>
      <c r="CO252" s="0" t="n">
        <f aca="false">IF(CL252&lt;&gt;"",(-CM252+SQRT(CM252^2-4*$AC$60*CN252))/2/$AC$60,0)</f>
        <v>152.656527013945</v>
      </c>
      <c r="CP252" s="0" t="n">
        <f aca="false">CO252*30/PI()</f>
        <v>1457.76245217064</v>
      </c>
      <c r="DB252" s="6"/>
    </row>
    <row r="253" customFormat="false" ht="12.75" hidden="false" customHeight="false" outlineLevel="0" collapsed="false">
      <c r="DB253" s="6"/>
    </row>
    <row r="254" customFormat="false" ht="12.75" hidden="false" customHeight="false" outlineLevel="0" collapsed="false">
      <c r="DB254" s="6"/>
    </row>
    <row r="255" customFormat="false" ht="12.75" hidden="false" customHeight="false" outlineLevel="0" collapsed="false">
      <c r="DB255" s="6"/>
    </row>
    <row r="256" customFormat="false" ht="12.75" hidden="false" customHeight="false" outlineLevel="0" collapsed="false">
      <c r="DB256" s="6"/>
    </row>
    <row r="257" customFormat="false" ht="12.75" hidden="false" customHeight="false" outlineLevel="0" collapsed="false">
      <c r="DB257" s="6"/>
    </row>
    <row r="258" customFormat="false" ht="12.75" hidden="false" customHeight="false" outlineLevel="0" collapsed="false">
      <c r="DB258" s="6"/>
    </row>
    <row r="259" customFormat="false" ht="12.75" hidden="false" customHeight="false" outlineLevel="0" collapsed="false">
      <c r="DB259" s="6"/>
    </row>
    <row r="260" customFormat="false" ht="12.75" hidden="false" customHeight="false" outlineLevel="0" collapsed="false">
      <c r="DB260" s="6"/>
    </row>
    <row r="261" customFormat="false" ht="12.75" hidden="false" customHeight="false" outlineLevel="0" collapsed="false">
      <c r="DB261" s="6"/>
    </row>
    <row r="262" customFormat="false" ht="12.75" hidden="false" customHeight="false" outlineLevel="0" collapsed="false">
      <c r="DB262" s="6"/>
    </row>
    <row r="263" customFormat="false" ht="12.75" hidden="false" customHeight="false" outlineLevel="0" collapsed="false">
      <c r="DB263" s="6"/>
    </row>
    <row r="264" customFormat="false" ht="12.75" hidden="false" customHeight="false" outlineLevel="0" collapsed="false">
      <c r="DB264" s="6"/>
    </row>
    <row r="265" customFormat="false" ht="12.75" hidden="false" customHeight="false" outlineLevel="0" collapsed="false">
      <c r="DB265" s="6"/>
    </row>
    <row r="266" customFormat="false" ht="12.75" hidden="false" customHeight="false" outlineLevel="0" collapsed="false">
      <c r="DB266" s="6"/>
    </row>
    <row r="267" customFormat="false" ht="12.75" hidden="false" customHeight="false" outlineLevel="0" collapsed="false">
      <c r="DB267" s="6"/>
    </row>
    <row r="268" customFormat="false" ht="12.75" hidden="false" customHeight="false" outlineLevel="0" collapsed="false">
      <c r="DB268" s="6"/>
    </row>
    <row r="269" customFormat="false" ht="12.75" hidden="false" customHeight="false" outlineLevel="0" collapsed="false">
      <c r="DB269" s="6"/>
    </row>
    <row r="270" customFormat="false" ht="12.75" hidden="false" customHeight="false" outlineLevel="0" collapsed="false">
      <c r="DB270" s="6"/>
    </row>
    <row r="271" customFormat="false" ht="12.75" hidden="false" customHeight="false" outlineLevel="0" collapsed="false">
      <c r="DB271" s="6"/>
    </row>
    <row r="272" customFormat="false" ht="12.75" hidden="false" customHeight="false" outlineLevel="0" collapsed="false">
      <c r="DB272" s="6"/>
    </row>
    <row r="273" customFormat="false" ht="12.75" hidden="false" customHeight="false" outlineLevel="0" collapsed="false">
      <c r="DB273" s="6"/>
    </row>
    <row r="274" customFormat="false" ht="12.75" hidden="false" customHeight="false" outlineLevel="0" collapsed="false">
      <c r="DB274" s="6"/>
    </row>
    <row r="275" customFormat="false" ht="12.75" hidden="false" customHeight="false" outlineLevel="0" collapsed="false">
      <c r="DB275" s="6"/>
    </row>
    <row r="276" customFormat="false" ht="12.75" hidden="false" customHeight="false" outlineLevel="0" collapsed="false">
      <c r="DB276" s="6"/>
    </row>
    <row r="277" customFormat="false" ht="12.75" hidden="false" customHeight="false" outlineLevel="0" collapsed="false">
      <c r="DB277" s="6"/>
    </row>
    <row r="278" customFormat="false" ht="12.75" hidden="false" customHeight="false" outlineLevel="0" collapsed="false">
      <c r="DB278" s="6"/>
    </row>
    <row r="279" customFormat="false" ht="12.75" hidden="false" customHeight="false" outlineLevel="0" collapsed="false">
      <c r="DB279" s="6"/>
    </row>
    <row r="280" customFormat="false" ht="12.75" hidden="false" customHeight="false" outlineLevel="0" collapsed="false">
      <c r="DB280" s="6"/>
    </row>
    <row r="281" customFormat="false" ht="12.75" hidden="false" customHeight="false" outlineLevel="0" collapsed="false">
      <c r="DB281" s="6"/>
    </row>
    <row r="282" customFormat="false" ht="12.75" hidden="false" customHeight="false" outlineLevel="0" collapsed="false">
      <c r="DB282" s="6"/>
    </row>
    <row r="283" customFormat="false" ht="12.75" hidden="false" customHeight="false" outlineLevel="0" collapsed="false">
      <c r="DB283" s="6"/>
    </row>
    <row r="284" customFormat="false" ht="12.75" hidden="false" customHeight="false" outlineLevel="0" collapsed="false">
      <c r="DB284" s="6"/>
    </row>
    <row r="285" customFormat="false" ht="12.75" hidden="false" customHeight="false" outlineLevel="0" collapsed="false">
      <c r="DB285" s="6"/>
    </row>
    <row r="286" customFormat="false" ht="12.75" hidden="false" customHeight="false" outlineLevel="0" collapsed="false">
      <c r="DB286" s="6"/>
    </row>
    <row r="287" customFormat="false" ht="12.75" hidden="false" customHeight="false" outlineLevel="0" collapsed="false">
      <c r="DB287" s="6"/>
    </row>
    <row r="288" customFormat="false" ht="12.75" hidden="false" customHeight="false" outlineLevel="0" collapsed="false">
      <c r="DB288" s="6"/>
    </row>
    <row r="289" customFormat="false" ht="12.75" hidden="false" customHeight="false" outlineLevel="0" collapsed="false">
      <c r="DB289" s="6"/>
    </row>
    <row r="290" customFormat="false" ht="12.75" hidden="false" customHeight="false" outlineLevel="0" collapsed="false">
      <c r="DB290" s="6"/>
    </row>
    <row r="291" customFormat="false" ht="12.75" hidden="false" customHeight="false" outlineLevel="0" collapsed="false">
      <c r="DB291" s="6"/>
    </row>
    <row r="292" customFormat="false" ht="12.75" hidden="false" customHeight="false" outlineLevel="0" collapsed="false">
      <c r="DB292" s="6"/>
    </row>
    <row r="293" customFormat="false" ht="12.75" hidden="false" customHeight="false" outlineLevel="0" collapsed="false">
      <c r="DB293" s="6"/>
    </row>
    <row r="294" customFormat="false" ht="12.75" hidden="false" customHeight="false" outlineLevel="0" collapsed="false">
      <c r="DB294" s="6"/>
    </row>
    <row r="295" customFormat="false" ht="12.75" hidden="false" customHeight="false" outlineLevel="0" collapsed="false">
      <c r="DB295" s="6"/>
    </row>
    <row r="296" customFormat="false" ht="12.75" hidden="false" customHeight="false" outlineLevel="0" collapsed="false">
      <c r="DB296" s="6"/>
    </row>
    <row r="297" customFormat="false" ht="12.75" hidden="false" customHeight="false" outlineLevel="0" collapsed="false">
      <c r="DB297" s="6"/>
    </row>
    <row r="298" customFormat="false" ht="12.75" hidden="false" customHeight="false" outlineLevel="0" collapsed="false">
      <c r="DB298" s="6"/>
    </row>
    <row r="299" customFormat="false" ht="12.75" hidden="false" customHeight="false" outlineLevel="0" collapsed="false">
      <c r="DB299" s="6"/>
    </row>
    <row r="300" customFormat="false" ht="12.75" hidden="false" customHeight="false" outlineLevel="0" collapsed="false">
      <c r="DB300" s="6"/>
    </row>
    <row r="301" customFormat="false" ht="12.75" hidden="false" customHeight="false" outlineLevel="0" collapsed="false">
      <c r="DB301" s="6"/>
    </row>
    <row r="302" customFormat="false" ht="12.75" hidden="false" customHeight="false" outlineLevel="0" collapsed="false">
      <c r="DB302" s="6"/>
    </row>
    <row r="303" customFormat="false" ht="12.75" hidden="false" customHeight="false" outlineLevel="0" collapsed="false">
      <c r="DB303" s="6"/>
    </row>
    <row r="304" customFormat="false" ht="12.75" hidden="false" customHeight="false" outlineLevel="0" collapsed="false">
      <c r="DB304" s="6"/>
    </row>
    <row r="305" customFormat="false" ht="12.75" hidden="false" customHeight="false" outlineLevel="0" collapsed="false">
      <c r="DB305" s="6"/>
    </row>
    <row r="306" customFormat="false" ht="12.75" hidden="false" customHeight="false" outlineLevel="0" collapsed="false">
      <c r="DB306" s="6"/>
    </row>
    <row r="307" customFormat="false" ht="12.75" hidden="false" customHeight="false" outlineLevel="0" collapsed="false">
      <c r="DB307" s="6"/>
    </row>
    <row r="308" customFormat="false" ht="12.75" hidden="false" customHeight="false" outlineLevel="0" collapsed="false">
      <c r="DB308" s="6"/>
    </row>
    <row r="309" customFormat="false" ht="12.75" hidden="false" customHeight="false" outlineLevel="0" collapsed="false">
      <c r="DB309" s="6"/>
    </row>
    <row r="310" customFormat="false" ht="12.75" hidden="false" customHeight="false" outlineLevel="0" collapsed="false">
      <c r="DB310" s="6"/>
    </row>
    <row r="311" customFormat="false" ht="12.75" hidden="false" customHeight="false" outlineLevel="0" collapsed="false">
      <c r="DB311" s="6"/>
    </row>
    <row r="312" customFormat="false" ht="12.75" hidden="false" customHeight="false" outlineLevel="0" collapsed="false">
      <c r="DB312" s="6"/>
    </row>
    <row r="313" customFormat="false" ht="12.75" hidden="false" customHeight="false" outlineLevel="0" collapsed="false">
      <c r="DB313" s="6"/>
    </row>
    <row r="314" customFormat="false" ht="12.75" hidden="false" customHeight="false" outlineLevel="0" collapsed="false">
      <c r="DB314" s="6"/>
    </row>
    <row r="315" customFormat="false" ht="12.75" hidden="false" customHeight="false" outlineLevel="0" collapsed="false">
      <c r="DB315" s="6"/>
    </row>
    <row r="316" customFormat="false" ht="12.75" hidden="false" customHeight="false" outlineLevel="0" collapsed="false">
      <c r="DB316" s="6"/>
    </row>
    <row r="317" customFormat="false" ht="12.75" hidden="false" customHeight="false" outlineLevel="0" collapsed="false">
      <c r="DB317" s="6"/>
    </row>
    <row r="318" customFormat="false" ht="12.75" hidden="false" customHeight="false" outlineLevel="0" collapsed="false">
      <c r="DB318" s="6"/>
    </row>
    <row r="319" customFormat="false" ht="12.75" hidden="false" customHeight="false" outlineLevel="0" collapsed="false">
      <c r="DB319" s="6"/>
    </row>
    <row r="320" customFormat="false" ht="12.75" hidden="false" customHeight="false" outlineLevel="0" collapsed="false">
      <c r="DB320" s="6"/>
    </row>
    <row r="321" customFormat="false" ht="12.75" hidden="false" customHeight="false" outlineLevel="0" collapsed="false">
      <c r="DB321" s="6"/>
    </row>
    <row r="322" customFormat="false" ht="12.75" hidden="false" customHeight="false" outlineLevel="0" collapsed="false">
      <c r="DB322" s="6"/>
    </row>
    <row r="323" customFormat="false" ht="12.75" hidden="false" customHeight="false" outlineLevel="0" collapsed="false">
      <c r="DB323" s="6"/>
    </row>
    <row r="324" customFormat="false" ht="12.75" hidden="false" customHeight="false" outlineLevel="0" collapsed="false">
      <c r="DB324" s="6"/>
    </row>
    <row r="325" customFormat="false" ht="12.75" hidden="false" customHeight="false" outlineLevel="0" collapsed="false">
      <c r="DB325" s="6"/>
    </row>
    <row r="326" customFormat="false" ht="12.75" hidden="false" customHeight="false" outlineLevel="0" collapsed="false">
      <c r="DB326" s="6"/>
    </row>
    <row r="327" customFormat="false" ht="12.75" hidden="false" customHeight="false" outlineLevel="0" collapsed="false">
      <c r="DB327" s="6"/>
    </row>
    <row r="328" customFormat="false" ht="12.75" hidden="false" customHeight="false" outlineLevel="0" collapsed="false">
      <c r="DB328" s="6"/>
    </row>
    <row r="329" customFormat="false" ht="12.75" hidden="false" customHeight="false" outlineLevel="0" collapsed="false">
      <c r="DB329" s="6"/>
    </row>
    <row r="330" customFormat="false" ht="12.75" hidden="false" customHeight="false" outlineLevel="0" collapsed="false">
      <c r="DB330" s="6"/>
    </row>
    <row r="331" customFormat="false" ht="12.75" hidden="false" customHeight="false" outlineLevel="0" collapsed="false">
      <c r="DB331" s="6"/>
    </row>
    <row r="332" customFormat="false" ht="12.75" hidden="false" customHeight="false" outlineLevel="0" collapsed="false">
      <c r="DB332" s="6"/>
    </row>
    <row r="333" customFormat="false" ht="12.75" hidden="false" customHeight="false" outlineLevel="0" collapsed="false">
      <c r="DB333" s="6"/>
    </row>
    <row r="334" customFormat="false" ht="12.75" hidden="false" customHeight="false" outlineLevel="0" collapsed="false">
      <c r="DB334" s="6"/>
    </row>
    <row r="335" customFormat="false" ht="12.75" hidden="false" customHeight="false" outlineLevel="0" collapsed="false">
      <c r="DB335" s="6"/>
    </row>
    <row r="336" customFormat="false" ht="12.75" hidden="false" customHeight="false" outlineLevel="0" collapsed="false">
      <c r="DB336" s="6"/>
    </row>
    <row r="337" customFormat="false" ht="12.75" hidden="false" customHeight="false" outlineLevel="0" collapsed="false">
      <c r="DB337" s="6"/>
    </row>
    <row r="338" customFormat="false" ht="12.75" hidden="false" customHeight="false" outlineLevel="0" collapsed="false">
      <c r="DB338" s="6"/>
    </row>
    <row r="339" customFormat="false" ht="12.75" hidden="false" customHeight="false" outlineLevel="0" collapsed="false">
      <c r="DB339" s="6"/>
    </row>
    <row r="340" customFormat="false" ht="12.75" hidden="false" customHeight="false" outlineLevel="0" collapsed="false">
      <c r="DB340" s="6"/>
    </row>
    <row r="341" customFormat="false" ht="12.75" hidden="false" customHeight="false" outlineLevel="0" collapsed="false">
      <c r="DB341" s="6"/>
    </row>
    <row r="342" customFormat="false" ht="12.75" hidden="false" customHeight="false" outlineLevel="0" collapsed="false">
      <c r="DB342" s="6"/>
    </row>
    <row r="343" customFormat="false" ht="12.75" hidden="false" customHeight="false" outlineLevel="0" collapsed="false">
      <c r="DB343" s="6"/>
    </row>
    <row r="344" customFormat="false" ht="12.75" hidden="false" customHeight="false" outlineLevel="0" collapsed="false">
      <c r="DB344" s="6"/>
    </row>
    <row r="345" customFormat="false" ht="12.75" hidden="false" customHeight="false" outlineLevel="0" collapsed="false">
      <c r="DB345" s="6"/>
    </row>
    <row r="346" customFormat="false" ht="12.75" hidden="false" customHeight="false" outlineLevel="0" collapsed="false">
      <c r="DB346" s="6"/>
    </row>
    <row r="347" customFormat="false" ht="12.75" hidden="false" customHeight="false" outlineLevel="0" collapsed="false">
      <c r="DB347" s="6"/>
    </row>
    <row r="348" customFormat="false" ht="12.75" hidden="false" customHeight="false" outlineLevel="0" collapsed="false">
      <c r="DB348" s="6"/>
    </row>
    <row r="349" customFormat="false" ht="12.75" hidden="false" customHeight="false" outlineLevel="0" collapsed="false">
      <c r="DB349" s="6"/>
    </row>
    <row r="350" customFormat="false" ht="12.75" hidden="false" customHeight="false" outlineLevel="0" collapsed="false">
      <c r="DB350" s="6"/>
    </row>
    <row r="351" customFormat="false" ht="12.75" hidden="false" customHeight="false" outlineLevel="0" collapsed="false">
      <c r="DB351" s="6"/>
    </row>
    <row r="352" customFormat="false" ht="12.75" hidden="false" customHeight="false" outlineLevel="0" collapsed="false">
      <c r="DB352" s="6"/>
    </row>
    <row r="353" customFormat="false" ht="12.75" hidden="false" customHeight="false" outlineLevel="0" collapsed="false">
      <c r="DB353" s="6"/>
    </row>
    <row r="354" customFormat="false" ht="12.75" hidden="false" customHeight="false" outlineLevel="0" collapsed="false">
      <c r="DB354" s="6"/>
    </row>
    <row r="355" customFormat="false" ht="12.75" hidden="false" customHeight="false" outlineLevel="0" collapsed="false">
      <c r="DB355" s="6"/>
    </row>
    <row r="356" customFormat="false" ht="12.75" hidden="false" customHeight="false" outlineLevel="0" collapsed="false">
      <c r="DB356" s="6"/>
    </row>
    <row r="357" customFormat="false" ht="12.75" hidden="false" customHeight="false" outlineLevel="0" collapsed="false">
      <c r="DB357" s="6"/>
    </row>
    <row r="358" customFormat="false" ht="12.75" hidden="false" customHeight="false" outlineLevel="0" collapsed="false">
      <c r="DB358" s="6"/>
    </row>
    <row r="359" customFormat="false" ht="12.75" hidden="false" customHeight="false" outlineLevel="0" collapsed="false">
      <c r="DB359" s="6"/>
    </row>
    <row r="360" customFormat="false" ht="12.75" hidden="false" customHeight="false" outlineLevel="0" collapsed="false">
      <c r="DB360" s="6"/>
    </row>
    <row r="361" customFormat="false" ht="12.75" hidden="false" customHeight="false" outlineLevel="0" collapsed="false">
      <c r="DB361" s="6"/>
    </row>
    <row r="362" customFormat="false" ht="12.75" hidden="false" customHeight="false" outlineLevel="0" collapsed="false">
      <c r="DB362" s="6"/>
    </row>
    <row r="363" customFormat="false" ht="12.75" hidden="false" customHeight="false" outlineLevel="0" collapsed="false">
      <c r="DB363" s="6"/>
    </row>
    <row r="364" customFormat="false" ht="12.75" hidden="false" customHeight="false" outlineLevel="0" collapsed="false">
      <c r="DB364" s="6"/>
    </row>
    <row r="365" customFormat="false" ht="12.75" hidden="false" customHeight="false" outlineLevel="0" collapsed="false">
      <c r="DB365" s="6"/>
    </row>
    <row r="366" customFormat="false" ht="12.75" hidden="false" customHeight="false" outlineLevel="0" collapsed="false">
      <c r="DB366" s="6"/>
    </row>
    <row r="367" customFormat="false" ht="12.75" hidden="false" customHeight="false" outlineLevel="0" collapsed="false">
      <c r="DB367" s="6"/>
    </row>
    <row r="368" customFormat="false" ht="12.75" hidden="false" customHeight="false" outlineLevel="0" collapsed="false">
      <c r="DB368" s="6"/>
    </row>
    <row r="369" customFormat="false" ht="12.75" hidden="false" customHeight="false" outlineLevel="0" collapsed="false">
      <c r="DB369" s="6"/>
    </row>
    <row r="370" customFormat="false" ht="12.75" hidden="false" customHeight="false" outlineLevel="0" collapsed="false">
      <c r="DB370" s="6"/>
    </row>
    <row r="371" customFormat="false" ht="12.75" hidden="false" customHeight="false" outlineLevel="0" collapsed="false">
      <c r="DB371" s="6"/>
    </row>
    <row r="372" customFormat="false" ht="12.75" hidden="false" customHeight="false" outlineLevel="0" collapsed="false">
      <c r="DB372" s="6"/>
    </row>
    <row r="373" customFormat="false" ht="12.75" hidden="false" customHeight="false" outlineLevel="0" collapsed="false">
      <c r="DB373" s="6"/>
    </row>
    <row r="374" customFormat="false" ht="12.75" hidden="false" customHeight="false" outlineLevel="0" collapsed="false">
      <c r="DB374" s="6"/>
    </row>
    <row r="375" customFormat="false" ht="12.75" hidden="false" customHeight="false" outlineLevel="0" collapsed="false">
      <c r="DB375" s="6"/>
    </row>
    <row r="376" customFormat="false" ht="12.75" hidden="false" customHeight="false" outlineLevel="0" collapsed="false">
      <c r="DB376" s="6"/>
    </row>
    <row r="377" customFormat="false" ht="12.75" hidden="false" customHeight="false" outlineLevel="0" collapsed="false">
      <c r="DB377" s="6"/>
    </row>
    <row r="378" customFormat="false" ht="12.75" hidden="false" customHeight="false" outlineLevel="0" collapsed="false">
      <c r="DB378" s="6"/>
    </row>
    <row r="379" customFormat="false" ht="12.75" hidden="false" customHeight="false" outlineLevel="0" collapsed="false">
      <c r="DB379" s="6"/>
    </row>
    <row r="380" customFormat="false" ht="12.75" hidden="false" customHeight="false" outlineLevel="0" collapsed="false">
      <c r="DB380" s="6"/>
    </row>
    <row r="381" customFormat="false" ht="12.75" hidden="false" customHeight="false" outlineLevel="0" collapsed="false">
      <c r="DB381" s="6"/>
    </row>
    <row r="382" customFormat="false" ht="12.75" hidden="false" customHeight="false" outlineLevel="0" collapsed="false">
      <c r="DB382" s="6"/>
    </row>
    <row r="383" customFormat="false" ht="12.75" hidden="false" customHeight="false" outlineLevel="0" collapsed="false">
      <c r="DB383" s="6"/>
    </row>
    <row r="384" customFormat="false" ht="12.75" hidden="false" customHeight="false" outlineLevel="0" collapsed="false">
      <c r="DB384" s="6"/>
    </row>
    <row r="385" customFormat="false" ht="12.75" hidden="false" customHeight="false" outlineLevel="0" collapsed="false">
      <c r="DB385" s="6"/>
    </row>
    <row r="386" customFormat="false" ht="12.75" hidden="false" customHeight="false" outlineLevel="0" collapsed="false">
      <c r="DB386" s="6"/>
    </row>
    <row r="387" customFormat="false" ht="12.75" hidden="false" customHeight="false" outlineLevel="0" collapsed="false">
      <c r="DB387" s="6"/>
    </row>
    <row r="388" customFormat="false" ht="12.75" hidden="false" customHeight="false" outlineLevel="0" collapsed="false">
      <c r="DB388" s="6"/>
    </row>
    <row r="389" customFormat="false" ht="12.75" hidden="false" customHeight="false" outlineLevel="0" collapsed="false">
      <c r="DB389" s="6"/>
    </row>
    <row r="390" customFormat="false" ht="12.75" hidden="false" customHeight="false" outlineLevel="0" collapsed="false">
      <c r="DB390" s="6"/>
    </row>
    <row r="391" customFormat="false" ht="12.75" hidden="false" customHeight="false" outlineLevel="0" collapsed="false">
      <c r="DB391" s="6"/>
    </row>
    <row r="392" customFormat="false" ht="12.75" hidden="false" customHeight="false" outlineLevel="0" collapsed="false">
      <c r="DB392" s="6"/>
    </row>
    <row r="393" customFormat="false" ht="12.75" hidden="false" customHeight="false" outlineLevel="0" collapsed="false">
      <c r="DB393" s="6"/>
    </row>
    <row r="394" customFormat="false" ht="12.75" hidden="false" customHeight="false" outlineLevel="0" collapsed="false">
      <c r="DB394" s="6"/>
    </row>
    <row r="395" customFormat="false" ht="12.75" hidden="false" customHeight="false" outlineLevel="0" collapsed="false">
      <c r="DB395" s="6"/>
    </row>
    <row r="396" customFormat="false" ht="12.75" hidden="false" customHeight="false" outlineLevel="0" collapsed="false">
      <c r="DB396" s="6"/>
    </row>
    <row r="397" customFormat="false" ht="12.75" hidden="false" customHeight="false" outlineLevel="0" collapsed="false">
      <c r="DB397" s="6"/>
    </row>
    <row r="398" customFormat="false" ht="12.75" hidden="false" customHeight="false" outlineLevel="0" collapsed="false">
      <c r="DB398" s="6"/>
    </row>
    <row r="399" customFormat="false" ht="12.75" hidden="false" customHeight="false" outlineLevel="0" collapsed="false">
      <c r="DB399" s="6"/>
    </row>
    <row r="400" customFormat="false" ht="12.75" hidden="false" customHeight="false" outlineLevel="0" collapsed="false">
      <c r="DB400" s="6"/>
    </row>
    <row r="401" customFormat="false" ht="12.75" hidden="false" customHeight="false" outlineLevel="0" collapsed="false">
      <c r="DB401" s="6"/>
    </row>
    <row r="402" customFormat="false" ht="12.75" hidden="false" customHeight="false" outlineLevel="0" collapsed="false">
      <c r="DB402" s="6"/>
    </row>
    <row r="403" customFormat="false" ht="12.75" hidden="false" customHeight="false" outlineLevel="0" collapsed="false">
      <c r="DB403" s="6"/>
    </row>
    <row r="404" customFormat="false" ht="12.75" hidden="false" customHeight="false" outlineLevel="0" collapsed="false">
      <c r="DB404" s="6"/>
    </row>
    <row r="405" customFormat="false" ht="12.75" hidden="false" customHeight="false" outlineLevel="0" collapsed="false">
      <c r="DB405" s="6"/>
    </row>
    <row r="406" customFormat="false" ht="12.75" hidden="false" customHeight="false" outlineLevel="0" collapsed="false">
      <c r="DB406" s="6"/>
    </row>
    <row r="407" customFormat="false" ht="12.75" hidden="false" customHeight="false" outlineLevel="0" collapsed="false">
      <c r="DB407" s="6"/>
    </row>
    <row r="408" customFormat="false" ht="12.75" hidden="false" customHeight="false" outlineLevel="0" collapsed="false">
      <c r="DB408" s="6"/>
    </row>
    <row r="409" customFormat="false" ht="12.75" hidden="false" customHeight="false" outlineLevel="0" collapsed="false">
      <c r="DB409" s="6"/>
    </row>
    <row r="410" customFormat="false" ht="12.75" hidden="false" customHeight="false" outlineLevel="0" collapsed="false">
      <c r="DB410" s="6"/>
    </row>
    <row r="411" customFormat="false" ht="12.75" hidden="false" customHeight="false" outlineLevel="0" collapsed="false">
      <c r="DB411" s="6"/>
    </row>
    <row r="412" customFormat="false" ht="12.75" hidden="false" customHeight="false" outlineLevel="0" collapsed="false">
      <c r="DB412" s="6"/>
    </row>
    <row r="413" customFormat="false" ht="12.75" hidden="false" customHeight="false" outlineLevel="0" collapsed="false">
      <c r="DB413" s="6"/>
    </row>
    <row r="414" customFormat="false" ht="12.75" hidden="false" customHeight="false" outlineLevel="0" collapsed="false">
      <c r="DB414" s="6"/>
    </row>
    <row r="415" customFormat="false" ht="12.75" hidden="false" customHeight="false" outlineLevel="0" collapsed="false">
      <c r="DB415" s="6"/>
    </row>
    <row r="416" customFormat="false" ht="12.75" hidden="false" customHeight="false" outlineLevel="0" collapsed="false">
      <c r="DB416" s="6"/>
    </row>
    <row r="417" customFormat="false" ht="12.75" hidden="false" customHeight="false" outlineLevel="0" collapsed="false">
      <c r="DB417" s="6"/>
    </row>
    <row r="418" customFormat="false" ht="12.75" hidden="false" customHeight="false" outlineLevel="0" collapsed="false">
      <c r="DB418" s="6"/>
    </row>
    <row r="419" customFormat="false" ht="12.75" hidden="false" customHeight="false" outlineLevel="0" collapsed="false">
      <c r="DB419" s="6"/>
    </row>
    <row r="420" customFormat="false" ht="12.75" hidden="false" customHeight="false" outlineLevel="0" collapsed="false">
      <c r="DB420" s="6"/>
    </row>
    <row r="421" customFormat="false" ht="12.75" hidden="false" customHeight="false" outlineLevel="0" collapsed="false">
      <c r="DB421" s="6"/>
    </row>
    <row r="422" customFormat="false" ht="12.75" hidden="false" customHeight="false" outlineLevel="0" collapsed="false">
      <c r="DB422" s="6"/>
    </row>
    <row r="423" customFormat="false" ht="12.75" hidden="false" customHeight="false" outlineLevel="0" collapsed="false">
      <c r="DB423" s="6"/>
    </row>
    <row r="424" customFormat="false" ht="12.75" hidden="false" customHeight="false" outlineLevel="0" collapsed="false">
      <c r="DB424" s="6"/>
    </row>
    <row r="425" customFormat="false" ht="12.75" hidden="false" customHeight="false" outlineLevel="0" collapsed="false">
      <c r="DB425" s="6"/>
    </row>
    <row r="426" customFormat="false" ht="12.75" hidden="false" customHeight="false" outlineLevel="0" collapsed="false">
      <c r="DB426" s="6"/>
    </row>
    <row r="427" customFormat="false" ht="12.75" hidden="false" customHeight="false" outlineLevel="0" collapsed="false">
      <c r="DB427" s="6"/>
    </row>
    <row r="428" customFormat="false" ht="12.75" hidden="false" customHeight="false" outlineLevel="0" collapsed="false">
      <c r="DB428" s="6"/>
    </row>
    <row r="429" customFormat="false" ht="12.75" hidden="false" customHeight="false" outlineLevel="0" collapsed="false">
      <c r="DB429" s="6"/>
    </row>
    <row r="430" customFormat="false" ht="12.75" hidden="false" customHeight="false" outlineLevel="0" collapsed="false">
      <c r="DB430" s="6"/>
    </row>
    <row r="431" customFormat="false" ht="12.75" hidden="false" customHeight="false" outlineLevel="0" collapsed="false">
      <c r="DB431" s="6"/>
    </row>
    <row r="432" customFormat="false" ht="12.75" hidden="false" customHeight="false" outlineLevel="0" collapsed="false">
      <c r="DB432" s="6"/>
    </row>
    <row r="433" customFormat="false" ht="12.75" hidden="false" customHeight="false" outlineLevel="0" collapsed="false">
      <c r="DB433" s="6"/>
    </row>
    <row r="434" customFormat="false" ht="12.75" hidden="false" customHeight="false" outlineLevel="0" collapsed="false">
      <c r="DB434" s="6"/>
    </row>
    <row r="435" customFormat="false" ht="12.75" hidden="false" customHeight="false" outlineLevel="0" collapsed="false">
      <c r="DB435" s="6"/>
    </row>
    <row r="436" customFormat="false" ht="12.75" hidden="false" customHeight="false" outlineLevel="0" collapsed="false">
      <c r="DB436" s="6"/>
    </row>
    <row r="437" customFormat="false" ht="12.75" hidden="false" customHeight="false" outlineLevel="0" collapsed="false">
      <c r="DB437" s="6"/>
    </row>
    <row r="438" customFormat="false" ht="12.75" hidden="false" customHeight="false" outlineLevel="0" collapsed="false">
      <c r="DB438" s="6"/>
    </row>
    <row r="439" customFormat="false" ht="12.75" hidden="false" customHeight="false" outlineLevel="0" collapsed="false">
      <c r="DB439" s="6"/>
    </row>
    <row r="440" customFormat="false" ht="12.75" hidden="false" customHeight="false" outlineLevel="0" collapsed="false">
      <c r="DB440" s="6"/>
    </row>
    <row r="441" customFormat="false" ht="12.75" hidden="false" customHeight="false" outlineLevel="0" collapsed="false">
      <c r="DB441" s="6"/>
    </row>
    <row r="442" customFormat="false" ht="12.75" hidden="false" customHeight="false" outlineLevel="0" collapsed="false">
      <c r="DB442" s="6"/>
    </row>
    <row r="443" customFormat="false" ht="12.75" hidden="false" customHeight="false" outlineLevel="0" collapsed="false">
      <c r="DB443" s="6"/>
    </row>
    <row r="444" customFormat="false" ht="12.75" hidden="false" customHeight="false" outlineLevel="0" collapsed="false">
      <c r="DB444" s="6"/>
    </row>
    <row r="445" customFormat="false" ht="12.75" hidden="false" customHeight="false" outlineLevel="0" collapsed="false">
      <c r="DB445" s="6"/>
    </row>
    <row r="446" customFormat="false" ht="12.75" hidden="false" customHeight="false" outlineLevel="0" collapsed="false">
      <c r="DB446" s="6"/>
    </row>
    <row r="447" customFormat="false" ht="12.75" hidden="false" customHeight="false" outlineLevel="0" collapsed="false">
      <c r="DB447" s="6"/>
    </row>
    <row r="448" customFormat="false" ht="12.75" hidden="false" customHeight="false" outlineLevel="0" collapsed="false">
      <c r="DB448" s="6"/>
    </row>
    <row r="449" customFormat="false" ht="12.75" hidden="false" customHeight="false" outlineLevel="0" collapsed="false">
      <c r="DB449" s="6"/>
    </row>
    <row r="450" customFormat="false" ht="12.75" hidden="false" customHeight="false" outlineLevel="0" collapsed="false">
      <c r="DB450" s="6"/>
    </row>
    <row r="451" customFormat="false" ht="12.75" hidden="false" customHeight="false" outlineLevel="0" collapsed="false">
      <c r="DB451" s="6"/>
    </row>
    <row r="452" customFormat="false" ht="12.75" hidden="false" customHeight="false" outlineLevel="0" collapsed="false">
      <c r="DB452" s="6"/>
    </row>
    <row r="453" customFormat="false" ht="12.75" hidden="false" customHeight="false" outlineLevel="0" collapsed="false">
      <c r="DB453" s="6"/>
    </row>
    <row r="454" customFormat="false" ht="12.75" hidden="false" customHeight="false" outlineLevel="0" collapsed="false">
      <c r="DB454" s="6"/>
    </row>
    <row r="455" customFormat="false" ht="12.75" hidden="false" customHeight="false" outlineLevel="0" collapsed="false">
      <c r="DB455" s="6"/>
    </row>
    <row r="456" customFormat="false" ht="12.75" hidden="false" customHeight="false" outlineLevel="0" collapsed="false">
      <c r="DB456" s="6"/>
    </row>
    <row r="457" customFormat="false" ht="12.75" hidden="false" customHeight="false" outlineLevel="0" collapsed="false">
      <c r="DB457" s="6"/>
    </row>
    <row r="458" customFormat="false" ht="12.75" hidden="false" customHeight="false" outlineLevel="0" collapsed="false">
      <c r="DB458" s="6"/>
    </row>
    <row r="459" customFormat="false" ht="12.75" hidden="false" customHeight="false" outlineLevel="0" collapsed="false">
      <c r="DB459" s="6"/>
    </row>
    <row r="460" customFormat="false" ht="12.75" hidden="false" customHeight="false" outlineLevel="0" collapsed="false">
      <c r="DB460" s="6"/>
    </row>
    <row r="461" customFormat="false" ht="12.75" hidden="false" customHeight="false" outlineLevel="0" collapsed="false">
      <c r="DB461" s="6"/>
    </row>
    <row r="462" customFormat="false" ht="12.75" hidden="false" customHeight="false" outlineLevel="0" collapsed="false">
      <c r="DB462" s="6"/>
    </row>
    <row r="463" customFormat="false" ht="12.75" hidden="false" customHeight="false" outlineLevel="0" collapsed="false">
      <c r="DB463" s="6"/>
    </row>
    <row r="464" customFormat="false" ht="12.75" hidden="false" customHeight="false" outlineLevel="0" collapsed="false">
      <c r="DB464" s="6"/>
    </row>
    <row r="465" customFormat="false" ht="12.75" hidden="false" customHeight="false" outlineLevel="0" collapsed="false">
      <c r="DB465" s="6"/>
    </row>
    <row r="466" customFormat="false" ht="12.75" hidden="false" customHeight="false" outlineLevel="0" collapsed="false">
      <c r="DB466" s="6"/>
    </row>
    <row r="467" customFormat="false" ht="12.75" hidden="false" customHeight="false" outlineLevel="0" collapsed="false">
      <c r="DB467" s="6"/>
    </row>
    <row r="468" customFormat="false" ht="12.75" hidden="false" customHeight="false" outlineLevel="0" collapsed="false">
      <c r="DB468" s="6"/>
    </row>
    <row r="469" customFormat="false" ht="12.75" hidden="false" customHeight="false" outlineLevel="0" collapsed="false">
      <c r="DB469" s="6"/>
    </row>
    <row r="470" customFormat="false" ht="12.75" hidden="false" customHeight="false" outlineLevel="0" collapsed="false">
      <c r="DB470" s="6"/>
    </row>
    <row r="471" customFormat="false" ht="12.75" hidden="false" customHeight="false" outlineLevel="0" collapsed="false">
      <c r="DB471" s="6"/>
    </row>
    <row r="472" customFormat="false" ht="12.75" hidden="false" customHeight="false" outlineLevel="0" collapsed="false">
      <c r="DB472" s="6"/>
    </row>
    <row r="473" customFormat="false" ht="12.75" hidden="false" customHeight="false" outlineLevel="0" collapsed="false">
      <c r="DB473" s="6"/>
    </row>
    <row r="474" customFormat="false" ht="12.75" hidden="false" customHeight="false" outlineLevel="0" collapsed="false">
      <c r="DB474" s="6"/>
    </row>
    <row r="475" customFormat="false" ht="12.75" hidden="false" customHeight="false" outlineLevel="0" collapsed="false">
      <c r="DB475" s="6"/>
    </row>
    <row r="476" customFormat="false" ht="12.75" hidden="false" customHeight="false" outlineLevel="0" collapsed="false">
      <c r="DB476" s="6"/>
    </row>
    <row r="477" customFormat="false" ht="12.75" hidden="false" customHeight="false" outlineLevel="0" collapsed="false">
      <c r="DB477" s="6"/>
    </row>
    <row r="478" customFormat="false" ht="12.75" hidden="false" customHeight="false" outlineLevel="0" collapsed="false">
      <c r="DB478" s="6"/>
    </row>
    <row r="479" customFormat="false" ht="12.75" hidden="false" customHeight="false" outlineLevel="0" collapsed="false">
      <c r="DB479" s="6"/>
    </row>
    <row r="480" customFormat="false" ht="12.75" hidden="false" customHeight="false" outlineLevel="0" collapsed="false">
      <c r="DB480" s="6"/>
    </row>
    <row r="481" customFormat="false" ht="12.75" hidden="false" customHeight="false" outlineLevel="0" collapsed="false">
      <c r="DB481" s="6"/>
    </row>
    <row r="482" customFormat="false" ht="12.75" hidden="false" customHeight="false" outlineLevel="0" collapsed="false">
      <c r="DB482" s="6"/>
    </row>
    <row r="483" customFormat="false" ht="12.75" hidden="false" customHeight="false" outlineLevel="0" collapsed="false">
      <c r="DB483" s="6"/>
    </row>
    <row r="484" customFormat="false" ht="12.75" hidden="false" customHeight="false" outlineLevel="0" collapsed="false">
      <c r="DB484" s="6"/>
    </row>
    <row r="485" customFormat="false" ht="12.75" hidden="false" customHeight="false" outlineLevel="0" collapsed="false">
      <c r="DB485" s="6"/>
    </row>
    <row r="486" customFormat="false" ht="12.75" hidden="false" customHeight="false" outlineLevel="0" collapsed="false">
      <c r="DB486" s="6"/>
    </row>
    <row r="487" customFormat="false" ht="12.75" hidden="false" customHeight="false" outlineLevel="0" collapsed="false">
      <c r="DB487" s="6"/>
    </row>
    <row r="488" customFormat="false" ht="12.75" hidden="false" customHeight="false" outlineLevel="0" collapsed="false">
      <c r="DB488" s="6"/>
    </row>
    <row r="489" customFormat="false" ht="12.75" hidden="false" customHeight="false" outlineLevel="0" collapsed="false">
      <c r="DB489" s="6"/>
    </row>
    <row r="490" customFormat="false" ht="12.75" hidden="false" customHeight="false" outlineLevel="0" collapsed="false">
      <c r="DB490" s="6"/>
    </row>
    <row r="491" customFormat="false" ht="12.75" hidden="false" customHeight="false" outlineLevel="0" collapsed="false">
      <c r="DB491" s="6"/>
    </row>
    <row r="492" customFormat="false" ht="12.75" hidden="false" customHeight="false" outlineLevel="0" collapsed="false">
      <c r="DB492" s="6"/>
    </row>
    <row r="493" customFormat="false" ht="12.75" hidden="false" customHeight="false" outlineLevel="0" collapsed="false">
      <c r="DB493" s="6"/>
    </row>
    <row r="494" customFormat="false" ht="12.75" hidden="false" customHeight="false" outlineLevel="0" collapsed="false">
      <c r="DB494" s="6"/>
    </row>
    <row r="495" customFormat="false" ht="12.75" hidden="false" customHeight="false" outlineLevel="0" collapsed="false">
      <c r="DB495" s="6"/>
    </row>
    <row r="496" customFormat="false" ht="12.75" hidden="false" customHeight="false" outlineLevel="0" collapsed="false">
      <c r="DB496" s="6"/>
    </row>
    <row r="497" customFormat="false" ht="12.75" hidden="false" customHeight="false" outlineLevel="0" collapsed="false">
      <c r="DB497" s="6"/>
    </row>
    <row r="498" customFormat="false" ht="12.75" hidden="false" customHeight="false" outlineLevel="0" collapsed="false">
      <c r="DB498" s="6"/>
    </row>
    <row r="499" customFormat="false" ht="12.75" hidden="false" customHeight="false" outlineLevel="0" collapsed="false">
      <c r="DB499" s="6"/>
    </row>
    <row r="500" customFormat="false" ht="12.75" hidden="false" customHeight="false" outlineLevel="0" collapsed="false">
      <c r="DB500" s="6"/>
    </row>
    <row r="501" customFormat="false" ht="12.75" hidden="false" customHeight="false" outlineLevel="0" collapsed="false">
      <c r="DB501" s="6"/>
    </row>
    <row r="502" customFormat="false" ht="12.75" hidden="false" customHeight="false" outlineLevel="0" collapsed="false">
      <c r="DB502" s="6"/>
    </row>
    <row r="503" customFormat="false" ht="12.75" hidden="false" customHeight="false" outlineLevel="0" collapsed="false">
      <c r="DB503" s="6"/>
    </row>
    <row r="504" customFormat="false" ht="12.75" hidden="false" customHeight="false" outlineLevel="0" collapsed="false">
      <c r="DB504" s="6"/>
    </row>
    <row r="505" customFormat="false" ht="12.75" hidden="false" customHeight="false" outlineLevel="0" collapsed="false">
      <c r="DB505" s="6"/>
    </row>
    <row r="506" customFormat="false" ht="12.75" hidden="false" customHeight="false" outlineLevel="0" collapsed="false">
      <c r="DB506" s="6"/>
    </row>
    <row r="507" customFormat="false" ht="12.75" hidden="false" customHeight="false" outlineLevel="0" collapsed="false">
      <c r="DB507" s="6"/>
    </row>
    <row r="508" customFormat="false" ht="12.75" hidden="false" customHeight="false" outlineLevel="0" collapsed="false">
      <c r="DB508" s="6"/>
    </row>
    <row r="509" customFormat="false" ht="12.75" hidden="false" customHeight="false" outlineLevel="0" collapsed="false">
      <c r="DB509" s="6"/>
    </row>
    <row r="510" customFormat="false" ht="12.75" hidden="false" customHeight="false" outlineLevel="0" collapsed="false">
      <c r="DB510" s="6"/>
    </row>
    <row r="511" customFormat="false" ht="12.75" hidden="false" customHeight="false" outlineLevel="0" collapsed="false">
      <c r="DB511" s="6"/>
    </row>
    <row r="512" customFormat="false" ht="12.75" hidden="false" customHeight="false" outlineLevel="0" collapsed="false">
      <c r="DB512" s="6"/>
    </row>
    <row r="513" customFormat="false" ht="12.75" hidden="false" customHeight="false" outlineLevel="0" collapsed="false">
      <c r="DB513" s="6"/>
    </row>
    <row r="514" customFormat="false" ht="12.75" hidden="false" customHeight="false" outlineLevel="0" collapsed="false">
      <c r="DB514" s="6"/>
    </row>
    <row r="515" customFormat="false" ht="12.75" hidden="false" customHeight="false" outlineLevel="0" collapsed="false">
      <c r="DB515" s="6"/>
    </row>
    <row r="516" customFormat="false" ht="12.75" hidden="false" customHeight="false" outlineLevel="0" collapsed="false">
      <c r="DB516" s="6"/>
    </row>
    <row r="517" customFormat="false" ht="12.75" hidden="false" customHeight="false" outlineLevel="0" collapsed="false">
      <c r="DB517" s="6"/>
    </row>
    <row r="518" customFormat="false" ht="12.75" hidden="false" customHeight="false" outlineLevel="0" collapsed="false">
      <c r="DB518" s="6"/>
    </row>
    <row r="519" customFormat="false" ht="12.75" hidden="false" customHeight="false" outlineLevel="0" collapsed="false">
      <c r="DB519" s="6"/>
    </row>
    <row r="520" customFormat="false" ht="12.75" hidden="false" customHeight="false" outlineLevel="0" collapsed="false">
      <c r="DB520" s="6"/>
    </row>
    <row r="521" customFormat="false" ht="12.75" hidden="false" customHeight="false" outlineLevel="0" collapsed="false">
      <c r="DB521" s="6"/>
    </row>
    <row r="522" customFormat="false" ht="12.75" hidden="false" customHeight="false" outlineLevel="0" collapsed="false">
      <c r="DB522" s="6"/>
    </row>
    <row r="523" customFormat="false" ht="12.75" hidden="false" customHeight="false" outlineLevel="0" collapsed="false">
      <c r="DB523" s="6"/>
    </row>
    <row r="524" customFormat="false" ht="12.75" hidden="false" customHeight="false" outlineLevel="0" collapsed="false">
      <c r="DB524" s="6"/>
    </row>
    <row r="525" customFormat="false" ht="12.75" hidden="false" customHeight="false" outlineLevel="0" collapsed="false">
      <c r="DB525" s="6"/>
    </row>
    <row r="526" customFormat="false" ht="12.75" hidden="false" customHeight="false" outlineLevel="0" collapsed="false">
      <c r="DB526" s="6"/>
    </row>
    <row r="527" customFormat="false" ht="12.75" hidden="false" customHeight="false" outlineLevel="0" collapsed="false">
      <c r="DB527" s="6"/>
    </row>
    <row r="528" customFormat="false" ht="12.75" hidden="false" customHeight="false" outlineLevel="0" collapsed="false">
      <c r="DB528" s="6"/>
    </row>
    <row r="529" customFormat="false" ht="12.75" hidden="false" customHeight="false" outlineLevel="0" collapsed="false">
      <c r="DB529" s="6"/>
    </row>
    <row r="530" customFormat="false" ht="12.75" hidden="false" customHeight="false" outlineLevel="0" collapsed="false">
      <c r="DB530" s="6"/>
    </row>
    <row r="531" customFormat="false" ht="12.75" hidden="false" customHeight="false" outlineLevel="0" collapsed="false">
      <c r="DB531" s="6"/>
    </row>
    <row r="532" customFormat="false" ht="12.75" hidden="false" customHeight="false" outlineLevel="0" collapsed="false">
      <c r="DB532" s="6"/>
    </row>
    <row r="533" customFormat="false" ht="12.75" hidden="false" customHeight="false" outlineLevel="0" collapsed="false">
      <c r="DB533" s="6"/>
    </row>
    <row r="534" customFormat="false" ht="12.75" hidden="false" customHeight="false" outlineLevel="0" collapsed="false">
      <c r="DB534" s="6"/>
    </row>
    <row r="535" customFormat="false" ht="12.75" hidden="false" customHeight="false" outlineLevel="0" collapsed="false">
      <c r="DB535" s="6"/>
    </row>
    <row r="536" customFormat="false" ht="12.75" hidden="false" customHeight="false" outlineLevel="0" collapsed="false">
      <c r="DB536" s="6"/>
    </row>
    <row r="537" customFormat="false" ht="12.75" hidden="false" customHeight="false" outlineLevel="0" collapsed="false">
      <c r="DB537" s="6"/>
    </row>
    <row r="538" customFormat="false" ht="12.75" hidden="false" customHeight="false" outlineLevel="0" collapsed="false">
      <c r="DB538" s="6"/>
    </row>
    <row r="539" customFormat="false" ht="12.75" hidden="false" customHeight="false" outlineLevel="0" collapsed="false">
      <c r="DB539" s="6"/>
    </row>
    <row r="540" customFormat="false" ht="12.75" hidden="false" customHeight="false" outlineLevel="0" collapsed="false">
      <c r="DB540" s="6"/>
    </row>
    <row r="541" customFormat="false" ht="12.75" hidden="false" customHeight="false" outlineLevel="0" collapsed="false">
      <c r="DB541" s="6"/>
    </row>
    <row r="542" customFormat="false" ht="12.75" hidden="false" customHeight="false" outlineLevel="0" collapsed="false">
      <c r="DB542" s="6"/>
    </row>
    <row r="543" customFormat="false" ht="12.75" hidden="false" customHeight="false" outlineLevel="0" collapsed="false">
      <c r="DB543" s="6"/>
    </row>
    <row r="544" customFormat="false" ht="12.75" hidden="false" customHeight="false" outlineLevel="0" collapsed="false">
      <c r="DB544" s="6"/>
    </row>
    <row r="545" customFormat="false" ht="12.75" hidden="false" customHeight="false" outlineLevel="0" collapsed="false">
      <c r="DB545" s="6"/>
    </row>
    <row r="546" customFormat="false" ht="12.75" hidden="false" customHeight="false" outlineLevel="0" collapsed="false">
      <c r="DB546" s="6"/>
    </row>
    <row r="547" customFormat="false" ht="12.75" hidden="false" customHeight="false" outlineLevel="0" collapsed="false">
      <c r="DB547" s="6"/>
    </row>
    <row r="548" customFormat="false" ht="12.75" hidden="false" customHeight="false" outlineLevel="0" collapsed="false">
      <c r="DB548" s="6"/>
    </row>
    <row r="549" customFormat="false" ht="12.75" hidden="false" customHeight="false" outlineLevel="0" collapsed="false">
      <c r="DB549" s="6"/>
    </row>
    <row r="550" customFormat="false" ht="12.75" hidden="false" customHeight="false" outlineLevel="0" collapsed="false">
      <c r="DB550" s="6"/>
    </row>
    <row r="551" customFormat="false" ht="12.75" hidden="false" customHeight="false" outlineLevel="0" collapsed="false">
      <c r="DB551" s="6"/>
    </row>
    <row r="552" customFormat="false" ht="12.75" hidden="false" customHeight="false" outlineLevel="0" collapsed="false">
      <c r="DB552" s="6"/>
    </row>
    <row r="553" customFormat="false" ht="12.75" hidden="false" customHeight="false" outlineLevel="0" collapsed="false">
      <c r="DB553" s="6"/>
    </row>
    <row r="554" customFormat="false" ht="12.75" hidden="false" customHeight="false" outlineLevel="0" collapsed="false">
      <c r="DB554" s="6"/>
    </row>
    <row r="555" customFormat="false" ht="12.75" hidden="false" customHeight="false" outlineLevel="0" collapsed="false">
      <c r="DB555" s="6"/>
    </row>
    <row r="556" customFormat="false" ht="12.75" hidden="false" customHeight="false" outlineLevel="0" collapsed="false">
      <c r="DB556" s="6"/>
    </row>
    <row r="557" customFormat="false" ht="12.75" hidden="false" customHeight="false" outlineLevel="0" collapsed="false">
      <c r="DB557" s="6"/>
    </row>
    <row r="558" customFormat="false" ht="12.75" hidden="false" customHeight="false" outlineLevel="0" collapsed="false">
      <c r="DB558" s="6"/>
    </row>
    <row r="559" customFormat="false" ht="12.75" hidden="false" customHeight="false" outlineLevel="0" collapsed="false">
      <c r="DB559" s="6"/>
    </row>
    <row r="560" customFormat="false" ht="12.75" hidden="false" customHeight="false" outlineLevel="0" collapsed="false">
      <c r="DB560" s="6"/>
    </row>
    <row r="561" customFormat="false" ht="12.75" hidden="false" customHeight="false" outlineLevel="0" collapsed="false">
      <c r="DB561" s="6"/>
    </row>
    <row r="562" customFormat="false" ht="12.75" hidden="false" customHeight="false" outlineLevel="0" collapsed="false">
      <c r="DB562" s="6"/>
    </row>
    <row r="563" customFormat="false" ht="12.75" hidden="false" customHeight="false" outlineLevel="0" collapsed="false">
      <c r="DB563" s="6"/>
    </row>
    <row r="564" customFormat="false" ht="12.75" hidden="false" customHeight="false" outlineLevel="0" collapsed="false">
      <c r="DB564" s="6"/>
    </row>
    <row r="565" customFormat="false" ht="12.75" hidden="false" customHeight="false" outlineLevel="0" collapsed="false">
      <c r="DB565" s="6"/>
    </row>
    <row r="566" customFormat="false" ht="12.75" hidden="false" customHeight="false" outlineLevel="0" collapsed="false">
      <c r="DB566" s="6"/>
    </row>
    <row r="567" customFormat="false" ht="12.75" hidden="false" customHeight="false" outlineLevel="0" collapsed="false">
      <c r="DB567" s="6"/>
    </row>
    <row r="568" customFormat="false" ht="12.75" hidden="false" customHeight="false" outlineLevel="0" collapsed="false">
      <c r="DB568" s="6"/>
    </row>
    <row r="569" customFormat="false" ht="12.75" hidden="false" customHeight="false" outlineLevel="0" collapsed="false">
      <c r="DB569" s="6"/>
    </row>
    <row r="570" customFormat="false" ht="12.75" hidden="false" customHeight="false" outlineLevel="0" collapsed="false">
      <c r="DB570" s="6"/>
    </row>
    <row r="571" customFormat="false" ht="12.75" hidden="false" customHeight="false" outlineLevel="0" collapsed="false">
      <c r="DB571" s="6"/>
    </row>
    <row r="572" customFormat="false" ht="12.75" hidden="false" customHeight="false" outlineLevel="0" collapsed="false">
      <c r="DB572" s="6"/>
    </row>
    <row r="573" customFormat="false" ht="12.75" hidden="false" customHeight="false" outlineLevel="0" collapsed="false">
      <c r="DB573" s="6"/>
    </row>
    <row r="574" customFormat="false" ht="12.75" hidden="false" customHeight="false" outlineLevel="0" collapsed="false">
      <c r="DB574" s="6"/>
    </row>
    <row r="575" customFormat="false" ht="12.75" hidden="false" customHeight="false" outlineLevel="0" collapsed="false">
      <c r="DB575" s="6"/>
    </row>
    <row r="576" customFormat="false" ht="12.75" hidden="false" customHeight="false" outlineLevel="0" collapsed="false">
      <c r="DB576" s="6"/>
    </row>
    <row r="577" customFormat="false" ht="12.75" hidden="false" customHeight="false" outlineLevel="0" collapsed="false">
      <c r="DB577" s="6"/>
    </row>
    <row r="578" customFormat="false" ht="12.75" hidden="false" customHeight="false" outlineLevel="0" collapsed="false">
      <c r="DB578" s="6"/>
    </row>
    <row r="579" customFormat="false" ht="12.75" hidden="false" customHeight="false" outlineLevel="0" collapsed="false">
      <c r="DB579" s="6"/>
    </row>
    <row r="580" customFormat="false" ht="12.75" hidden="false" customHeight="false" outlineLevel="0" collapsed="false">
      <c r="DB580" s="6"/>
    </row>
    <row r="581" customFormat="false" ht="12.75" hidden="false" customHeight="false" outlineLevel="0" collapsed="false">
      <c r="DB581" s="6"/>
    </row>
    <row r="582" customFormat="false" ht="12.75" hidden="false" customHeight="false" outlineLevel="0" collapsed="false">
      <c r="DB582" s="6"/>
    </row>
    <row r="583" customFormat="false" ht="12.75" hidden="false" customHeight="false" outlineLevel="0" collapsed="false">
      <c r="DB583" s="6"/>
    </row>
    <row r="584" customFormat="false" ht="12.75" hidden="false" customHeight="false" outlineLevel="0" collapsed="false">
      <c r="DB584" s="6"/>
    </row>
    <row r="585" customFormat="false" ht="12.75" hidden="false" customHeight="false" outlineLevel="0" collapsed="false">
      <c r="DB585" s="6"/>
    </row>
    <row r="586" customFormat="false" ht="12.75" hidden="false" customHeight="false" outlineLevel="0" collapsed="false">
      <c r="DB586" s="6"/>
    </row>
    <row r="587" customFormat="false" ht="12.75" hidden="false" customHeight="false" outlineLevel="0" collapsed="false">
      <c r="DB587" s="6"/>
    </row>
    <row r="588" customFormat="false" ht="12.75" hidden="false" customHeight="false" outlineLevel="0" collapsed="false">
      <c r="DB588" s="6"/>
    </row>
    <row r="589" customFormat="false" ht="12.75" hidden="false" customHeight="false" outlineLevel="0" collapsed="false">
      <c r="DB589" s="6"/>
    </row>
    <row r="590" customFormat="false" ht="12.75" hidden="false" customHeight="false" outlineLevel="0" collapsed="false">
      <c r="DB590" s="6"/>
    </row>
    <row r="591" customFormat="false" ht="12.75" hidden="false" customHeight="false" outlineLevel="0" collapsed="false">
      <c r="DB591" s="6"/>
    </row>
    <row r="592" customFormat="false" ht="12.75" hidden="false" customHeight="false" outlineLevel="0" collapsed="false">
      <c r="DB592" s="6"/>
    </row>
    <row r="593" customFormat="false" ht="12.75" hidden="false" customHeight="false" outlineLevel="0" collapsed="false">
      <c r="DB593" s="6"/>
    </row>
    <row r="594" customFormat="false" ht="12.75" hidden="false" customHeight="false" outlineLevel="0" collapsed="false">
      <c r="DB594" s="6"/>
    </row>
    <row r="595" customFormat="false" ht="12.75" hidden="false" customHeight="false" outlineLevel="0" collapsed="false">
      <c r="DB595" s="6"/>
    </row>
    <row r="596" customFormat="false" ht="12.75" hidden="false" customHeight="false" outlineLevel="0" collapsed="false">
      <c r="DB596" s="6"/>
    </row>
    <row r="597" customFormat="false" ht="12.75" hidden="false" customHeight="false" outlineLevel="0" collapsed="false">
      <c r="DB597" s="6"/>
    </row>
    <row r="598" customFormat="false" ht="12.75" hidden="false" customHeight="false" outlineLevel="0" collapsed="false">
      <c r="DB598" s="6"/>
    </row>
    <row r="599" customFormat="false" ht="12.75" hidden="false" customHeight="false" outlineLevel="0" collapsed="false">
      <c r="DB599" s="6"/>
    </row>
    <row r="600" customFormat="false" ht="12.75" hidden="false" customHeight="false" outlineLevel="0" collapsed="false">
      <c r="DB600" s="6"/>
    </row>
    <row r="601" customFormat="false" ht="12.75" hidden="false" customHeight="false" outlineLevel="0" collapsed="false">
      <c r="DB601" s="6"/>
    </row>
    <row r="602" customFormat="false" ht="12.75" hidden="false" customHeight="false" outlineLevel="0" collapsed="false">
      <c r="DB602" s="6"/>
    </row>
    <row r="603" customFormat="false" ht="12.75" hidden="false" customHeight="false" outlineLevel="0" collapsed="false">
      <c r="DB603" s="6"/>
    </row>
    <row r="604" customFormat="false" ht="12.75" hidden="false" customHeight="false" outlineLevel="0" collapsed="false">
      <c r="DB604" s="6"/>
    </row>
    <row r="605" customFormat="false" ht="12.75" hidden="false" customHeight="false" outlineLevel="0" collapsed="false">
      <c r="DB605" s="6"/>
    </row>
    <row r="606" customFormat="false" ht="12.75" hidden="false" customHeight="false" outlineLevel="0" collapsed="false">
      <c r="DB606" s="6"/>
    </row>
    <row r="607" customFormat="false" ht="12.75" hidden="false" customHeight="false" outlineLevel="0" collapsed="false">
      <c r="DB607" s="6"/>
    </row>
    <row r="608" customFormat="false" ht="12.75" hidden="false" customHeight="false" outlineLevel="0" collapsed="false">
      <c r="DB608" s="6"/>
    </row>
    <row r="609" customFormat="false" ht="12.75" hidden="false" customHeight="false" outlineLevel="0" collapsed="false">
      <c r="DB609" s="6"/>
    </row>
    <row r="610" customFormat="false" ht="12.75" hidden="false" customHeight="false" outlineLevel="0" collapsed="false">
      <c r="DB610" s="6"/>
    </row>
    <row r="611" customFormat="false" ht="12.75" hidden="false" customHeight="false" outlineLevel="0" collapsed="false">
      <c r="DB611" s="6"/>
    </row>
    <row r="612" customFormat="false" ht="12.75" hidden="false" customHeight="false" outlineLevel="0" collapsed="false">
      <c r="DB612" s="6"/>
    </row>
    <row r="613" customFormat="false" ht="12.75" hidden="false" customHeight="false" outlineLevel="0" collapsed="false">
      <c r="DB613" s="6"/>
    </row>
    <row r="614" customFormat="false" ht="12.75" hidden="false" customHeight="false" outlineLevel="0" collapsed="false">
      <c r="DB614" s="6"/>
    </row>
    <row r="615" customFormat="false" ht="12.75" hidden="false" customHeight="false" outlineLevel="0" collapsed="false">
      <c r="DB615" s="6"/>
    </row>
    <row r="616" customFormat="false" ht="12.75" hidden="false" customHeight="false" outlineLevel="0" collapsed="false">
      <c r="DB616" s="6"/>
    </row>
    <row r="617" customFormat="false" ht="12.75" hidden="false" customHeight="false" outlineLevel="0" collapsed="false">
      <c r="DB617" s="6"/>
    </row>
    <row r="618" customFormat="false" ht="12.75" hidden="false" customHeight="false" outlineLevel="0" collapsed="false">
      <c r="DB618" s="6"/>
    </row>
    <row r="619" customFormat="false" ht="12.75" hidden="false" customHeight="false" outlineLevel="0" collapsed="false">
      <c r="DB619" s="6"/>
    </row>
    <row r="620" customFormat="false" ht="12.75" hidden="false" customHeight="false" outlineLevel="0" collapsed="false">
      <c r="DB620" s="6"/>
    </row>
    <row r="621" customFormat="false" ht="12.75" hidden="false" customHeight="false" outlineLevel="0" collapsed="false">
      <c r="DB621" s="6"/>
    </row>
    <row r="622" customFormat="false" ht="12.75" hidden="false" customHeight="false" outlineLevel="0" collapsed="false">
      <c r="DB622" s="6"/>
    </row>
    <row r="623" customFormat="false" ht="12.75" hidden="false" customHeight="false" outlineLevel="0" collapsed="false">
      <c r="DB623" s="6"/>
    </row>
    <row r="624" customFormat="false" ht="12.75" hidden="false" customHeight="false" outlineLevel="0" collapsed="false">
      <c r="DB624" s="6"/>
    </row>
    <row r="625" customFormat="false" ht="12.75" hidden="false" customHeight="false" outlineLevel="0" collapsed="false">
      <c r="DB625" s="6"/>
    </row>
    <row r="626" customFormat="false" ht="12.75" hidden="false" customHeight="false" outlineLevel="0" collapsed="false">
      <c r="DB626" s="6"/>
    </row>
    <row r="627" customFormat="false" ht="12.75" hidden="false" customHeight="false" outlineLevel="0" collapsed="false">
      <c r="DB627" s="6"/>
    </row>
    <row r="628" customFormat="false" ht="12.75" hidden="false" customHeight="false" outlineLevel="0" collapsed="false">
      <c r="DB628" s="6"/>
    </row>
    <row r="629" customFormat="false" ht="12.75" hidden="false" customHeight="false" outlineLevel="0" collapsed="false">
      <c r="DB629" s="6"/>
    </row>
    <row r="630" customFormat="false" ht="12.75" hidden="false" customHeight="false" outlineLevel="0" collapsed="false">
      <c r="DB630" s="6"/>
    </row>
    <row r="631" customFormat="false" ht="12.75" hidden="false" customHeight="false" outlineLevel="0" collapsed="false">
      <c r="DB631" s="6"/>
    </row>
    <row r="632" customFormat="false" ht="12.75" hidden="false" customHeight="false" outlineLevel="0" collapsed="false">
      <c r="DB632" s="6"/>
    </row>
    <row r="633" customFormat="false" ht="12.75" hidden="false" customHeight="false" outlineLevel="0" collapsed="false">
      <c r="DB633" s="6"/>
    </row>
    <row r="634" customFormat="false" ht="12.75" hidden="false" customHeight="false" outlineLevel="0" collapsed="false">
      <c r="DB634" s="6"/>
    </row>
    <row r="635" customFormat="false" ht="12.75" hidden="false" customHeight="false" outlineLevel="0" collapsed="false">
      <c r="DB635" s="6"/>
    </row>
    <row r="636" customFormat="false" ht="12.75" hidden="false" customHeight="false" outlineLevel="0" collapsed="false">
      <c r="DB636" s="6"/>
    </row>
    <row r="637" customFormat="false" ht="12.75" hidden="false" customHeight="false" outlineLevel="0" collapsed="false">
      <c r="DB637" s="6"/>
    </row>
    <row r="638" customFormat="false" ht="12.75" hidden="false" customHeight="false" outlineLevel="0" collapsed="false">
      <c r="DB638" s="6"/>
    </row>
    <row r="639" customFormat="false" ht="12.75" hidden="false" customHeight="false" outlineLevel="0" collapsed="false">
      <c r="DB639" s="6"/>
    </row>
    <row r="640" customFormat="false" ht="12.75" hidden="false" customHeight="false" outlineLevel="0" collapsed="false">
      <c r="DB640" s="6"/>
    </row>
    <row r="641" customFormat="false" ht="12.75" hidden="false" customHeight="false" outlineLevel="0" collapsed="false">
      <c r="DB641" s="6"/>
    </row>
    <row r="642" customFormat="false" ht="12.75" hidden="false" customHeight="false" outlineLevel="0" collapsed="false">
      <c r="DB642" s="6"/>
    </row>
    <row r="643" customFormat="false" ht="12.75" hidden="false" customHeight="false" outlineLevel="0" collapsed="false">
      <c r="DB643" s="6"/>
    </row>
    <row r="644" customFormat="false" ht="12.75" hidden="false" customHeight="false" outlineLevel="0" collapsed="false">
      <c r="DB644" s="6"/>
    </row>
    <row r="645" customFormat="false" ht="12.75" hidden="false" customHeight="false" outlineLevel="0" collapsed="false">
      <c r="DB645" s="6"/>
    </row>
    <row r="646" customFormat="false" ht="12.75" hidden="false" customHeight="false" outlineLevel="0" collapsed="false">
      <c r="DB646" s="6"/>
    </row>
    <row r="647" customFormat="false" ht="12.75" hidden="false" customHeight="false" outlineLevel="0" collapsed="false">
      <c r="DB647" s="6"/>
    </row>
    <row r="648" customFormat="false" ht="12.75" hidden="false" customHeight="false" outlineLevel="0" collapsed="false">
      <c r="DB648" s="6"/>
    </row>
    <row r="649" customFormat="false" ht="12.75" hidden="false" customHeight="false" outlineLevel="0" collapsed="false">
      <c r="DB649" s="6"/>
    </row>
    <row r="650" customFormat="false" ht="12.75" hidden="false" customHeight="false" outlineLevel="0" collapsed="false">
      <c r="DB650" s="6"/>
    </row>
    <row r="651" customFormat="false" ht="12.75" hidden="false" customHeight="false" outlineLevel="0" collapsed="false">
      <c r="DB651" s="6"/>
    </row>
    <row r="652" customFormat="false" ht="12.75" hidden="false" customHeight="false" outlineLevel="0" collapsed="false">
      <c r="DB652" s="6"/>
    </row>
    <row r="653" customFormat="false" ht="12.75" hidden="false" customHeight="false" outlineLevel="0" collapsed="false">
      <c r="DB653" s="6"/>
    </row>
    <row r="654" customFormat="false" ht="12.75" hidden="false" customHeight="false" outlineLevel="0" collapsed="false">
      <c r="DB654" s="6"/>
    </row>
    <row r="655" customFormat="false" ht="12.75" hidden="false" customHeight="false" outlineLevel="0" collapsed="false">
      <c r="DB655" s="6"/>
    </row>
    <row r="656" customFormat="false" ht="12.75" hidden="false" customHeight="false" outlineLevel="0" collapsed="false">
      <c r="DB656" s="6"/>
    </row>
    <row r="657" customFormat="false" ht="12.75" hidden="false" customHeight="false" outlineLevel="0" collapsed="false">
      <c r="DB657" s="6"/>
    </row>
    <row r="658" customFormat="false" ht="12.75" hidden="false" customHeight="false" outlineLevel="0" collapsed="false">
      <c r="DB658" s="6"/>
    </row>
    <row r="659" customFormat="false" ht="12.75" hidden="false" customHeight="false" outlineLevel="0" collapsed="false">
      <c r="DB659" s="6"/>
    </row>
    <row r="660" customFormat="false" ht="12.75" hidden="false" customHeight="false" outlineLevel="0" collapsed="false">
      <c r="DB660" s="6"/>
    </row>
    <row r="661" customFormat="false" ht="12.75" hidden="false" customHeight="false" outlineLevel="0" collapsed="false">
      <c r="DB661" s="6"/>
    </row>
    <row r="662" customFormat="false" ht="12.75" hidden="false" customHeight="false" outlineLevel="0" collapsed="false">
      <c r="DB662" s="6"/>
    </row>
    <row r="663" customFormat="false" ht="12.75" hidden="false" customHeight="false" outlineLevel="0" collapsed="false">
      <c r="DB663" s="6"/>
    </row>
    <row r="664" customFormat="false" ht="12.75" hidden="false" customHeight="false" outlineLevel="0" collapsed="false">
      <c r="DB664" s="6"/>
    </row>
    <row r="665" customFormat="false" ht="12.75" hidden="false" customHeight="false" outlineLevel="0" collapsed="false">
      <c r="DB665" s="6"/>
    </row>
    <row r="666" customFormat="false" ht="12.75" hidden="false" customHeight="false" outlineLevel="0" collapsed="false">
      <c r="DB666" s="6"/>
    </row>
    <row r="667" customFormat="false" ht="12.75" hidden="false" customHeight="false" outlineLevel="0" collapsed="false">
      <c r="DB667" s="6"/>
    </row>
    <row r="668" customFormat="false" ht="12.75" hidden="false" customHeight="false" outlineLevel="0" collapsed="false">
      <c r="DB668" s="6"/>
    </row>
    <row r="669" customFormat="false" ht="12.75" hidden="false" customHeight="false" outlineLevel="0" collapsed="false">
      <c r="DB669" s="6"/>
    </row>
    <row r="670" customFormat="false" ht="12.75" hidden="false" customHeight="false" outlineLevel="0" collapsed="false">
      <c r="DB670" s="6"/>
    </row>
    <row r="671" customFormat="false" ht="12.75" hidden="false" customHeight="false" outlineLevel="0" collapsed="false">
      <c r="DB671" s="6"/>
    </row>
    <row r="672" customFormat="false" ht="12.75" hidden="false" customHeight="false" outlineLevel="0" collapsed="false">
      <c r="DB672" s="6"/>
    </row>
    <row r="673" customFormat="false" ht="12.75" hidden="false" customHeight="false" outlineLevel="0" collapsed="false">
      <c r="DB673" s="6"/>
    </row>
    <row r="674" customFormat="false" ht="12.75" hidden="false" customHeight="false" outlineLevel="0" collapsed="false">
      <c r="DB674" s="6"/>
    </row>
    <row r="675" customFormat="false" ht="12.75" hidden="false" customHeight="false" outlineLevel="0" collapsed="false">
      <c r="DB675" s="6"/>
    </row>
    <row r="676" customFormat="false" ht="12.75" hidden="false" customHeight="false" outlineLevel="0" collapsed="false">
      <c r="DB676" s="6"/>
    </row>
    <row r="677" customFormat="false" ht="12.75" hidden="false" customHeight="false" outlineLevel="0" collapsed="false">
      <c r="DB677" s="6"/>
    </row>
    <row r="678" customFormat="false" ht="12.75" hidden="false" customHeight="false" outlineLevel="0" collapsed="false">
      <c r="DB678" s="6"/>
    </row>
    <row r="679" customFormat="false" ht="12.75" hidden="false" customHeight="false" outlineLevel="0" collapsed="false">
      <c r="DB679" s="6"/>
    </row>
    <row r="680" customFormat="false" ht="12.75" hidden="false" customHeight="false" outlineLevel="0" collapsed="false">
      <c r="DB680" s="6"/>
    </row>
    <row r="681" customFormat="false" ht="12.75" hidden="false" customHeight="false" outlineLevel="0" collapsed="false">
      <c r="DB681" s="6"/>
    </row>
    <row r="682" customFormat="false" ht="12.75" hidden="false" customHeight="false" outlineLevel="0" collapsed="false">
      <c r="DB682" s="6"/>
    </row>
    <row r="683" customFormat="false" ht="12.75" hidden="false" customHeight="false" outlineLevel="0" collapsed="false">
      <c r="DB683" s="6"/>
    </row>
    <row r="684" customFormat="false" ht="12.75" hidden="false" customHeight="false" outlineLevel="0" collapsed="false">
      <c r="DB684" s="6"/>
    </row>
    <row r="685" customFormat="false" ht="12.75" hidden="false" customHeight="false" outlineLevel="0" collapsed="false">
      <c r="DB685" s="6"/>
    </row>
    <row r="686" customFormat="false" ht="12.75" hidden="false" customHeight="false" outlineLevel="0" collapsed="false">
      <c r="DB686" s="6"/>
    </row>
    <row r="687" customFormat="false" ht="12.75" hidden="false" customHeight="false" outlineLevel="0" collapsed="false">
      <c r="DB687" s="6"/>
    </row>
    <row r="688" customFormat="false" ht="12.75" hidden="false" customHeight="false" outlineLevel="0" collapsed="false">
      <c r="DB688" s="6"/>
    </row>
    <row r="689" customFormat="false" ht="12.75" hidden="false" customHeight="false" outlineLevel="0" collapsed="false">
      <c r="DB689" s="6"/>
    </row>
    <row r="690" customFormat="false" ht="12.75" hidden="false" customHeight="false" outlineLevel="0" collapsed="false">
      <c r="DB690" s="6"/>
    </row>
    <row r="691" customFormat="false" ht="12.75" hidden="false" customHeight="false" outlineLevel="0" collapsed="false">
      <c r="DB691" s="6"/>
    </row>
    <row r="692" customFormat="false" ht="12.75" hidden="false" customHeight="false" outlineLevel="0" collapsed="false">
      <c r="DB692" s="6"/>
    </row>
    <row r="693" customFormat="false" ht="12.75" hidden="false" customHeight="false" outlineLevel="0" collapsed="false">
      <c r="DB693" s="6"/>
    </row>
    <row r="694" customFormat="false" ht="12.75" hidden="false" customHeight="false" outlineLevel="0" collapsed="false">
      <c r="DB694" s="6"/>
    </row>
    <row r="695" customFormat="false" ht="12.75" hidden="false" customHeight="false" outlineLevel="0" collapsed="false">
      <c r="DB695" s="6"/>
    </row>
    <row r="696" customFormat="false" ht="12.75" hidden="false" customHeight="false" outlineLevel="0" collapsed="false">
      <c r="DB696" s="6"/>
    </row>
    <row r="697" customFormat="false" ht="12.75" hidden="false" customHeight="false" outlineLevel="0" collapsed="false">
      <c r="DB697" s="6"/>
    </row>
    <row r="698" customFormat="false" ht="12.75" hidden="false" customHeight="false" outlineLevel="0" collapsed="false">
      <c r="DB698" s="6"/>
    </row>
    <row r="699" customFormat="false" ht="12.75" hidden="false" customHeight="false" outlineLevel="0" collapsed="false">
      <c r="DB699" s="6"/>
    </row>
    <row r="700" customFormat="false" ht="12.75" hidden="false" customHeight="false" outlineLevel="0" collapsed="false">
      <c r="DB700" s="6"/>
    </row>
    <row r="701" customFormat="false" ht="12.75" hidden="false" customHeight="false" outlineLevel="0" collapsed="false">
      <c r="DB701" s="6"/>
    </row>
    <row r="702" customFormat="false" ht="12.75" hidden="false" customHeight="false" outlineLevel="0" collapsed="false">
      <c r="DB702" s="6"/>
    </row>
    <row r="703" customFormat="false" ht="12.75" hidden="false" customHeight="false" outlineLevel="0" collapsed="false">
      <c r="DB703" s="6"/>
    </row>
    <row r="704" customFormat="false" ht="12.75" hidden="false" customHeight="false" outlineLevel="0" collapsed="false">
      <c r="DB704" s="6"/>
    </row>
    <row r="705" customFormat="false" ht="12.75" hidden="false" customHeight="false" outlineLevel="0" collapsed="false">
      <c r="DB705" s="6"/>
    </row>
    <row r="706" customFormat="false" ht="12.75" hidden="false" customHeight="false" outlineLevel="0" collapsed="false">
      <c r="DB706" s="6"/>
    </row>
    <row r="707" customFormat="false" ht="12.75" hidden="false" customHeight="false" outlineLevel="0" collapsed="false">
      <c r="DB707" s="6"/>
    </row>
    <row r="708" customFormat="false" ht="12.75" hidden="false" customHeight="false" outlineLevel="0" collapsed="false">
      <c r="DB708" s="6"/>
    </row>
    <row r="709" customFormat="false" ht="12.75" hidden="false" customHeight="false" outlineLevel="0" collapsed="false">
      <c r="DB709" s="6"/>
    </row>
    <row r="710" customFormat="false" ht="12.75" hidden="false" customHeight="false" outlineLevel="0" collapsed="false">
      <c r="DB710" s="6"/>
    </row>
    <row r="711" customFormat="false" ht="12.75" hidden="false" customHeight="false" outlineLevel="0" collapsed="false">
      <c r="DB711" s="6"/>
    </row>
    <row r="712" customFormat="false" ht="12.75" hidden="false" customHeight="false" outlineLevel="0" collapsed="false">
      <c r="DB712" s="6"/>
    </row>
    <row r="713" customFormat="false" ht="12.75" hidden="false" customHeight="false" outlineLevel="0" collapsed="false">
      <c r="DB713" s="6"/>
    </row>
    <row r="714" customFormat="false" ht="12.75" hidden="false" customHeight="false" outlineLevel="0" collapsed="false">
      <c r="DB714" s="6"/>
    </row>
    <row r="715" customFormat="false" ht="12.75" hidden="false" customHeight="false" outlineLevel="0" collapsed="false">
      <c r="DB715" s="6"/>
    </row>
    <row r="716" customFormat="false" ht="12.75" hidden="false" customHeight="false" outlineLevel="0" collapsed="false">
      <c r="DB716" s="6"/>
    </row>
    <row r="717" customFormat="false" ht="12.75" hidden="false" customHeight="false" outlineLevel="0" collapsed="false">
      <c r="DB717" s="6"/>
    </row>
    <row r="718" customFormat="false" ht="12.75" hidden="false" customHeight="false" outlineLevel="0" collapsed="false">
      <c r="DB718" s="6"/>
    </row>
    <row r="719" customFormat="false" ht="12.75" hidden="false" customHeight="false" outlineLevel="0" collapsed="false">
      <c r="DB719" s="6"/>
    </row>
    <row r="720" customFormat="false" ht="12.75" hidden="false" customHeight="false" outlineLevel="0" collapsed="false">
      <c r="DB720" s="6"/>
    </row>
    <row r="721" customFormat="false" ht="12.75" hidden="false" customHeight="false" outlineLevel="0" collapsed="false">
      <c r="DB721" s="6"/>
    </row>
    <row r="722" customFormat="false" ht="12.75" hidden="false" customHeight="false" outlineLevel="0" collapsed="false">
      <c r="DB722" s="6"/>
    </row>
    <row r="723" customFormat="false" ht="12.75" hidden="false" customHeight="false" outlineLevel="0" collapsed="false">
      <c r="DB723" s="6"/>
    </row>
    <row r="724" customFormat="false" ht="12.75" hidden="false" customHeight="false" outlineLevel="0" collapsed="false">
      <c r="DB724" s="6"/>
    </row>
    <row r="725" customFormat="false" ht="12.75" hidden="false" customHeight="false" outlineLevel="0" collapsed="false">
      <c r="DB725" s="6"/>
    </row>
    <row r="726" customFormat="false" ht="12.75" hidden="false" customHeight="false" outlineLevel="0" collapsed="false">
      <c r="DB726" s="6"/>
    </row>
    <row r="727" customFormat="false" ht="12.75" hidden="false" customHeight="false" outlineLevel="0" collapsed="false">
      <c r="DB727" s="6"/>
    </row>
    <row r="728" customFormat="false" ht="12.75" hidden="false" customHeight="false" outlineLevel="0" collapsed="false">
      <c r="DB728" s="6"/>
    </row>
    <row r="729" customFormat="false" ht="12.75" hidden="false" customHeight="false" outlineLevel="0" collapsed="false">
      <c r="DB729" s="6"/>
    </row>
    <row r="730" customFormat="false" ht="12.75" hidden="false" customHeight="false" outlineLevel="0" collapsed="false">
      <c r="DB730" s="6"/>
    </row>
    <row r="731" customFormat="false" ht="12.75" hidden="false" customHeight="false" outlineLevel="0" collapsed="false">
      <c r="DB731" s="6"/>
    </row>
    <row r="732" customFormat="false" ht="12.75" hidden="false" customHeight="false" outlineLevel="0" collapsed="false">
      <c r="DB732" s="6"/>
    </row>
    <row r="733" customFormat="false" ht="12.75" hidden="false" customHeight="false" outlineLevel="0" collapsed="false">
      <c r="DB733" s="6"/>
    </row>
    <row r="734" customFormat="false" ht="12.75" hidden="false" customHeight="false" outlineLevel="0" collapsed="false">
      <c r="DB734" s="6"/>
    </row>
    <row r="735" customFormat="false" ht="12.75" hidden="false" customHeight="false" outlineLevel="0" collapsed="false">
      <c r="DB735" s="6"/>
    </row>
    <row r="736" customFormat="false" ht="12.75" hidden="false" customHeight="false" outlineLevel="0" collapsed="false">
      <c r="DB736" s="6"/>
    </row>
    <row r="737" customFormat="false" ht="12.75" hidden="false" customHeight="false" outlineLevel="0" collapsed="false">
      <c r="DB737" s="6"/>
    </row>
    <row r="738" customFormat="false" ht="12.75" hidden="false" customHeight="false" outlineLevel="0" collapsed="false">
      <c r="DB738" s="6"/>
    </row>
    <row r="739" customFormat="false" ht="12.75" hidden="false" customHeight="false" outlineLevel="0" collapsed="false">
      <c r="DB739" s="6"/>
    </row>
    <row r="740" customFormat="false" ht="12.75" hidden="false" customHeight="false" outlineLevel="0" collapsed="false">
      <c r="DB740" s="6"/>
    </row>
    <row r="741" customFormat="false" ht="12.75" hidden="false" customHeight="false" outlineLevel="0" collapsed="false">
      <c r="DB741" s="6"/>
    </row>
    <row r="742" customFormat="false" ht="12.75" hidden="false" customHeight="false" outlineLevel="0" collapsed="false">
      <c r="DB742" s="6"/>
    </row>
    <row r="743" customFormat="false" ht="12.75" hidden="false" customHeight="false" outlineLevel="0" collapsed="false">
      <c r="DB743" s="6"/>
    </row>
    <row r="744" customFormat="false" ht="12.75" hidden="false" customHeight="false" outlineLevel="0" collapsed="false">
      <c r="DB744" s="6"/>
    </row>
    <row r="745" customFormat="false" ht="12.75" hidden="false" customHeight="false" outlineLevel="0" collapsed="false">
      <c r="DB745" s="6"/>
    </row>
    <row r="746" customFormat="false" ht="12.75" hidden="false" customHeight="false" outlineLevel="0" collapsed="false">
      <c r="DB746" s="6"/>
    </row>
    <row r="747" customFormat="false" ht="12.75" hidden="false" customHeight="false" outlineLevel="0" collapsed="false">
      <c r="DB747" s="6"/>
    </row>
    <row r="748" customFormat="false" ht="12.75" hidden="false" customHeight="false" outlineLevel="0" collapsed="false">
      <c r="DB748" s="6"/>
    </row>
    <row r="749" customFormat="false" ht="12.75" hidden="false" customHeight="false" outlineLevel="0" collapsed="false">
      <c r="DB749" s="6"/>
    </row>
    <row r="750" customFormat="false" ht="12.75" hidden="false" customHeight="false" outlineLevel="0" collapsed="false">
      <c r="DB750" s="6"/>
    </row>
    <row r="751" customFormat="false" ht="12.75" hidden="false" customHeight="false" outlineLevel="0" collapsed="false">
      <c r="DB751" s="6"/>
    </row>
    <row r="752" customFormat="false" ht="12.75" hidden="false" customHeight="false" outlineLevel="0" collapsed="false">
      <c r="DB752" s="6"/>
    </row>
    <row r="753" customFormat="false" ht="12.75" hidden="false" customHeight="false" outlineLevel="0" collapsed="false">
      <c r="DB753" s="6"/>
    </row>
    <row r="754" customFormat="false" ht="12.75" hidden="false" customHeight="false" outlineLevel="0" collapsed="false">
      <c r="DB754" s="6"/>
    </row>
    <row r="755" customFormat="false" ht="12.75" hidden="false" customHeight="false" outlineLevel="0" collapsed="false">
      <c r="DB755" s="6"/>
    </row>
    <row r="756" customFormat="false" ht="12.75" hidden="false" customHeight="false" outlineLevel="0" collapsed="false">
      <c r="DB756" s="6"/>
    </row>
    <row r="757" customFormat="false" ht="12.75" hidden="false" customHeight="false" outlineLevel="0" collapsed="false">
      <c r="DB757" s="6"/>
    </row>
    <row r="758" customFormat="false" ht="12.75" hidden="false" customHeight="false" outlineLevel="0" collapsed="false">
      <c r="DB758" s="6"/>
    </row>
    <row r="759" customFormat="false" ht="12.75" hidden="false" customHeight="false" outlineLevel="0" collapsed="false">
      <c r="DB759" s="6"/>
    </row>
    <row r="760" customFormat="false" ht="12.75" hidden="false" customHeight="false" outlineLevel="0" collapsed="false">
      <c r="DB760" s="6"/>
    </row>
    <row r="761" customFormat="false" ht="12.75" hidden="false" customHeight="false" outlineLevel="0" collapsed="false">
      <c r="DB761" s="6"/>
    </row>
    <row r="762" customFormat="false" ht="12.75" hidden="false" customHeight="false" outlineLevel="0" collapsed="false">
      <c r="DB762" s="6"/>
    </row>
    <row r="763" customFormat="false" ht="12.75" hidden="false" customHeight="false" outlineLevel="0" collapsed="false">
      <c r="DB763" s="6"/>
    </row>
    <row r="764" customFormat="false" ht="12.75" hidden="false" customHeight="false" outlineLevel="0" collapsed="false">
      <c r="DB764" s="6"/>
    </row>
    <row r="765" customFormat="false" ht="12.75" hidden="false" customHeight="false" outlineLevel="0" collapsed="false">
      <c r="DB765" s="6"/>
    </row>
    <row r="766" customFormat="false" ht="12.75" hidden="false" customHeight="false" outlineLevel="0" collapsed="false">
      <c r="DB766" s="6"/>
    </row>
    <row r="767" customFormat="false" ht="12.75" hidden="false" customHeight="false" outlineLevel="0" collapsed="false">
      <c r="DB767" s="6"/>
    </row>
    <row r="768" customFormat="false" ht="12.75" hidden="false" customHeight="false" outlineLevel="0" collapsed="false">
      <c r="DB768" s="6"/>
    </row>
    <row r="769" customFormat="false" ht="12.75" hidden="false" customHeight="false" outlineLevel="0" collapsed="false">
      <c r="DB769" s="6"/>
    </row>
    <row r="770" customFormat="false" ht="12.75" hidden="false" customHeight="false" outlineLevel="0" collapsed="false">
      <c r="DB770" s="6"/>
    </row>
    <row r="771" customFormat="false" ht="12.75" hidden="false" customHeight="false" outlineLevel="0" collapsed="false">
      <c r="DB771" s="6"/>
    </row>
    <row r="772" customFormat="false" ht="12.75" hidden="false" customHeight="false" outlineLevel="0" collapsed="false">
      <c r="DB772" s="6"/>
    </row>
    <row r="773" customFormat="false" ht="12.75" hidden="false" customHeight="false" outlineLevel="0" collapsed="false">
      <c r="DB773" s="6"/>
    </row>
    <row r="774" customFormat="false" ht="12.75" hidden="false" customHeight="false" outlineLevel="0" collapsed="false">
      <c r="DB774" s="6"/>
    </row>
    <row r="775" customFormat="false" ht="12.75" hidden="false" customHeight="false" outlineLevel="0" collapsed="false">
      <c r="DB775" s="6"/>
    </row>
    <row r="776" customFormat="false" ht="12.75" hidden="false" customHeight="false" outlineLevel="0" collapsed="false">
      <c r="DB776" s="6"/>
    </row>
    <row r="777" customFormat="false" ht="12.75" hidden="false" customHeight="false" outlineLevel="0" collapsed="false">
      <c r="DB777" s="6"/>
    </row>
    <row r="778" customFormat="false" ht="12.75" hidden="false" customHeight="false" outlineLevel="0" collapsed="false">
      <c r="DB778" s="6"/>
    </row>
    <row r="779" customFormat="false" ht="12.75" hidden="false" customHeight="false" outlineLevel="0" collapsed="false">
      <c r="DB779" s="6"/>
    </row>
    <row r="780" customFormat="false" ht="12.75" hidden="false" customHeight="false" outlineLevel="0" collapsed="false">
      <c r="DB780" s="6"/>
    </row>
    <row r="781" customFormat="false" ht="12.75" hidden="false" customHeight="false" outlineLevel="0" collapsed="false">
      <c r="DB781" s="6"/>
    </row>
    <row r="782" customFormat="false" ht="12.75" hidden="false" customHeight="false" outlineLevel="0" collapsed="false">
      <c r="DB782" s="6"/>
    </row>
    <row r="783" customFormat="false" ht="12.75" hidden="false" customHeight="false" outlineLevel="0" collapsed="false">
      <c r="DB783" s="6"/>
    </row>
    <row r="784" customFormat="false" ht="12.75" hidden="false" customHeight="false" outlineLevel="0" collapsed="false">
      <c r="DB784" s="6"/>
    </row>
    <row r="785" customFormat="false" ht="12.75" hidden="false" customHeight="false" outlineLevel="0" collapsed="false">
      <c r="DB785" s="6"/>
    </row>
    <row r="786" customFormat="false" ht="12.75" hidden="false" customHeight="false" outlineLevel="0" collapsed="false">
      <c r="DB786" s="6"/>
    </row>
    <row r="787" customFormat="false" ht="12.75" hidden="false" customHeight="false" outlineLevel="0" collapsed="false">
      <c r="DB787" s="6"/>
    </row>
    <row r="788" customFormat="false" ht="12.75" hidden="false" customHeight="false" outlineLevel="0" collapsed="false">
      <c r="DB788" s="6"/>
    </row>
    <row r="789" customFormat="false" ht="12.75" hidden="false" customHeight="false" outlineLevel="0" collapsed="false">
      <c r="DB789" s="6"/>
    </row>
    <row r="790" customFormat="false" ht="12.75" hidden="false" customHeight="false" outlineLevel="0" collapsed="false">
      <c r="DB790" s="6"/>
    </row>
    <row r="791" customFormat="false" ht="12.75" hidden="false" customHeight="false" outlineLevel="0" collapsed="false">
      <c r="DB791" s="6"/>
    </row>
    <row r="792" customFormat="false" ht="12.75" hidden="false" customHeight="false" outlineLevel="0" collapsed="false">
      <c r="DB792" s="6"/>
    </row>
    <row r="793" customFormat="false" ht="12.75" hidden="false" customHeight="false" outlineLevel="0" collapsed="false">
      <c r="DB793" s="6"/>
    </row>
    <row r="794" customFormat="false" ht="12.75" hidden="false" customHeight="false" outlineLevel="0" collapsed="false">
      <c r="DB794" s="6"/>
    </row>
    <row r="795" customFormat="false" ht="12.75" hidden="false" customHeight="false" outlineLevel="0" collapsed="false">
      <c r="DB795" s="6"/>
    </row>
    <row r="796" customFormat="false" ht="12.75" hidden="false" customHeight="false" outlineLevel="0" collapsed="false">
      <c r="DB796" s="6"/>
    </row>
    <row r="797" customFormat="false" ht="12.75" hidden="false" customHeight="false" outlineLevel="0" collapsed="false">
      <c r="DB797" s="6"/>
    </row>
    <row r="798" customFormat="false" ht="12.75" hidden="false" customHeight="false" outlineLevel="0" collapsed="false">
      <c r="DB798" s="6"/>
    </row>
    <row r="799" customFormat="false" ht="12.75" hidden="false" customHeight="false" outlineLevel="0" collapsed="false">
      <c r="DB799" s="6"/>
    </row>
    <row r="800" customFormat="false" ht="12.75" hidden="false" customHeight="false" outlineLevel="0" collapsed="false">
      <c r="DB800" s="6"/>
    </row>
    <row r="801" customFormat="false" ht="12.75" hidden="false" customHeight="false" outlineLevel="0" collapsed="false">
      <c r="DB801" s="6"/>
    </row>
    <row r="802" customFormat="false" ht="12.75" hidden="false" customHeight="false" outlineLevel="0" collapsed="false">
      <c r="DB802" s="6"/>
    </row>
    <row r="803" customFormat="false" ht="12.75" hidden="false" customHeight="false" outlineLevel="0" collapsed="false">
      <c r="DB803" s="6"/>
    </row>
    <row r="804" customFormat="false" ht="12.75" hidden="false" customHeight="false" outlineLevel="0" collapsed="false">
      <c r="DB804" s="6"/>
    </row>
    <row r="805" customFormat="false" ht="12.75" hidden="false" customHeight="false" outlineLevel="0" collapsed="false">
      <c r="DB805" s="6"/>
    </row>
    <row r="806" customFormat="false" ht="12.75" hidden="false" customHeight="false" outlineLevel="0" collapsed="false">
      <c r="DB806" s="6"/>
    </row>
    <row r="807" customFormat="false" ht="12.75" hidden="false" customHeight="false" outlineLevel="0" collapsed="false">
      <c r="DB807" s="6"/>
    </row>
    <row r="808" customFormat="false" ht="12.75" hidden="false" customHeight="false" outlineLevel="0" collapsed="false">
      <c r="DB808" s="6"/>
    </row>
    <row r="809" customFormat="false" ht="12.75" hidden="false" customHeight="false" outlineLevel="0" collapsed="false">
      <c r="DB809" s="6"/>
    </row>
    <row r="810" customFormat="false" ht="12.75" hidden="false" customHeight="false" outlineLevel="0" collapsed="false">
      <c r="DB810" s="6"/>
    </row>
    <row r="811" customFormat="false" ht="12.75" hidden="false" customHeight="false" outlineLevel="0" collapsed="false">
      <c r="DB811" s="6"/>
    </row>
    <row r="812" customFormat="false" ht="12.75" hidden="false" customHeight="false" outlineLevel="0" collapsed="false">
      <c r="DB812" s="6"/>
    </row>
    <row r="813" customFormat="false" ht="12.75" hidden="false" customHeight="false" outlineLevel="0" collapsed="false">
      <c r="DB813" s="6"/>
    </row>
    <row r="814" customFormat="false" ht="12.75" hidden="false" customHeight="false" outlineLevel="0" collapsed="false">
      <c r="DB814" s="6"/>
    </row>
    <row r="815" customFormat="false" ht="12.75" hidden="false" customHeight="false" outlineLevel="0" collapsed="false">
      <c r="DB815" s="6"/>
    </row>
    <row r="816" customFormat="false" ht="12.75" hidden="false" customHeight="false" outlineLevel="0" collapsed="false">
      <c r="DB816" s="6"/>
    </row>
    <row r="817" customFormat="false" ht="12.75" hidden="false" customHeight="false" outlineLevel="0" collapsed="false">
      <c r="DB817" s="6"/>
    </row>
    <row r="818" customFormat="false" ht="12.75" hidden="false" customHeight="false" outlineLevel="0" collapsed="false">
      <c r="DB818" s="6"/>
    </row>
    <row r="819" customFormat="false" ht="12.75" hidden="false" customHeight="false" outlineLevel="0" collapsed="false">
      <c r="DB819" s="6"/>
    </row>
    <row r="820" customFormat="false" ht="12.75" hidden="false" customHeight="false" outlineLevel="0" collapsed="false">
      <c r="DB820" s="6"/>
    </row>
    <row r="821" customFormat="false" ht="12.75" hidden="false" customHeight="false" outlineLevel="0" collapsed="false">
      <c r="DB821" s="6"/>
    </row>
    <row r="822" customFormat="false" ht="12.75" hidden="false" customHeight="false" outlineLevel="0" collapsed="false">
      <c r="DB822" s="6"/>
    </row>
    <row r="823" customFormat="false" ht="12.75" hidden="false" customHeight="false" outlineLevel="0" collapsed="false">
      <c r="DB823" s="6"/>
    </row>
    <row r="824" customFormat="false" ht="12.75" hidden="false" customHeight="false" outlineLevel="0" collapsed="false">
      <c r="DB824" s="6"/>
    </row>
    <row r="825" customFormat="false" ht="12.75" hidden="false" customHeight="false" outlineLevel="0" collapsed="false">
      <c r="DB825" s="6"/>
    </row>
    <row r="826" customFormat="false" ht="12.75" hidden="false" customHeight="false" outlineLevel="0" collapsed="false">
      <c r="DB826" s="6"/>
    </row>
    <row r="827" customFormat="false" ht="12.75" hidden="false" customHeight="false" outlineLevel="0" collapsed="false">
      <c r="DB827" s="6"/>
    </row>
    <row r="828" customFormat="false" ht="12.75" hidden="false" customHeight="false" outlineLevel="0" collapsed="false">
      <c r="DB828" s="6"/>
    </row>
    <row r="829" customFormat="false" ht="12.75" hidden="false" customHeight="false" outlineLevel="0" collapsed="false">
      <c r="DB829" s="6"/>
    </row>
    <row r="830" customFormat="false" ht="12.75" hidden="false" customHeight="false" outlineLevel="0" collapsed="false">
      <c r="DB830" s="6"/>
    </row>
    <row r="831" customFormat="false" ht="12.75" hidden="false" customHeight="false" outlineLevel="0" collapsed="false">
      <c r="DB831" s="6"/>
    </row>
    <row r="832" customFormat="false" ht="12.75" hidden="false" customHeight="false" outlineLevel="0" collapsed="false">
      <c r="DB832" s="6"/>
    </row>
    <row r="833" customFormat="false" ht="12.75" hidden="false" customHeight="false" outlineLevel="0" collapsed="false">
      <c r="DB833" s="6"/>
    </row>
    <row r="834" customFormat="false" ht="12.75" hidden="false" customHeight="false" outlineLevel="0" collapsed="false">
      <c r="DB834" s="6"/>
    </row>
    <row r="835" customFormat="false" ht="12.75" hidden="false" customHeight="false" outlineLevel="0" collapsed="false">
      <c r="DB835" s="6"/>
    </row>
    <row r="836" customFormat="false" ht="12.75" hidden="false" customHeight="false" outlineLevel="0" collapsed="false">
      <c r="DB836" s="6"/>
    </row>
    <row r="837" customFormat="false" ht="12.75" hidden="false" customHeight="false" outlineLevel="0" collapsed="false">
      <c r="DB837" s="6"/>
    </row>
    <row r="838" customFormat="false" ht="12.75" hidden="false" customHeight="false" outlineLevel="0" collapsed="false">
      <c r="DB838" s="6"/>
    </row>
    <row r="839" customFormat="false" ht="12.75" hidden="false" customHeight="false" outlineLevel="0" collapsed="false">
      <c r="DB839" s="6"/>
    </row>
    <row r="840" customFormat="false" ht="12.75" hidden="false" customHeight="false" outlineLevel="0" collapsed="false">
      <c r="DB840" s="6"/>
    </row>
    <row r="841" customFormat="false" ht="12.75" hidden="false" customHeight="false" outlineLevel="0" collapsed="false">
      <c r="DB841" s="6"/>
    </row>
    <row r="842" customFormat="false" ht="12.75" hidden="false" customHeight="false" outlineLevel="0" collapsed="false">
      <c r="DB842" s="6"/>
    </row>
    <row r="843" customFormat="false" ht="12.75" hidden="false" customHeight="false" outlineLevel="0" collapsed="false">
      <c r="DB843" s="6"/>
    </row>
    <row r="844" customFormat="false" ht="12.75" hidden="false" customHeight="false" outlineLevel="0" collapsed="false">
      <c r="DB844" s="6"/>
    </row>
    <row r="845" customFormat="false" ht="12.75" hidden="false" customHeight="false" outlineLevel="0" collapsed="false">
      <c r="DB845" s="6"/>
    </row>
    <row r="846" customFormat="false" ht="12.75" hidden="false" customHeight="false" outlineLevel="0" collapsed="false">
      <c r="DB846" s="6"/>
    </row>
    <row r="847" customFormat="false" ht="12.75" hidden="false" customHeight="false" outlineLevel="0" collapsed="false">
      <c r="DB847" s="6"/>
    </row>
    <row r="848" customFormat="false" ht="12.75" hidden="false" customHeight="false" outlineLevel="0" collapsed="false">
      <c r="DB848" s="6"/>
    </row>
    <row r="849" customFormat="false" ht="12.75" hidden="false" customHeight="false" outlineLevel="0" collapsed="false">
      <c r="DB849" s="6"/>
    </row>
    <row r="850" customFormat="false" ht="12.75" hidden="false" customHeight="false" outlineLevel="0" collapsed="false">
      <c r="DB850" s="6"/>
    </row>
    <row r="851" customFormat="false" ht="12.75" hidden="false" customHeight="false" outlineLevel="0" collapsed="false">
      <c r="DB851" s="6"/>
    </row>
    <row r="852" customFormat="false" ht="12.75" hidden="false" customHeight="false" outlineLevel="0" collapsed="false">
      <c r="DB852" s="6"/>
    </row>
    <row r="853" customFormat="false" ht="12.75" hidden="false" customHeight="false" outlineLevel="0" collapsed="false">
      <c r="DB853" s="6"/>
    </row>
    <row r="854" customFormat="false" ht="12.75" hidden="false" customHeight="false" outlineLevel="0" collapsed="false">
      <c r="DB854" s="6"/>
    </row>
    <row r="855" customFormat="false" ht="12.75" hidden="false" customHeight="false" outlineLevel="0" collapsed="false">
      <c r="DB855" s="6"/>
    </row>
    <row r="856" customFormat="false" ht="12.75" hidden="false" customHeight="false" outlineLevel="0" collapsed="false">
      <c r="DB856" s="6"/>
    </row>
    <row r="857" customFormat="false" ht="12.75" hidden="false" customHeight="false" outlineLevel="0" collapsed="false">
      <c r="DB857" s="6"/>
    </row>
    <row r="858" customFormat="false" ht="12.75" hidden="false" customHeight="false" outlineLevel="0" collapsed="false">
      <c r="DB858" s="6"/>
    </row>
    <row r="859" customFormat="false" ht="12.75" hidden="false" customHeight="false" outlineLevel="0" collapsed="false">
      <c r="DB859" s="6"/>
    </row>
    <row r="860" customFormat="false" ht="12.75" hidden="false" customHeight="false" outlineLevel="0" collapsed="false">
      <c r="DB860" s="6"/>
    </row>
    <row r="861" customFormat="false" ht="12.75" hidden="false" customHeight="false" outlineLevel="0" collapsed="false">
      <c r="DB861" s="6"/>
    </row>
    <row r="862" customFormat="false" ht="12.75" hidden="false" customHeight="false" outlineLevel="0" collapsed="false">
      <c r="DB862" s="6"/>
    </row>
    <row r="863" customFormat="false" ht="12.75" hidden="false" customHeight="false" outlineLevel="0" collapsed="false">
      <c r="DB863" s="6"/>
    </row>
    <row r="864" customFormat="false" ht="12.75" hidden="false" customHeight="false" outlineLevel="0" collapsed="false">
      <c r="DB864" s="6"/>
    </row>
    <row r="865" customFormat="false" ht="12.75" hidden="false" customHeight="false" outlineLevel="0" collapsed="false">
      <c r="DB865" s="6"/>
    </row>
    <row r="866" customFormat="false" ht="12.75" hidden="false" customHeight="false" outlineLevel="0" collapsed="false">
      <c r="DB866" s="6"/>
    </row>
    <row r="867" customFormat="false" ht="12.75" hidden="false" customHeight="false" outlineLevel="0" collapsed="false">
      <c r="DB867" s="6"/>
    </row>
    <row r="868" customFormat="false" ht="12.75" hidden="false" customHeight="false" outlineLevel="0" collapsed="false">
      <c r="DB868" s="6"/>
    </row>
    <row r="869" customFormat="false" ht="12.75" hidden="false" customHeight="false" outlineLevel="0" collapsed="false">
      <c r="DB869" s="6"/>
    </row>
    <row r="870" customFormat="false" ht="12.75" hidden="false" customHeight="false" outlineLevel="0" collapsed="false">
      <c r="DB870" s="6"/>
    </row>
    <row r="871" customFormat="false" ht="12.75" hidden="false" customHeight="false" outlineLevel="0" collapsed="false">
      <c r="DB871" s="6"/>
    </row>
    <row r="872" customFormat="false" ht="12.75" hidden="false" customHeight="false" outlineLevel="0" collapsed="false">
      <c r="DB872" s="6"/>
    </row>
    <row r="873" customFormat="false" ht="12.75" hidden="false" customHeight="false" outlineLevel="0" collapsed="false">
      <c r="DB873" s="6"/>
    </row>
    <row r="874" customFormat="false" ht="12.75" hidden="false" customHeight="false" outlineLevel="0" collapsed="false">
      <c r="DB874" s="6"/>
    </row>
    <row r="875" customFormat="false" ht="12.75" hidden="false" customHeight="false" outlineLevel="0" collapsed="false">
      <c r="DB875" s="6"/>
    </row>
    <row r="876" customFormat="false" ht="12.75" hidden="false" customHeight="false" outlineLevel="0" collapsed="false">
      <c r="DB876" s="6"/>
    </row>
    <row r="877" customFormat="false" ht="12.75" hidden="false" customHeight="false" outlineLevel="0" collapsed="false">
      <c r="DB877" s="6"/>
    </row>
    <row r="878" customFormat="false" ht="12.75" hidden="false" customHeight="false" outlineLevel="0" collapsed="false">
      <c r="DB878" s="6"/>
    </row>
    <row r="879" customFormat="false" ht="12.75" hidden="false" customHeight="false" outlineLevel="0" collapsed="false">
      <c r="DB879" s="6"/>
    </row>
    <row r="880" customFormat="false" ht="12.75" hidden="false" customHeight="false" outlineLevel="0" collapsed="false">
      <c r="DB880" s="6"/>
    </row>
    <row r="881" customFormat="false" ht="12.75" hidden="false" customHeight="false" outlineLevel="0" collapsed="false">
      <c r="DB881" s="6"/>
    </row>
    <row r="882" customFormat="false" ht="12.75" hidden="false" customHeight="false" outlineLevel="0" collapsed="false">
      <c r="DB882" s="6"/>
    </row>
    <row r="883" customFormat="false" ht="12.75" hidden="false" customHeight="false" outlineLevel="0" collapsed="false">
      <c r="DB883" s="6"/>
    </row>
    <row r="884" customFormat="false" ht="12.75" hidden="false" customHeight="false" outlineLevel="0" collapsed="false">
      <c r="DB884" s="6"/>
    </row>
    <row r="885" customFormat="false" ht="12.75" hidden="false" customHeight="false" outlineLevel="0" collapsed="false">
      <c r="DB885" s="6"/>
    </row>
    <row r="886" customFormat="false" ht="12.75" hidden="false" customHeight="false" outlineLevel="0" collapsed="false">
      <c r="DB886" s="6"/>
    </row>
    <row r="887" customFormat="false" ht="12.75" hidden="false" customHeight="false" outlineLevel="0" collapsed="false">
      <c r="DB887" s="6"/>
    </row>
    <row r="888" customFormat="false" ht="12.75" hidden="false" customHeight="false" outlineLevel="0" collapsed="false">
      <c r="DB888" s="6"/>
    </row>
    <row r="889" customFormat="false" ht="12.75" hidden="false" customHeight="false" outlineLevel="0" collapsed="false">
      <c r="DB889" s="6"/>
    </row>
    <row r="890" customFormat="false" ht="12.75" hidden="false" customHeight="false" outlineLevel="0" collapsed="false">
      <c r="DB890" s="6"/>
    </row>
    <row r="891" customFormat="false" ht="12.75" hidden="false" customHeight="false" outlineLevel="0" collapsed="false">
      <c r="DB891" s="6"/>
    </row>
    <row r="892" customFormat="false" ht="12.75" hidden="false" customHeight="false" outlineLevel="0" collapsed="false">
      <c r="DB892" s="6"/>
    </row>
    <row r="893" customFormat="false" ht="12.75" hidden="false" customHeight="false" outlineLevel="0" collapsed="false">
      <c r="DB893" s="6"/>
    </row>
    <row r="894" customFormat="false" ht="12.75" hidden="false" customHeight="false" outlineLevel="0" collapsed="false">
      <c r="DB894" s="6"/>
    </row>
    <row r="895" customFormat="false" ht="12.75" hidden="false" customHeight="false" outlineLevel="0" collapsed="false">
      <c r="DB895" s="6"/>
    </row>
    <row r="896" customFormat="false" ht="12.75" hidden="false" customHeight="false" outlineLevel="0" collapsed="false">
      <c r="DB896" s="6"/>
    </row>
    <row r="897" customFormat="false" ht="12.75" hidden="false" customHeight="false" outlineLevel="0" collapsed="false">
      <c r="DB897" s="6"/>
    </row>
    <row r="898" customFormat="false" ht="12.75" hidden="false" customHeight="false" outlineLevel="0" collapsed="false">
      <c r="DB898" s="6"/>
    </row>
    <row r="899" customFormat="false" ht="12.75" hidden="false" customHeight="false" outlineLevel="0" collapsed="false">
      <c r="DB899" s="6"/>
    </row>
    <row r="900" customFormat="false" ht="12.75" hidden="false" customHeight="false" outlineLevel="0" collapsed="false">
      <c r="DB900" s="6"/>
    </row>
    <row r="901" customFormat="false" ht="12.75" hidden="false" customHeight="false" outlineLevel="0" collapsed="false">
      <c r="DB901" s="6"/>
    </row>
    <row r="902" customFormat="false" ht="12.75" hidden="false" customHeight="false" outlineLevel="0" collapsed="false">
      <c r="DB902" s="6"/>
    </row>
    <row r="903" customFormat="false" ht="12.75" hidden="false" customHeight="false" outlineLevel="0" collapsed="false">
      <c r="DB903" s="6"/>
    </row>
    <row r="904" customFormat="false" ht="12.75" hidden="false" customHeight="false" outlineLevel="0" collapsed="false">
      <c r="DB904" s="6"/>
    </row>
    <row r="905" customFormat="false" ht="12.75" hidden="false" customHeight="false" outlineLevel="0" collapsed="false">
      <c r="DB905" s="6"/>
    </row>
    <row r="906" customFormat="false" ht="12.75" hidden="false" customHeight="false" outlineLevel="0" collapsed="false">
      <c r="DB906" s="6"/>
    </row>
    <row r="907" customFormat="false" ht="12.75" hidden="false" customHeight="false" outlineLevel="0" collapsed="false">
      <c r="DB907" s="6"/>
    </row>
    <row r="908" customFormat="false" ht="12.75" hidden="false" customHeight="false" outlineLevel="0" collapsed="false">
      <c r="DB908" s="6"/>
    </row>
    <row r="909" customFormat="false" ht="12.75" hidden="false" customHeight="false" outlineLevel="0" collapsed="false">
      <c r="DB909" s="6"/>
    </row>
    <row r="910" customFormat="false" ht="12.75" hidden="false" customHeight="false" outlineLevel="0" collapsed="false">
      <c r="DB910" s="6"/>
    </row>
    <row r="911" customFormat="false" ht="12.75" hidden="false" customHeight="false" outlineLevel="0" collapsed="false">
      <c r="DB911" s="6"/>
    </row>
    <row r="912" customFormat="false" ht="12.75" hidden="false" customHeight="false" outlineLevel="0" collapsed="false">
      <c r="DB912" s="6"/>
    </row>
    <row r="913" customFormat="false" ht="12.75" hidden="false" customHeight="false" outlineLevel="0" collapsed="false">
      <c r="DB913" s="6"/>
    </row>
    <row r="914" customFormat="false" ht="12.75" hidden="false" customHeight="false" outlineLevel="0" collapsed="false">
      <c r="DB914" s="6"/>
    </row>
    <row r="915" customFormat="false" ht="12.75" hidden="false" customHeight="false" outlineLevel="0" collapsed="false">
      <c r="DB915" s="6"/>
    </row>
    <row r="916" customFormat="false" ht="12.75" hidden="false" customHeight="false" outlineLevel="0" collapsed="false">
      <c r="DB916" s="6"/>
    </row>
    <row r="917" customFormat="false" ht="12.75" hidden="false" customHeight="false" outlineLevel="0" collapsed="false">
      <c r="DB917" s="6"/>
    </row>
    <row r="918" customFormat="false" ht="12.75" hidden="false" customHeight="false" outlineLevel="0" collapsed="false">
      <c r="DB918" s="6"/>
    </row>
    <row r="919" customFormat="false" ht="12.75" hidden="false" customHeight="false" outlineLevel="0" collapsed="false">
      <c r="DB919" s="6"/>
    </row>
    <row r="920" customFormat="false" ht="12.75" hidden="false" customHeight="false" outlineLevel="0" collapsed="false">
      <c r="DB920" s="6"/>
    </row>
    <row r="921" customFormat="false" ht="12.75" hidden="false" customHeight="false" outlineLevel="0" collapsed="false">
      <c r="DB921" s="6"/>
    </row>
    <row r="922" customFormat="false" ht="12.75" hidden="false" customHeight="false" outlineLevel="0" collapsed="false">
      <c r="DB922" s="6"/>
    </row>
    <row r="923" customFormat="false" ht="12.75" hidden="false" customHeight="false" outlineLevel="0" collapsed="false">
      <c r="DB923" s="6"/>
    </row>
    <row r="924" customFormat="false" ht="12.75" hidden="false" customHeight="false" outlineLevel="0" collapsed="false">
      <c r="DB924" s="6"/>
    </row>
    <row r="925" customFormat="false" ht="12.75" hidden="false" customHeight="false" outlineLevel="0" collapsed="false">
      <c r="DB925" s="6"/>
    </row>
    <row r="926" customFormat="false" ht="12.75" hidden="false" customHeight="false" outlineLevel="0" collapsed="false">
      <c r="DB926" s="6"/>
    </row>
    <row r="927" customFormat="false" ht="12.75" hidden="false" customHeight="false" outlineLevel="0" collapsed="false">
      <c r="DB927" s="6"/>
    </row>
    <row r="928" customFormat="false" ht="12.75" hidden="false" customHeight="false" outlineLevel="0" collapsed="false">
      <c r="DB928" s="6"/>
    </row>
    <row r="929" customFormat="false" ht="12.75" hidden="false" customHeight="false" outlineLevel="0" collapsed="false">
      <c r="DB929" s="6"/>
    </row>
    <row r="930" customFormat="false" ht="12.75" hidden="false" customHeight="false" outlineLevel="0" collapsed="false">
      <c r="DB930" s="6"/>
    </row>
    <row r="931" customFormat="false" ht="12.75" hidden="false" customHeight="false" outlineLevel="0" collapsed="false">
      <c r="DB931" s="6"/>
    </row>
    <row r="932" customFormat="false" ht="12.75" hidden="false" customHeight="false" outlineLevel="0" collapsed="false">
      <c r="DB932" s="6"/>
    </row>
    <row r="933" customFormat="false" ht="12.75" hidden="false" customHeight="false" outlineLevel="0" collapsed="false">
      <c r="DB933" s="6"/>
    </row>
    <row r="934" customFormat="false" ht="12.75" hidden="false" customHeight="false" outlineLevel="0" collapsed="false">
      <c r="DB934" s="6"/>
    </row>
    <row r="935" customFormat="false" ht="12.75" hidden="false" customHeight="false" outlineLevel="0" collapsed="false">
      <c r="DB935" s="6"/>
    </row>
    <row r="936" customFormat="false" ht="12.75" hidden="false" customHeight="false" outlineLevel="0" collapsed="false">
      <c r="DB936" s="6"/>
    </row>
    <row r="937" customFormat="false" ht="12.75" hidden="false" customHeight="false" outlineLevel="0" collapsed="false">
      <c r="DB937" s="6"/>
    </row>
    <row r="938" customFormat="false" ht="12.75" hidden="false" customHeight="false" outlineLevel="0" collapsed="false">
      <c r="DB938" s="6"/>
    </row>
    <row r="939" customFormat="false" ht="12.75" hidden="false" customHeight="false" outlineLevel="0" collapsed="false">
      <c r="DB939" s="6"/>
    </row>
    <row r="940" customFormat="false" ht="12.75" hidden="false" customHeight="false" outlineLevel="0" collapsed="false">
      <c r="DB940" s="6"/>
    </row>
    <row r="941" customFormat="false" ht="12.75" hidden="false" customHeight="false" outlineLevel="0" collapsed="false">
      <c r="DB941" s="6"/>
    </row>
    <row r="942" customFormat="false" ht="12.75" hidden="false" customHeight="false" outlineLevel="0" collapsed="false">
      <c r="DB942" s="6"/>
    </row>
    <row r="943" customFormat="false" ht="12.75" hidden="false" customHeight="false" outlineLevel="0" collapsed="false">
      <c r="DB943" s="6"/>
    </row>
    <row r="944" customFormat="false" ht="12.75" hidden="false" customHeight="false" outlineLevel="0" collapsed="false">
      <c r="DB944" s="6"/>
    </row>
    <row r="945" customFormat="false" ht="12.75" hidden="false" customHeight="false" outlineLevel="0" collapsed="false">
      <c r="DB945" s="6"/>
    </row>
    <row r="946" customFormat="false" ht="12.75" hidden="false" customHeight="false" outlineLevel="0" collapsed="false">
      <c r="DB946" s="6"/>
    </row>
    <row r="947" customFormat="false" ht="12.75" hidden="false" customHeight="false" outlineLevel="0" collapsed="false">
      <c r="DB947" s="6"/>
    </row>
    <row r="948" customFormat="false" ht="12.75" hidden="false" customHeight="false" outlineLevel="0" collapsed="false">
      <c r="DB948" s="6"/>
    </row>
    <row r="949" customFormat="false" ht="12.75" hidden="false" customHeight="false" outlineLevel="0" collapsed="false">
      <c r="DB949" s="6"/>
    </row>
    <row r="950" customFormat="false" ht="12.75" hidden="false" customHeight="false" outlineLevel="0" collapsed="false">
      <c r="DB950" s="6"/>
    </row>
    <row r="951" customFormat="false" ht="12.75" hidden="false" customHeight="false" outlineLevel="0" collapsed="false">
      <c r="DB951" s="6"/>
    </row>
    <row r="952" customFormat="false" ht="12.75" hidden="false" customHeight="false" outlineLevel="0" collapsed="false">
      <c r="DB952" s="6"/>
    </row>
    <row r="953" customFormat="false" ht="12.75" hidden="false" customHeight="false" outlineLevel="0" collapsed="false">
      <c r="DB953" s="6"/>
    </row>
    <row r="954" customFormat="false" ht="12.75" hidden="false" customHeight="false" outlineLevel="0" collapsed="false">
      <c r="DB954" s="6"/>
    </row>
    <row r="955" customFormat="false" ht="12.75" hidden="false" customHeight="false" outlineLevel="0" collapsed="false">
      <c r="DB955" s="6"/>
    </row>
    <row r="956" customFormat="false" ht="12.75" hidden="false" customHeight="false" outlineLevel="0" collapsed="false">
      <c r="DB956" s="6"/>
    </row>
    <row r="957" customFormat="false" ht="12.75" hidden="false" customHeight="false" outlineLevel="0" collapsed="false">
      <c r="DB957" s="6"/>
    </row>
    <row r="958" customFormat="false" ht="12.75" hidden="false" customHeight="false" outlineLevel="0" collapsed="false">
      <c r="DB958" s="6"/>
    </row>
    <row r="959" customFormat="false" ht="12.75" hidden="false" customHeight="false" outlineLevel="0" collapsed="false">
      <c r="DB959" s="6"/>
    </row>
    <row r="960" customFormat="false" ht="12.75" hidden="false" customHeight="false" outlineLevel="0" collapsed="false">
      <c r="DB960" s="6"/>
    </row>
    <row r="961" customFormat="false" ht="12.75" hidden="false" customHeight="false" outlineLevel="0" collapsed="false">
      <c r="DB961" s="6"/>
    </row>
    <row r="962" customFormat="false" ht="12.75" hidden="false" customHeight="false" outlineLevel="0" collapsed="false">
      <c r="DB962" s="6"/>
    </row>
    <row r="963" customFormat="false" ht="12.75" hidden="false" customHeight="false" outlineLevel="0" collapsed="false">
      <c r="DB963" s="6"/>
    </row>
    <row r="964" customFormat="false" ht="12.75" hidden="false" customHeight="false" outlineLevel="0" collapsed="false">
      <c r="DB964" s="6"/>
    </row>
    <row r="965" customFormat="false" ht="12.75" hidden="false" customHeight="false" outlineLevel="0" collapsed="false">
      <c r="DB965" s="6"/>
    </row>
    <row r="966" customFormat="false" ht="12.75" hidden="false" customHeight="false" outlineLevel="0" collapsed="false">
      <c r="DB966" s="6"/>
    </row>
    <row r="967" customFormat="false" ht="12.75" hidden="false" customHeight="false" outlineLevel="0" collapsed="false">
      <c r="DB967" s="6"/>
    </row>
    <row r="968" customFormat="false" ht="12.75" hidden="false" customHeight="false" outlineLevel="0" collapsed="false">
      <c r="DB968" s="6"/>
    </row>
    <row r="969" customFormat="false" ht="12.75" hidden="false" customHeight="false" outlineLevel="0" collapsed="false">
      <c r="DB969" s="6"/>
    </row>
    <row r="970" customFormat="false" ht="12.75" hidden="false" customHeight="false" outlineLevel="0" collapsed="false">
      <c r="DB970" s="6"/>
    </row>
    <row r="971" customFormat="false" ht="12.75" hidden="false" customHeight="false" outlineLevel="0" collapsed="false">
      <c r="DB971" s="6"/>
    </row>
    <row r="972" customFormat="false" ht="12.75" hidden="false" customHeight="false" outlineLevel="0" collapsed="false">
      <c r="DB972" s="6"/>
    </row>
    <row r="973" customFormat="false" ht="12.75" hidden="false" customHeight="false" outlineLevel="0" collapsed="false">
      <c r="DB973" s="6"/>
    </row>
    <row r="974" customFormat="false" ht="12.75" hidden="false" customHeight="false" outlineLevel="0" collapsed="false">
      <c r="DB974" s="6"/>
    </row>
    <row r="975" customFormat="false" ht="12.75" hidden="false" customHeight="false" outlineLevel="0" collapsed="false">
      <c r="DB975" s="6"/>
    </row>
    <row r="976" customFormat="false" ht="12.75" hidden="false" customHeight="false" outlineLevel="0" collapsed="false">
      <c r="DB976" s="6"/>
    </row>
    <row r="977" customFormat="false" ht="12.75" hidden="false" customHeight="false" outlineLevel="0" collapsed="false">
      <c r="DB977" s="6"/>
    </row>
    <row r="978" customFormat="false" ht="12.75" hidden="false" customHeight="false" outlineLevel="0" collapsed="false">
      <c r="DB978" s="6"/>
    </row>
    <row r="979" customFormat="false" ht="12.75" hidden="false" customHeight="false" outlineLevel="0" collapsed="false">
      <c r="DB979" s="6"/>
    </row>
    <row r="980" customFormat="false" ht="12.75" hidden="false" customHeight="false" outlineLevel="0" collapsed="false">
      <c r="DB980" s="6"/>
    </row>
    <row r="981" customFormat="false" ht="12.75" hidden="false" customHeight="false" outlineLevel="0" collapsed="false">
      <c r="DB981" s="6"/>
    </row>
    <row r="982" customFormat="false" ht="12.75" hidden="false" customHeight="false" outlineLevel="0" collapsed="false">
      <c r="DB982" s="6"/>
    </row>
    <row r="983" customFormat="false" ht="12.75" hidden="false" customHeight="false" outlineLevel="0" collapsed="false">
      <c r="DB983" s="6"/>
    </row>
    <row r="984" customFormat="false" ht="12.75" hidden="false" customHeight="false" outlineLevel="0" collapsed="false">
      <c r="DB984" s="6"/>
    </row>
    <row r="985" customFormat="false" ht="12.75" hidden="false" customHeight="false" outlineLevel="0" collapsed="false">
      <c r="DB985" s="6"/>
    </row>
    <row r="986" customFormat="false" ht="12.75" hidden="false" customHeight="false" outlineLevel="0" collapsed="false">
      <c r="DB986" s="6"/>
    </row>
    <row r="987" customFormat="false" ht="12.75" hidden="false" customHeight="false" outlineLevel="0" collapsed="false">
      <c r="DB987" s="6"/>
    </row>
    <row r="988" customFormat="false" ht="12.75" hidden="false" customHeight="false" outlineLevel="0" collapsed="false">
      <c r="DB988" s="6"/>
    </row>
    <row r="989" customFormat="false" ht="12.75" hidden="false" customHeight="false" outlineLevel="0" collapsed="false">
      <c r="DB989" s="6"/>
    </row>
    <row r="990" customFormat="false" ht="12.75" hidden="false" customHeight="false" outlineLevel="0" collapsed="false">
      <c r="DB990" s="6"/>
    </row>
    <row r="991" customFormat="false" ht="12.75" hidden="false" customHeight="false" outlineLevel="0" collapsed="false">
      <c r="DB991" s="6"/>
    </row>
    <row r="992" customFormat="false" ht="12.75" hidden="false" customHeight="false" outlineLevel="0" collapsed="false">
      <c r="DB992" s="6"/>
    </row>
    <row r="993" customFormat="false" ht="12.75" hidden="false" customHeight="false" outlineLevel="0" collapsed="false">
      <c r="DB993" s="6"/>
    </row>
    <row r="994" customFormat="false" ht="12.75" hidden="false" customHeight="false" outlineLevel="0" collapsed="false">
      <c r="DB994" s="6"/>
    </row>
    <row r="995" customFormat="false" ht="12.75" hidden="false" customHeight="false" outlineLevel="0" collapsed="false">
      <c r="DB995" s="6"/>
    </row>
    <row r="996" customFormat="false" ht="12.75" hidden="false" customHeight="false" outlineLevel="0" collapsed="false">
      <c r="DB996" s="6"/>
    </row>
    <row r="997" customFormat="false" ht="12.75" hidden="false" customHeight="false" outlineLevel="0" collapsed="false">
      <c r="DB997" s="6"/>
    </row>
    <row r="998" customFormat="false" ht="12.75" hidden="false" customHeight="false" outlineLevel="0" collapsed="false">
      <c r="DB998" s="6"/>
    </row>
    <row r="999" customFormat="false" ht="12.75" hidden="false" customHeight="false" outlineLevel="0" collapsed="false">
      <c r="DB999" s="6"/>
    </row>
    <row r="1000" customFormat="false" ht="12.75" hidden="false" customHeight="false" outlineLevel="0" collapsed="false">
      <c r="DB1000" s="6"/>
    </row>
    <row r="1001" customFormat="false" ht="12.75" hidden="false" customHeight="false" outlineLevel="0" collapsed="false">
      <c r="DB1001" s="6"/>
    </row>
    <row r="1002" customFormat="false" ht="12.75" hidden="false" customHeight="false" outlineLevel="0" collapsed="false">
      <c r="DB1002" s="6"/>
    </row>
    <row r="1003" customFormat="false" ht="12.75" hidden="false" customHeight="false" outlineLevel="0" collapsed="false">
      <c r="DB1003" s="6"/>
    </row>
    <row r="1004" customFormat="false" ht="12.75" hidden="false" customHeight="false" outlineLevel="0" collapsed="false">
      <c r="DB1004" s="6"/>
    </row>
    <row r="1005" customFormat="false" ht="12.75" hidden="false" customHeight="false" outlineLevel="0" collapsed="false">
      <c r="DB1005" s="6"/>
    </row>
    <row r="1006" customFormat="false" ht="12.75" hidden="false" customHeight="false" outlineLevel="0" collapsed="false">
      <c r="DB1006" s="6"/>
    </row>
    <row r="1007" customFormat="false" ht="12.75" hidden="false" customHeight="false" outlineLevel="0" collapsed="false">
      <c r="DB1007" s="6"/>
    </row>
    <row r="1008" customFormat="false" ht="12.75" hidden="false" customHeight="false" outlineLevel="0" collapsed="false">
      <c r="DB1008" s="6"/>
    </row>
    <row r="1009" customFormat="false" ht="12.75" hidden="false" customHeight="false" outlineLevel="0" collapsed="false">
      <c r="DB1009" s="6"/>
    </row>
    <row r="1010" customFormat="false" ht="12.75" hidden="false" customHeight="false" outlineLevel="0" collapsed="false">
      <c r="DB1010" s="6"/>
    </row>
    <row r="1011" customFormat="false" ht="12.75" hidden="false" customHeight="false" outlineLevel="0" collapsed="false">
      <c r="DB1011" s="6"/>
    </row>
    <row r="1012" customFormat="false" ht="12.75" hidden="false" customHeight="false" outlineLevel="0" collapsed="false">
      <c r="DB1012" s="6"/>
    </row>
    <row r="1013" customFormat="false" ht="12.75" hidden="false" customHeight="false" outlineLevel="0" collapsed="false">
      <c r="DB1013" s="6"/>
    </row>
    <row r="1014" customFormat="false" ht="12.75" hidden="false" customHeight="false" outlineLevel="0" collapsed="false">
      <c r="DB1014" s="6"/>
    </row>
    <row r="1015" customFormat="false" ht="12.75" hidden="false" customHeight="false" outlineLevel="0" collapsed="false">
      <c r="DB1015" s="6"/>
    </row>
    <row r="1016" customFormat="false" ht="12.75" hidden="false" customHeight="false" outlineLevel="0" collapsed="false">
      <c r="DB1016" s="6"/>
    </row>
    <row r="1017" customFormat="false" ht="12.75" hidden="false" customHeight="false" outlineLevel="0" collapsed="false">
      <c r="DB1017" s="6"/>
    </row>
    <row r="1018" customFormat="false" ht="12.75" hidden="false" customHeight="false" outlineLevel="0" collapsed="false">
      <c r="DB1018" s="6"/>
    </row>
    <row r="1019" customFormat="false" ht="12.75" hidden="false" customHeight="false" outlineLevel="0" collapsed="false">
      <c r="DB1019" s="6"/>
    </row>
    <row r="1020" customFormat="false" ht="12.75" hidden="false" customHeight="false" outlineLevel="0" collapsed="false">
      <c r="DB1020" s="6"/>
    </row>
    <row r="1021" customFormat="false" ht="12.75" hidden="false" customHeight="false" outlineLevel="0" collapsed="false">
      <c r="DB1021" s="6"/>
    </row>
    <row r="1022" customFormat="false" ht="12.75" hidden="false" customHeight="false" outlineLevel="0" collapsed="false">
      <c r="DB1022" s="6"/>
    </row>
    <row r="1023" customFormat="false" ht="12.75" hidden="false" customHeight="false" outlineLevel="0" collapsed="false">
      <c r="DB1023" s="6"/>
    </row>
    <row r="1024" customFormat="false" ht="12.75" hidden="false" customHeight="false" outlineLevel="0" collapsed="false">
      <c r="DB1024" s="6"/>
    </row>
    <row r="1025" customFormat="false" ht="12.75" hidden="false" customHeight="false" outlineLevel="0" collapsed="false">
      <c r="DB1025" s="6"/>
    </row>
    <row r="1026" customFormat="false" ht="12.75" hidden="false" customHeight="false" outlineLevel="0" collapsed="false">
      <c r="DB1026" s="6"/>
    </row>
    <row r="1027" customFormat="false" ht="12.75" hidden="false" customHeight="false" outlineLevel="0" collapsed="false">
      <c r="DB1027" s="6"/>
    </row>
    <row r="1028" customFormat="false" ht="12.75" hidden="false" customHeight="false" outlineLevel="0" collapsed="false">
      <c r="DB1028" s="6"/>
    </row>
    <row r="1029" customFormat="false" ht="12.75" hidden="false" customHeight="false" outlineLevel="0" collapsed="false">
      <c r="DB1029" s="6"/>
    </row>
    <row r="1030" customFormat="false" ht="12.75" hidden="false" customHeight="false" outlineLevel="0" collapsed="false">
      <c r="DB1030" s="6"/>
    </row>
    <row r="1031" customFormat="false" ht="12.75" hidden="false" customHeight="false" outlineLevel="0" collapsed="false">
      <c r="DB1031" s="6"/>
    </row>
    <row r="1032" customFormat="false" ht="12.75" hidden="false" customHeight="false" outlineLevel="0" collapsed="false">
      <c r="DB1032" s="6"/>
    </row>
    <row r="1033" customFormat="false" ht="12.75" hidden="false" customHeight="false" outlineLevel="0" collapsed="false">
      <c r="DB1033" s="6"/>
    </row>
    <row r="1034" customFormat="false" ht="12.75" hidden="false" customHeight="false" outlineLevel="0" collapsed="false">
      <c r="DB1034" s="6"/>
    </row>
    <row r="1035" customFormat="false" ht="12.75" hidden="false" customHeight="false" outlineLevel="0" collapsed="false">
      <c r="DB1035" s="6"/>
    </row>
    <row r="1036" customFormat="false" ht="12.75" hidden="false" customHeight="false" outlineLevel="0" collapsed="false">
      <c r="DB1036" s="6"/>
    </row>
    <row r="1037" customFormat="false" ht="12.75" hidden="false" customHeight="false" outlineLevel="0" collapsed="false">
      <c r="DB1037" s="6"/>
    </row>
    <row r="1038" customFormat="false" ht="12.75" hidden="false" customHeight="false" outlineLevel="0" collapsed="false">
      <c r="DB1038" s="6"/>
    </row>
    <row r="1039" customFormat="false" ht="12.75" hidden="false" customHeight="false" outlineLevel="0" collapsed="false">
      <c r="DB1039" s="6"/>
    </row>
    <row r="1040" customFormat="false" ht="12.75" hidden="false" customHeight="false" outlineLevel="0" collapsed="false">
      <c r="DB1040" s="6"/>
    </row>
    <row r="1041" customFormat="false" ht="12.75" hidden="false" customHeight="false" outlineLevel="0" collapsed="false">
      <c r="DB1041" s="6"/>
    </row>
    <row r="1042" customFormat="false" ht="12.75" hidden="false" customHeight="false" outlineLevel="0" collapsed="false">
      <c r="DB1042" s="6"/>
    </row>
    <row r="1043" customFormat="false" ht="12.75" hidden="false" customHeight="false" outlineLevel="0" collapsed="false">
      <c r="DB1043" s="6"/>
    </row>
    <row r="1044" customFormat="false" ht="12.75" hidden="false" customHeight="false" outlineLevel="0" collapsed="false">
      <c r="DB1044" s="6"/>
    </row>
    <row r="1045" customFormat="false" ht="12.75" hidden="false" customHeight="false" outlineLevel="0" collapsed="false">
      <c r="DB1045" s="6"/>
    </row>
    <row r="1046" customFormat="false" ht="12.75" hidden="false" customHeight="false" outlineLevel="0" collapsed="false">
      <c r="DB1046" s="6"/>
    </row>
    <row r="1047" customFormat="false" ht="12.75" hidden="false" customHeight="false" outlineLevel="0" collapsed="false">
      <c r="DB1047" s="6"/>
    </row>
    <row r="1048" customFormat="false" ht="12.75" hidden="false" customHeight="false" outlineLevel="0" collapsed="false">
      <c r="DB1048" s="6"/>
    </row>
    <row r="1049" customFormat="false" ht="12.75" hidden="false" customHeight="false" outlineLevel="0" collapsed="false">
      <c r="DB1049" s="6"/>
    </row>
    <row r="1050" customFormat="false" ht="12.75" hidden="false" customHeight="false" outlineLevel="0" collapsed="false">
      <c r="DB1050" s="6"/>
    </row>
    <row r="1051" customFormat="false" ht="12.75" hidden="false" customHeight="false" outlineLevel="0" collapsed="false">
      <c r="DB1051" s="6"/>
    </row>
    <row r="1052" customFormat="false" ht="12.75" hidden="false" customHeight="false" outlineLevel="0" collapsed="false">
      <c r="DB1052" s="6"/>
    </row>
    <row r="1053" customFormat="false" ht="12.75" hidden="false" customHeight="false" outlineLevel="0" collapsed="false">
      <c r="DB1053" s="6"/>
    </row>
    <row r="1054" customFormat="false" ht="12.75" hidden="false" customHeight="false" outlineLevel="0" collapsed="false">
      <c r="DB1054" s="6"/>
    </row>
    <row r="1055" customFormat="false" ht="12.75" hidden="false" customHeight="false" outlineLevel="0" collapsed="false">
      <c r="DB1055" s="6"/>
    </row>
    <row r="1056" customFormat="false" ht="12.75" hidden="false" customHeight="false" outlineLevel="0" collapsed="false">
      <c r="DB1056" s="6"/>
    </row>
    <row r="1057" customFormat="false" ht="12.75" hidden="false" customHeight="false" outlineLevel="0" collapsed="false">
      <c r="DB1057" s="6"/>
    </row>
    <row r="1058" customFormat="false" ht="12.75" hidden="false" customHeight="false" outlineLevel="0" collapsed="false">
      <c r="DB1058" s="6"/>
    </row>
    <row r="1059" customFormat="false" ht="12.75" hidden="false" customHeight="false" outlineLevel="0" collapsed="false">
      <c r="DB1059" s="6"/>
    </row>
    <row r="1060" customFormat="false" ht="12.75" hidden="false" customHeight="false" outlineLevel="0" collapsed="false">
      <c r="DB1060" s="6"/>
    </row>
    <row r="1061" customFormat="false" ht="12.75" hidden="false" customHeight="false" outlineLevel="0" collapsed="false">
      <c r="DB1061" s="6"/>
    </row>
    <row r="1062" customFormat="false" ht="12.75" hidden="false" customHeight="false" outlineLevel="0" collapsed="false">
      <c r="DB1062" s="6"/>
    </row>
    <row r="1063" customFormat="false" ht="12.75" hidden="false" customHeight="false" outlineLevel="0" collapsed="false">
      <c r="DB1063" s="6"/>
    </row>
    <row r="1064" customFormat="false" ht="12.75" hidden="false" customHeight="false" outlineLevel="0" collapsed="false">
      <c r="DB1064" s="6"/>
    </row>
    <row r="1065" customFormat="false" ht="12.75" hidden="false" customHeight="false" outlineLevel="0" collapsed="false">
      <c r="DB1065" s="6"/>
    </row>
    <row r="1066" customFormat="false" ht="12.75" hidden="false" customHeight="false" outlineLevel="0" collapsed="false">
      <c r="DB1066" s="6"/>
    </row>
    <row r="1067" customFormat="false" ht="12.75" hidden="false" customHeight="false" outlineLevel="0" collapsed="false">
      <c r="DB1067" s="6"/>
    </row>
    <row r="1068" customFormat="false" ht="12.75" hidden="false" customHeight="false" outlineLevel="0" collapsed="false">
      <c r="DB1068" s="6"/>
    </row>
    <row r="1069" customFormat="false" ht="12.75" hidden="false" customHeight="false" outlineLevel="0" collapsed="false">
      <c r="DB1069" s="6"/>
    </row>
    <row r="1070" customFormat="false" ht="12.75" hidden="false" customHeight="false" outlineLevel="0" collapsed="false">
      <c r="DB1070" s="6"/>
    </row>
    <row r="1071" customFormat="false" ht="12.75" hidden="false" customHeight="false" outlineLevel="0" collapsed="false">
      <c r="DB1071" s="6"/>
    </row>
    <row r="1072" customFormat="false" ht="12.75" hidden="false" customHeight="false" outlineLevel="0" collapsed="false">
      <c r="DB1072" s="6"/>
    </row>
    <row r="1073" customFormat="false" ht="12.75" hidden="false" customHeight="false" outlineLevel="0" collapsed="false">
      <c r="DB1073" s="6"/>
    </row>
    <row r="1074" customFormat="false" ht="12.75" hidden="false" customHeight="false" outlineLevel="0" collapsed="false">
      <c r="DB1074" s="6"/>
    </row>
    <row r="1075" customFormat="false" ht="12.75" hidden="false" customHeight="false" outlineLevel="0" collapsed="false">
      <c r="DB1075" s="6"/>
    </row>
    <row r="1076" customFormat="false" ht="12.75" hidden="false" customHeight="false" outlineLevel="0" collapsed="false">
      <c r="DB1076" s="6"/>
    </row>
    <row r="1077" customFormat="false" ht="12.75" hidden="false" customHeight="false" outlineLevel="0" collapsed="false">
      <c r="DB1077" s="6"/>
    </row>
    <row r="1078" customFormat="false" ht="12.75" hidden="false" customHeight="false" outlineLevel="0" collapsed="false">
      <c r="DB1078" s="6"/>
    </row>
    <row r="1079" customFormat="false" ht="12.75" hidden="false" customHeight="false" outlineLevel="0" collapsed="false">
      <c r="DB1079" s="6"/>
    </row>
    <row r="1080" customFormat="false" ht="12.75" hidden="false" customHeight="false" outlineLevel="0" collapsed="false">
      <c r="DB1080" s="6"/>
    </row>
    <row r="1081" customFormat="false" ht="12.75" hidden="false" customHeight="false" outlineLevel="0" collapsed="false">
      <c r="DB1081" s="6"/>
    </row>
    <row r="1082" customFormat="false" ht="12.75" hidden="false" customHeight="false" outlineLevel="0" collapsed="false">
      <c r="DB1082" s="6"/>
    </row>
    <row r="1083" customFormat="false" ht="12.75" hidden="false" customHeight="false" outlineLevel="0" collapsed="false">
      <c r="DB1083" s="6"/>
    </row>
    <row r="1084" customFormat="false" ht="12.75" hidden="false" customHeight="false" outlineLevel="0" collapsed="false">
      <c r="DB1084" s="6"/>
    </row>
    <row r="1085" customFormat="false" ht="12.75" hidden="false" customHeight="false" outlineLevel="0" collapsed="false">
      <c r="DB1085" s="6"/>
    </row>
    <row r="1086" customFormat="false" ht="12.75" hidden="false" customHeight="false" outlineLevel="0" collapsed="false">
      <c r="DB1086" s="6"/>
    </row>
    <row r="1087" customFormat="false" ht="12.75" hidden="false" customHeight="false" outlineLevel="0" collapsed="false">
      <c r="DB1087" s="6"/>
    </row>
    <row r="1088" customFormat="false" ht="12.75" hidden="false" customHeight="false" outlineLevel="0" collapsed="false">
      <c r="DB1088" s="6"/>
    </row>
    <row r="1089" customFormat="false" ht="12.75" hidden="false" customHeight="false" outlineLevel="0" collapsed="false">
      <c r="DB1089" s="6"/>
    </row>
    <row r="1090" customFormat="false" ht="12.75" hidden="false" customHeight="false" outlineLevel="0" collapsed="false">
      <c r="DB1090" s="6"/>
    </row>
    <row r="1091" customFormat="false" ht="12.75" hidden="false" customHeight="false" outlineLevel="0" collapsed="false">
      <c r="DB1091" s="6"/>
    </row>
    <row r="1092" customFormat="false" ht="12.75" hidden="false" customHeight="false" outlineLevel="0" collapsed="false">
      <c r="DB1092" s="6"/>
    </row>
    <row r="1093" customFormat="false" ht="12.75" hidden="false" customHeight="false" outlineLevel="0" collapsed="false">
      <c r="DB1093" s="6"/>
    </row>
    <row r="1094" customFormat="false" ht="12.75" hidden="false" customHeight="false" outlineLevel="0" collapsed="false">
      <c r="DB1094" s="6"/>
    </row>
    <row r="1095" customFormat="false" ht="12.75" hidden="false" customHeight="false" outlineLevel="0" collapsed="false">
      <c r="DB1095" s="6"/>
    </row>
    <row r="1096" customFormat="false" ht="12.75" hidden="false" customHeight="false" outlineLevel="0" collapsed="false">
      <c r="DB1096" s="6"/>
    </row>
    <row r="1097" customFormat="false" ht="12.75" hidden="false" customHeight="false" outlineLevel="0" collapsed="false">
      <c r="DB1097" s="6"/>
    </row>
    <row r="1098" customFormat="false" ht="12.75" hidden="false" customHeight="false" outlineLevel="0" collapsed="false">
      <c r="DB1098" s="6"/>
    </row>
    <row r="1099" customFormat="false" ht="12.75" hidden="false" customHeight="false" outlineLevel="0" collapsed="false">
      <c r="DB1099" s="6"/>
    </row>
    <row r="1100" customFormat="false" ht="12.75" hidden="false" customHeight="false" outlineLevel="0" collapsed="false">
      <c r="DB1100" s="6"/>
    </row>
    <row r="1101" customFormat="false" ht="12.75" hidden="false" customHeight="false" outlineLevel="0" collapsed="false">
      <c r="DB1101" s="6"/>
    </row>
    <row r="1102" customFormat="false" ht="12.75" hidden="false" customHeight="false" outlineLevel="0" collapsed="false">
      <c r="DB1102" s="6"/>
    </row>
    <row r="1103" customFormat="false" ht="12.75" hidden="false" customHeight="false" outlineLevel="0" collapsed="false">
      <c r="DB1103" s="6"/>
    </row>
  </sheetData>
  <mergeCells count="8">
    <mergeCell ref="CM135:CN135"/>
    <mergeCell ref="CM136:CO136"/>
    <mergeCell ref="CM137:CO137"/>
    <mergeCell ref="CM138:CO138"/>
    <mergeCell ref="CM139:CN139"/>
    <mergeCell ref="CM140:CO140"/>
    <mergeCell ref="CM141:CO141"/>
    <mergeCell ref="CM142:CO142"/>
  </mergeCells>
  <conditionalFormatting sqref="G22">
    <cfRule type="cellIs" priority="2" operator="greaterThan" aboveAverage="0" equalAverage="0" bottom="0" percent="0" rank="0" text="" dxfId="0">
      <formula>999</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5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J4" activeCellId="0" sqref="J4"/>
    </sheetView>
  </sheetViews>
  <sheetFormatPr defaultColWidth="11.00390625" defaultRowHeight="12.75" zeroHeight="false" outlineLevelRow="0" outlineLevelCol="0"/>
  <sheetData>
    <row r="1" customFormat="false" ht="12.75" hidden="false" customHeight="false" outlineLevel="0" collapsed="false">
      <c r="A1" s="1" t="s">
        <v>0</v>
      </c>
    </row>
    <row r="2" customFormat="false" ht="12.75" hidden="false" customHeight="false" outlineLevel="0" collapsed="false">
      <c r="G2" s="1" t="s">
        <v>287</v>
      </c>
      <c r="H2" s="1" t="s">
        <v>288</v>
      </c>
      <c r="I2" s="1" t="s">
        <v>289</v>
      </c>
      <c r="J2" s="1" t="s">
        <v>290</v>
      </c>
      <c r="K2" s="1" t="s">
        <v>291</v>
      </c>
      <c r="L2" s="1" t="s">
        <v>292</v>
      </c>
    </row>
    <row r="3" customFormat="false" ht="12.75" hidden="false" customHeight="false" outlineLevel="0" collapsed="false">
      <c r="A3" s="1" t="s">
        <v>42</v>
      </c>
      <c r="B3" s="4" t="s">
        <v>43</v>
      </c>
    </row>
    <row r="4" customFormat="false" ht="12.75" hidden="false" customHeight="false" outlineLevel="0" collapsed="false">
      <c r="B4" s="0" t="s">
        <v>53</v>
      </c>
      <c r="G4" s="5" t="n">
        <v>999</v>
      </c>
      <c r="H4" s="5" t="n">
        <v>1.181</v>
      </c>
      <c r="I4" s="5" t="n">
        <v>1.175</v>
      </c>
      <c r="J4" s="5" t="n">
        <v>1.156</v>
      </c>
      <c r="K4" s="5" t="n">
        <v>1.156</v>
      </c>
      <c r="L4" s="5" t="n">
        <v>0.78</v>
      </c>
      <c r="M4" s="0" t="s">
        <v>54</v>
      </c>
    </row>
    <row r="5" customFormat="false" ht="12.75" hidden="false" customHeight="false" outlineLevel="0" collapsed="false">
      <c r="B5" s="0" t="s">
        <v>56</v>
      </c>
      <c r="G5" s="5" t="n">
        <v>18900</v>
      </c>
      <c r="H5" s="5" t="n">
        <v>41100</v>
      </c>
      <c r="I5" s="5" t="n">
        <v>44000</v>
      </c>
      <c r="J5" s="5" t="n">
        <v>8511</v>
      </c>
      <c r="K5" s="5" t="n">
        <v>5740</v>
      </c>
      <c r="L5" s="5" t="n">
        <v>73000</v>
      </c>
      <c r="M5" s="0" t="s">
        <v>57</v>
      </c>
    </row>
    <row r="6" customFormat="false" ht="12.75" hidden="false" customHeight="false" outlineLevel="0" collapsed="false">
      <c r="B6" s="0" t="s">
        <v>60</v>
      </c>
      <c r="G6" s="5" t="n">
        <v>508</v>
      </c>
      <c r="H6" s="5" t="n">
        <v>1.973291</v>
      </c>
      <c r="I6" s="5" t="n">
        <v>6</v>
      </c>
      <c r="J6" s="5" t="n">
        <v>0.413113</v>
      </c>
      <c r="K6" s="5" t="n">
        <v>1.4504</v>
      </c>
      <c r="L6" s="5" t="n">
        <v>2.86452</v>
      </c>
      <c r="M6" s="3" t="s">
        <v>61</v>
      </c>
    </row>
    <row r="7" customFormat="false" ht="12.75" hidden="false" customHeight="false" outlineLevel="0" collapsed="false">
      <c r="B7" s="0" t="s">
        <v>64</v>
      </c>
      <c r="G7" s="5" t="n">
        <v>116000</v>
      </c>
      <c r="H7" s="5" t="n">
        <v>-150.09</v>
      </c>
      <c r="I7" s="5" t="n">
        <v>0</v>
      </c>
      <c r="J7" s="5" t="n">
        <v>-30.8449</v>
      </c>
      <c r="K7" s="5" t="n">
        <v>-4.7441</v>
      </c>
      <c r="L7" s="5" t="n">
        <v>-327.694</v>
      </c>
    </row>
    <row r="8" customFormat="false" ht="12.75" hidden="false" customHeight="false" outlineLevel="0" collapsed="false">
      <c r="B8" s="0" t="s">
        <v>68</v>
      </c>
      <c r="G8" s="5" t="n">
        <v>-586000000</v>
      </c>
      <c r="H8" s="5" t="n">
        <v>6199.207</v>
      </c>
      <c r="I8" s="5" t="n">
        <v>-40818</v>
      </c>
      <c r="J8" s="5" t="n">
        <v>1574.595</v>
      </c>
      <c r="K8" s="5" t="n">
        <v>-0.4226</v>
      </c>
      <c r="L8" s="5" t="n">
        <v>180558</v>
      </c>
    </row>
    <row r="9" customFormat="false" ht="12.75" hidden="false" customHeight="false" outlineLevel="0" collapsed="false">
      <c r="B9" s="0" t="s">
        <v>70</v>
      </c>
      <c r="G9" s="5" t="n">
        <v>-4760000000000</v>
      </c>
      <c r="H9" s="5" t="n">
        <v>-73321.1</v>
      </c>
      <c r="I9" s="5" t="n">
        <v>0</v>
      </c>
      <c r="J9" s="5" t="n">
        <v>-30072.2</v>
      </c>
      <c r="K9" s="5" t="n">
        <v>397.04</v>
      </c>
      <c r="L9" s="5" t="n">
        <v>-25973400</v>
      </c>
    </row>
    <row r="10" customFormat="false" ht="12.75" hidden="false" customHeight="false" outlineLevel="0" collapsed="false">
      <c r="B10" s="0" t="s">
        <v>71</v>
      </c>
      <c r="G10" s="5" t="n">
        <v>28200000000000000</v>
      </c>
      <c r="H10" s="5" t="n">
        <v>0</v>
      </c>
      <c r="I10" s="5" t="n">
        <v>0</v>
      </c>
      <c r="J10" s="5" t="n">
        <v>242099.8</v>
      </c>
      <c r="K10" s="5" t="n">
        <v>-2505.4</v>
      </c>
      <c r="L10" s="5" t="n">
        <v>0</v>
      </c>
    </row>
    <row r="11" customFormat="false" ht="12.75" hidden="false" customHeight="false" outlineLevel="0" collapsed="false">
      <c r="B11" s="0" t="s">
        <v>90</v>
      </c>
      <c r="G11" s="5" t="n">
        <v>-4.28E+019</v>
      </c>
      <c r="H11" s="5" t="n">
        <v>0</v>
      </c>
      <c r="I11" s="5" t="n">
        <v>0</v>
      </c>
      <c r="J11" s="5" t="n">
        <v>-745590</v>
      </c>
      <c r="K11" s="5" t="n">
        <v>3832.6</v>
      </c>
      <c r="L11" s="5" t="n">
        <v>0</v>
      </c>
    </row>
    <row r="12" customFormat="false" ht="12.75" hidden="false" customHeight="false" outlineLevel="0" collapsed="false">
      <c r="B12" s="0" t="s">
        <v>91</v>
      </c>
      <c r="G12" s="5" t="n">
        <v>0.86</v>
      </c>
      <c r="H12" s="5" t="n">
        <v>0.8</v>
      </c>
      <c r="I12" s="5" t="n">
        <v>0.71</v>
      </c>
      <c r="J12" s="5" t="n">
        <v>0.536</v>
      </c>
      <c r="K12" s="5" t="n">
        <v>0.85</v>
      </c>
      <c r="L12" s="5" t="n">
        <v>0.85</v>
      </c>
    </row>
    <row r="13" customFormat="false" ht="12.75" hidden="false" customHeight="false" outlineLevel="0" collapsed="false">
      <c r="A13" s="3"/>
    </row>
    <row r="14" customFormat="false" ht="12.75" hidden="false" customHeight="false" outlineLevel="0" collapsed="false">
      <c r="A14" s="1" t="s">
        <v>92</v>
      </c>
      <c r="B14" s="4" t="s">
        <v>93</v>
      </c>
    </row>
    <row r="15" customFormat="false" ht="12.75" hidden="false" customHeight="false" outlineLevel="0" collapsed="false">
      <c r="B15" s="0" t="s">
        <v>94</v>
      </c>
      <c r="G15" s="5" t="n">
        <v>120</v>
      </c>
      <c r="H15" s="5" t="n">
        <v>124</v>
      </c>
      <c r="I15" s="5" t="n">
        <v>124</v>
      </c>
      <c r="J15" s="5" t="n">
        <v>124</v>
      </c>
      <c r="K15" s="5" t="n">
        <v>124</v>
      </c>
      <c r="L15" s="5" t="n">
        <v>124</v>
      </c>
      <c r="M15" s="0" t="s">
        <v>95</v>
      </c>
    </row>
    <row r="16" customFormat="false" ht="12.75" hidden="false" customHeight="false" outlineLevel="0" collapsed="false">
      <c r="B16" s="0" t="s">
        <v>97</v>
      </c>
      <c r="G16" s="5" t="n">
        <v>27.5</v>
      </c>
      <c r="H16" s="5" t="n">
        <v>3.4</v>
      </c>
      <c r="I16" s="5" t="n">
        <v>3.4</v>
      </c>
      <c r="J16" s="5" t="n">
        <v>3.5</v>
      </c>
      <c r="K16" s="5" t="n">
        <v>20</v>
      </c>
      <c r="L16" s="5" t="n">
        <v>0.9</v>
      </c>
      <c r="M16" s="0" t="s">
        <v>98</v>
      </c>
    </row>
    <row r="17" customFormat="false" ht="12.75" hidden="false" customHeight="false" outlineLevel="0" collapsed="false">
      <c r="B17" s="0" t="s">
        <v>99</v>
      </c>
      <c r="G17" s="5" t="n">
        <v>999</v>
      </c>
      <c r="H17" s="5" t="n">
        <v>1.181</v>
      </c>
      <c r="I17" s="5" t="n">
        <v>1.175</v>
      </c>
      <c r="J17" s="5" t="n">
        <v>1.156</v>
      </c>
      <c r="K17" s="5" t="n">
        <v>1.156</v>
      </c>
      <c r="L17" s="5" t="n">
        <v>1.18</v>
      </c>
      <c r="M17" s="0" t="s">
        <v>54</v>
      </c>
    </row>
    <row r="19" customFormat="false" ht="12.75" hidden="false" customHeight="false" outlineLevel="0" collapsed="false">
      <c r="A19" s="1" t="s">
        <v>106</v>
      </c>
      <c r="B19" s="4" t="s">
        <v>107</v>
      </c>
    </row>
    <row r="20" customFormat="false" ht="12.75" hidden="false" customHeight="false" outlineLevel="0" collapsed="false">
      <c r="B20" s="0" t="s">
        <v>108</v>
      </c>
      <c r="G20" s="5" t="n">
        <v>18900</v>
      </c>
      <c r="H20" s="5" t="n">
        <v>50000</v>
      </c>
      <c r="I20" s="5" t="n">
        <v>44000</v>
      </c>
      <c r="J20" s="5" t="n">
        <v>8511</v>
      </c>
      <c r="K20" s="5" t="n">
        <v>5740</v>
      </c>
      <c r="L20" s="5" t="n">
        <v>67200</v>
      </c>
      <c r="M20" s="0" t="s">
        <v>57</v>
      </c>
    </row>
    <row r="21" customFormat="false" ht="12.75" hidden="false" customHeight="false" outlineLevel="0" collapsed="false">
      <c r="B21" s="0" t="s">
        <v>109</v>
      </c>
      <c r="G21" s="5" t="n">
        <v>453</v>
      </c>
      <c r="H21" s="5" t="n">
        <v>200</v>
      </c>
      <c r="I21" s="5" t="n">
        <v>88</v>
      </c>
      <c r="J21" s="5" t="n">
        <v>52.5</v>
      </c>
      <c r="K21" s="5" t="n">
        <v>310</v>
      </c>
      <c r="L21" s="5" t="n">
        <v>34.5</v>
      </c>
      <c r="M21" s="0" t="s">
        <v>110</v>
      </c>
    </row>
    <row r="22" customFormat="false" ht="12.75" hidden="false" customHeight="false" outlineLevel="0" collapsed="false">
      <c r="B22" s="0" t="s">
        <v>111</v>
      </c>
      <c r="G22" s="5" t="n">
        <v>0.000378270786663415</v>
      </c>
      <c r="H22" s="5" t="n">
        <v>0.06607</v>
      </c>
      <c r="I22" s="5" t="n">
        <v>0.00708</v>
      </c>
      <c r="J22" s="5" t="n">
        <v>0.0661</v>
      </c>
      <c r="K22" s="5" t="n">
        <v>0.203</v>
      </c>
      <c r="L22" s="5" t="n">
        <v>0.00428</v>
      </c>
      <c r="M22" s="0" t="s">
        <v>41</v>
      </c>
    </row>
    <row r="23" customFormat="false" ht="12.75" hidden="false" customHeight="false" outlineLevel="0" collapsed="false">
      <c r="B23" s="0" t="s">
        <v>114</v>
      </c>
      <c r="G23" s="5" t="n">
        <v>10</v>
      </c>
      <c r="H23" s="5" t="n">
        <v>5</v>
      </c>
      <c r="I23" s="5" t="n">
        <v>5</v>
      </c>
      <c r="J23" s="5" t="n">
        <v>5</v>
      </c>
      <c r="K23" s="5" t="n">
        <v>5</v>
      </c>
      <c r="L23" s="5" t="n">
        <v>10</v>
      </c>
      <c r="M23" s="0" t="s">
        <v>115</v>
      </c>
    </row>
    <row r="25" customFormat="false" ht="12.75" hidden="false" customHeight="false" outlineLevel="0" collapsed="false">
      <c r="A25" s="1" t="s">
        <v>116</v>
      </c>
      <c r="B25" s="4" t="s">
        <v>117</v>
      </c>
    </row>
    <row r="26" customFormat="false" ht="12.75" hidden="false" customHeight="false" outlineLevel="0" collapsed="false">
      <c r="B26" s="0" t="s">
        <v>108</v>
      </c>
      <c r="G26" s="5" t="n">
        <v>15120</v>
      </c>
      <c r="H26" s="5" t="n">
        <v>30000</v>
      </c>
      <c r="I26" s="5" t="n">
        <v>30000</v>
      </c>
      <c r="J26" s="5" t="n">
        <v>7500</v>
      </c>
      <c r="K26" s="5" t="n">
        <v>3400</v>
      </c>
      <c r="L26" s="5" t="n">
        <v>73000</v>
      </c>
      <c r="M26" s="0" t="s">
        <v>57</v>
      </c>
    </row>
    <row r="27" customFormat="false" ht="12.75" hidden="false" customHeight="false" outlineLevel="0" collapsed="false">
      <c r="B27" s="0" t="s">
        <v>109</v>
      </c>
      <c r="G27" s="5" t="n">
        <v>235</v>
      </c>
      <c r="H27" s="5" t="n">
        <v>45</v>
      </c>
      <c r="I27" s="5" t="n">
        <v>37.2</v>
      </c>
      <c r="J27" s="5" t="n">
        <v>37.9</v>
      </c>
      <c r="K27" s="5" t="n">
        <v>90</v>
      </c>
      <c r="L27" s="5" t="n">
        <v>45</v>
      </c>
      <c r="M27" s="0" t="s">
        <v>110</v>
      </c>
    </row>
    <row r="29" customFormat="false" ht="12.75" hidden="false" customHeight="false" outlineLevel="0" collapsed="false">
      <c r="A29" s="1" t="s">
        <v>119</v>
      </c>
      <c r="B29" s="4" t="s">
        <v>120</v>
      </c>
    </row>
    <row r="30" customFormat="false" ht="12.75" hidden="false" customHeight="false" outlineLevel="0" collapsed="false">
      <c r="B30" s="0" t="s">
        <v>121</v>
      </c>
      <c r="G30" s="5" t="n">
        <v>11.5</v>
      </c>
      <c r="H30" s="5" t="n">
        <v>12</v>
      </c>
      <c r="I30" s="5" t="n">
        <v>17</v>
      </c>
      <c r="J30" s="5" t="n">
        <v>5</v>
      </c>
      <c r="K30" s="5" t="n">
        <v>35</v>
      </c>
      <c r="L30" s="5" t="n">
        <v>0</v>
      </c>
      <c r="M30" s="0" t="s">
        <v>110</v>
      </c>
    </row>
    <row r="32" customFormat="false" ht="12.75" hidden="false" customHeight="false" outlineLevel="0" collapsed="false">
      <c r="A32" s="1" t="s">
        <v>127</v>
      </c>
      <c r="B32" s="4" t="s">
        <v>128</v>
      </c>
    </row>
    <row r="33" customFormat="false" ht="12.75" hidden="false" customHeight="false" outlineLevel="0" collapsed="false">
      <c r="B33" s="0" t="s">
        <v>131</v>
      </c>
      <c r="G33" s="45" t="n">
        <v>0.000378700218578583</v>
      </c>
      <c r="H33" s="45" t="n">
        <v>0.0427646571690779</v>
      </c>
      <c r="I33" s="45" t="n">
        <v>0.00566958308406187</v>
      </c>
      <c r="J33" s="45" t="n">
        <v>0.0559198027397203</v>
      </c>
      <c r="K33" s="45" t="n">
        <v>0.170069431746592</v>
      </c>
      <c r="L33" s="45" t="n">
        <v>0.00464980413373541</v>
      </c>
      <c r="M33" s="0" t="s">
        <v>41</v>
      </c>
    </row>
    <row r="35" customFormat="false" ht="12.75" hidden="false" customHeight="false" outlineLevel="0" collapsed="false">
      <c r="B35" s="4" t="s">
        <v>134</v>
      </c>
    </row>
    <row r="36" customFormat="false" ht="12.75" hidden="false" customHeight="false" outlineLevel="0" collapsed="false">
      <c r="B36" s="0" t="s">
        <v>138</v>
      </c>
      <c r="G36" s="45" t="n">
        <v>11.5</v>
      </c>
      <c r="H36" s="45" t="n">
        <v>12</v>
      </c>
      <c r="I36" s="45" t="n">
        <v>17</v>
      </c>
      <c r="J36" s="45" t="n">
        <v>5</v>
      </c>
      <c r="K36" s="45" t="n">
        <v>35</v>
      </c>
      <c r="L36" s="45" t="n">
        <v>0</v>
      </c>
      <c r="M36" s="3" t="s">
        <v>110</v>
      </c>
    </row>
    <row r="38" customFormat="false" ht="12.75" hidden="false" customHeight="false" outlineLevel="0" collapsed="false">
      <c r="B38" s="4" t="s">
        <v>141</v>
      </c>
    </row>
    <row r="39" customFormat="false" ht="12.75" hidden="false" customHeight="false" outlineLevel="0" collapsed="false">
      <c r="B39" s="0" t="s">
        <v>144</v>
      </c>
      <c r="G39" s="45" t="n">
        <v>4.36363636363636</v>
      </c>
      <c r="H39" s="45" t="n">
        <v>36.4705882352941</v>
      </c>
      <c r="I39" s="45" t="n">
        <v>36.4705882352941</v>
      </c>
      <c r="J39" s="45" t="n">
        <v>35.4285714285714</v>
      </c>
      <c r="K39" s="45" t="n">
        <v>6.2</v>
      </c>
      <c r="L39" s="45" t="n">
        <v>137.777777777778</v>
      </c>
      <c r="M39" s="0" t="s">
        <v>145</v>
      </c>
    </row>
    <row r="40" customFormat="false" ht="12.75" hidden="false" customHeight="false" outlineLevel="0" collapsed="false">
      <c r="B40" s="0" t="s">
        <v>147</v>
      </c>
      <c r="G40" s="45" t="n">
        <v>0.0202469717065418</v>
      </c>
      <c r="H40" s="45" t="n">
        <v>0.0104576784392842</v>
      </c>
      <c r="I40" s="45" t="n">
        <v>0.0104222082208304</v>
      </c>
      <c r="J40" s="45" t="n">
        <v>0.0997374830865868</v>
      </c>
      <c r="K40" s="45" t="n">
        <v>0.133462396888885</v>
      </c>
      <c r="L40" s="45" t="n">
        <v>0.00887188990311212</v>
      </c>
      <c r="M40" s="0" t="s">
        <v>148</v>
      </c>
    </row>
    <row r="41" customFormat="false" ht="12.75" hidden="false" customHeight="false" outlineLevel="0" collapsed="false">
      <c r="B41" s="0" t="s">
        <v>151</v>
      </c>
      <c r="G41" s="45" t="n">
        <v>1.56099431961253E-006</v>
      </c>
      <c r="H41" s="45" t="n">
        <v>9.97021436955211E-009</v>
      </c>
      <c r="I41" s="45" t="n">
        <v>9.91758153784403E-009</v>
      </c>
      <c r="J41" s="45" t="n">
        <v>1.06593025764637E-006</v>
      </c>
      <c r="K41" s="45" t="n">
        <v>3.22901782850708E-006</v>
      </c>
      <c r="L41" s="45" t="n">
        <v>6.65954161612956E-009</v>
      </c>
      <c r="M41" s="0" t="s">
        <v>152</v>
      </c>
    </row>
    <row r="42" customFormat="false" ht="12.75" hidden="false" customHeight="false" outlineLevel="0" collapsed="false">
      <c r="B42" s="0" t="s">
        <v>155</v>
      </c>
      <c r="G42" s="45"/>
      <c r="H42" s="45"/>
      <c r="I42" s="45"/>
      <c r="J42" s="45"/>
      <c r="K42" s="45"/>
      <c r="L42" s="45"/>
      <c r="M42" s="0" t="s">
        <v>57</v>
      </c>
    </row>
    <row r="43" customFormat="false" ht="12.75" hidden="false" customHeight="false" outlineLevel="0" collapsed="false">
      <c r="B43" s="0" t="s">
        <v>157</v>
      </c>
      <c r="G43" s="45" t="n">
        <v>0.00201278427531298</v>
      </c>
      <c r="H43" s="45" t="n">
        <v>1.82650122732532E-005</v>
      </c>
      <c r="I43" s="45" t="n">
        <v>2.60055699265394E-005</v>
      </c>
      <c r="J43" s="45" t="n">
        <v>0.00112974840524115</v>
      </c>
      <c r="K43" s="45" t="n">
        <v>0.0134582399731068</v>
      </c>
      <c r="L43" s="45" t="n">
        <v>6.45565020549177E-006</v>
      </c>
      <c r="M43" s="0" t="s">
        <v>158</v>
      </c>
    </row>
    <row r="45" customFormat="false" ht="12.75" hidden="false" customHeight="false" outlineLevel="0" collapsed="false">
      <c r="A45" s="1" t="s">
        <v>161</v>
      </c>
      <c r="B45" s="4" t="s">
        <v>162</v>
      </c>
      <c r="G45" s="0" t="n">
        <v>0.390016945521292</v>
      </c>
      <c r="H45" s="0" t="n">
        <v>5.08077576741974</v>
      </c>
      <c r="I45" s="0" t="n">
        <v>0.691112551528863</v>
      </c>
      <c r="J45" s="0" t="n">
        <v>3.15606508249254</v>
      </c>
      <c r="K45" s="0" t="n">
        <v>1.51588663439108</v>
      </c>
      <c r="L45" s="0" t="n">
        <v>1.17692141203052</v>
      </c>
      <c r="M45" s="0" t="s">
        <v>146</v>
      </c>
    </row>
    <row r="46" customFormat="false" ht="12.75" hidden="false" customHeight="false" outlineLevel="0" collapsed="false">
      <c r="B46" s="0" t="s">
        <v>164</v>
      </c>
      <c r="G46" s="0" t="s">
        <v>293</v>
      </c>
      <c r="H46" s="0" t="s">
        <v>294</v>
      </c>
      <c r="I46" s="0" t="s">
        <v>293</v>
      </c>
      <c r="J46" s="0" t="s">
        <v>294</v>
      </c>
      <c r="K46" s="0" t="s">
        <v>295</v>
      </c>
      <c r="L46" s="0" t="s">
        <v>295</v>
      </c>
      <c r="M46" s="0" t="s">
        <v>165</v>
      </c>
    </row>
    <row r="47" customFormat="false" ht="12.75" hidden="false" customHeight="false" outlineLevel="0" collapsed="false">
      <c r="B47" s="0" t="s">
        <v>167</v>
      </c>
      <c r="G47" s="0" t="n">
        <v>28548.7887464444</v>
      </c>
      <c r="H47" s="0" t="n">
        <v>52676.1930765661</v>
      </c>
      <c r="I47" s="0" t="n">
        <v>59766.4398638031</v>
      </c>
      <c r="J47" s="0" t="n">
        <v>9865.89883281972</v>
      </c>
      <c r="K47" s="0" t="n">
        <v>7020.6640851741</v>
      </c>
      <c r="L47" s="0" t="n">
        <v>74926.8742597858</v>
      </c>
      <c r="M47" s="0" t="s">
        <v>57</v>
      </c>
    </row>
    <row r="48" customFormat="false" ht="12.75" hidden="false" customHeight="false" outlineLevel="0" collapsed="false">
      <c r="B48" s="0" t="s">
        <v>169</v>
      </c>
      <c r="G48" s="0" t="n">
        <v>3300</v>
      </c>
      <c r="H48" s="0" t="n">
        <v>421.6</v>
      </c>
      <c r="I48" s="0" t="n">
        <v>421.6</v>
      </c>
      <c r="J48" s="0" t="n">
        <v>434</v>
      </c>
      <c r="K48" s="0" t="n">
        <v>2480</v>
      </c>
      <c r="L48" s="0" t="n">
        <v>111.6</v>
      </c>
      <c r="M48" s="0" t="s">
        <v>110</v>
      </c>
    </row>
    <row r="49" customFormat="false" ht="12.75" hidden="false" customHeight="false" outlineLevel="0" collapsed="false">
      <c r="B49" s="0" t="s">
        <v>170</v>
      </c>
      <c r="G49" s="0" t="n">
        <v>232.316696905855</v>
      </c>
      <c r="H49" s="0" t="n">
        <v>295.213011149347</v>
      </c>
      <c r="I49" s="0" t="n">
        <v>49.731562101958</v>
      </c>
      <c r="J49" s="0" t="n">
        <v>71.4864465556177</v>
      </c>
      <c r="K49" s="0" t="n">
        <v>256.501194332449</v>
      </c>
      <c r="L49" s="0" t="n">
        <v>24.5318699401861</v>
      </c>
      <c r="M49" s="0" t="s">
        <v>110</v>
      </c>
    </row>
    <row r="50" customFormat="false" ht="12.75" hidden="false" customHeight="false" outlineLevel="0" collapsed="false">
      <c r="B50" s="0" t="s">
        <v>173</v>
      </c>
      <c r="G50" s="0" t="n">
        <v>1.93597247421545</v>
      </c>
      <c r="H50" s="0" t="n">
        <v>2.38075008991409</v>
      </c>
      <c r="I50" s="0" t="n">
        <v>0.40106098469321</v>
      </c>
      <c r="J50" s="0" t="n">
        <v>0.576503601254981</v>
      </c>
      <c r="K50" s="0" t="n">
        <v>2.06855801881007</v>
      </c>
      <c r="L50" s="0" t="n">
        <v>0.197837660807952</v>
      </c>
      <c r="M50" s="0"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85"/>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11.00390625" defaultRowHeight="12.75" zeroHeight="false" outlineLevelRow="0" outlineLevelCol="0"/>
  <cols>
    <col collapsed="false" customWidth="true" hidden="false" outlineLevel="0" max="1" min="1" style="0" width="17.17"/>
    <col collapsed="false" customWidth="true" hidden="false" outlineLevel="0" max="2" min="2" style="0" width="18.17"/>
    <col collapsed="false" customWidth="true" hidden="false" outlineLevel="0" max="3" min="3" style="0" width="2.83"/>
  </cols>
  <sheetData>
    <row r="1" customFormat="false" ht="12.75" hidden="false" customHeight="false" outlineLevel="0" collapsed="false">
      <c r="A1" s="1" t="s">
        <v>296</v>
      </c>
      <c r="B1" s="4" t="s">
        <v>297</v>
      </c>
      <c r="L1" s="0" t="s">
        <v>298</v>
      </c>
      <c r="M1" s="0" t="s">
        <v>299</v>
      </c>
    </row>
    <row r="2" customFormat="false" ht="12.75" hidden="false" customHeight="false" outlineLevel="0" collapsed="false">
      <c r="B2" s="4" t="s">
        <v>300</v>
      </c>
      <c r="M2" s="0" t="s">
        <v>301</v>
      </c>
    </row>
    <row r="3" customFormat="false" ht="12.75" hidden="false" customHeight="false" outlineLevel="0" collapsed="false">
      <c r="D3" s="0" t="s">
        <v>302</v>
      </c>
      <c r="E3" s="0" t="s">
        <v>303</v>
      </c>
      <c r="M3" s="0" t="s">
        <v>304</v>
      </c>
    </row>
    <row r="4" customFormat="false" ht="12.75" hidden="false" customHeight="false" outlineLevel="0" collapsed="false">
      <c r="B4" s="0" t="s">
        <v>305</v>
      </c>
      <c r="C4" s="0" t="n">
        <v>0</v>
      </c>
      <c r="D4" s="46" t="n">
        <v>1.4504</v>
      </c>
      <c r="E4" s="47" t="n">
        <f aca="false">D4*(E$11/D$11)*(E$10/D$10)^(-C4)</f>
        <v>3.50681513702269</v>
      </c>
      <c r="F4" s="0" t="s">
        <v>61</v>
      </c>
      <c r="H4" s="0" t="s">
        <v>306</v>
      </c>
    </row>
    <row r="5" customFormat="false" ht="12.75" hidden="false" customHeight="false" outlineLevel="0" collapsed="false">
      <c r="C5" s="0" t="n">
        <v>1</v>
      </c>
      <c r="D5" s="46" t="n">
        <v>-4.7441</v>
      </c>
      <c r="E5" s="47" t="n">
        <f aca="false">D5*(E$11/D$11)*(E$10/D$10)^(-C5)</f>
        <v>-4.87492396504996</v>
      </c>
    </row>
    <row r="6" customFormat="false" ht="12.75" hidden="false" customHeight="false" outlineLevel="0" collapsed="false">
      <c r="C6" s="0" t="n">
        <v>2</v>
      </c>
      <c r="D6" s="46" t="n">
        <v>-0.4226</v>
      </c>
      <c r="E6" s="47" t="n">
        <f aca="false">D6*(E$11/D$11)*(E$10/D$10)^(-C6)</f>
        <v>-0.184557812597289</v>
      </c>
    </row>
    <row r="7" customFormat="false" ht="12.75" hidden="false" customHeight="false" outlineLevel="0" collapsed="false">
      <c r="C7" s="0" t="n">
        <v>3</v>
      </c>
      <c r="D7" s="46" t="n">
        <v>397.04</v>
      </c>
      <c r="E7" s="47" t="n">
        <f aca="false">D7*(E$11/D$11)*(E$10/D$10)^(-C7)</f>
        <v>73.6929825208039</v>
      </c>
    </row>
    <row r="8" customFormat="false" ht="12.75" hidden="false" customHeight="false" outlineLevel="0" collapsed="false">
      <c r="C8" s="0" t="n">
        <v>4</v>
      </c>
      <c r="D8" s="46" t="n">
        <v>-2505.4</v>
      </c>
      <c r="E8" s="47" t="n">
        <f aca="false">D8*(E$11/D$11)*(E$10/D$10)^(-C8)</f>
        <v>-197.632277159076</v>
      </c>
    </row>
    <row r="9" customFormat="false" ht="12.75" hidden="false" customHeight="false" outlineLevel="0" collapsed="false">
      <c r="C9" s="0" t="n">
        <v>5</v>
      </c>
      <c r="D9" s="46" t="n">
        <v>3832.6</v>
      </c>
      <c r="E9" s="47" t="n">
        <f aca="false">D9*(E$11/D$11)*(E$10/D$10)^(-C9)</f>
        <v>128.48819462439</v>
      </c>
    </row>
    <row r="10" customFormat="false" ht="12.75" hidden="false" customHeight="false" outlineLevel="0" collapsed="false">
      <c r="B10" s="0" t="s">
        <v>307</v>
      </c>
      <c r="D10" s="46" t="n">
        <v>0.17</v>
      </c>
      <c r="E10" s="46" t="n">
        <v>0.4</v>
      </c>
      <c r="F10" s="0" t="s">
        <v>41</v>
      </c>
    </row>
    <row r="11" customFormat="false" ht="12.75" hidden="false" customHeight="false" outlineLevel="0" collapsed="false">
      <c r="B11" s="0" t="s">
        <v>308</v>
      </c>
      <c r="D11" s="0" t="n">
        <f aca="false">D4+D5*D10+D6*D10^2+D7*D10^3+D8*D10^4+D9*D10^5</f>
        <v>1.03398663982</v>
      </c>
      <c r="E11" s="46" t="n">
        <v>2.5</v>
      </c>
      <c r="F11" s="0" t="s">
        <v>143</v>
      </c>
    </row>
    <row r="18" customFormat="false" ht="12.75" hidden="false" customHeight="false" outlineLevel="0" collapsed="false">
      <c r="A18" s="1" t="s">
        <v>309</v>
      </c>
      <c r="B18" s="4" t="s">
        <v>310</v>
      </c>
    </row>
    <row r="19" customFormat="false" ht="12.75" hidden="false" customHeight="false" outlineLevel="0" collapsed="false">
      <c r="B19" s="4" t="s">
        <v>300</v>
      </c>
    </row>
    <row r="20" customFormat="false" ht="12.75" hidden="false" customHeight="false" outlineLevel="0" collapsed="false">
      <c r="D20" s="0" t="s">
        <v>302</v>
      </c>
      <c r="E20" s="0" t="s">
        <v>303</v>
      </c>
    </row>
    <row r="21" customFormat="false" ht="12.75" hidden="false" customHeight="false" outlineLevel="0" collapsed="false">
      <c r="B21" s="0" t="s">
        <v>305</v>
      </c>
      <c r="C21" s="0" t="n">
        <v>0</v>
      </c>
      <c r="D21" s="46" t="n">
        <v>1.4504</v>
      </c>
      <c r="E21" s="47" t="n">
        <f aca="false">D21*(E$28/D$28)*(E$29/D$29)^(2-C21)</f>
        <v>2.70937343688569</v>
      </c>
      <c r="F21" s="0" t="s">
        <v>61</v>
      </c>
      <c r="H21" s="0" t="s">
        <v>311</v>
      </c>
    </row>
    <row r="22" customFormat="false" ht="12.75" hidden="false" customHeight="false" outlineLevel="0" collapsed="false">
      <c r="C22" s="0" t="n">
        <v>1</v>
      </c>
      <c r="D22" s="46" t="n">
        <v>-4.7441</v>
      </c>
      <c r="E22" s="47" t="n">
        <f aca="false">D22*(E$28/D$28)*(E$29/D$29)^(2-C22)</f>
        <v>-6.60626635159085</v>
      </c>
    </row>
    <row r="23" customFormat="false" ht="12.75" hidden="false" customHeight="false" outlineLevel="0" collapsed="false">
      <c r="C23" s="0" t="n">
        <v>2</v>
      </c>
      <c r="D23" s="46" t="n">
        <v>-0.4226</v>
      </c>
      <c r="E23" s="47" t="n">
        <f aca="false">D23*(E$28/D$28)*(E$29/D$29)^(2-C23)</f>
        <v>-0.438685121107266</v>
      </c>
    </row>
    <row r="24" customFormat="false" ht="12.75" hidden="false" customHeight="false" outlineLevel="0" collapsed="false">
      <c r="C24" s="0" t="n">
        <v>3</v>
      </c>
      <c r="D24" s="46" t="n">
        <v>397.04</v>
      </c>
      <c r="E24" s="47" t="n">
        <f aca="false">D24*(E$28/D$28)*(E$29/D$29)^(2-C24)</f>
        <v>307.240767536961</v>
      </c>
    </row>
    <row r="25" customFormat="false" ht="12.75" hidden="false" customHeight="false" outlineLevel="0" collapsed="false">
      <c r="C25" s="0" t="n">
        <v>4</v>
      </c>
      <c r="D25" s="46" t="n">
        <v>-2505.4</v>
      </c>
      <c r="E25" s="47" t="n">
        <f aca="false">D25*(E$28/D$28)*(E$29/D$29)^(2-C25)</f>
        <v>-1445.24947238983</v>
      </c>
    </row>
    <row r="26" customFormat="false" ht="12.75" hidden="false" customHeight="false" outlineLevel="0" collapsed="false">
      <c r="C26" s="0" t="n">
        <v>5</v>
      </c>
      <c r="D26" s="46" t="n">
        <v>3832.6</v>
      </c>
      <c r="E26" s="47" t="n">
        <f aca="false">D26*(E$28/D$28)*(E$29/D$29)^(2-C26)</f>
        <v>1648.08804431977</v>
      </c>
    </row>
    <row r="27" customFormat="false" ht="12.75" hidden="false" customHeight="false" outlineLevel="0" collapsed="false">
      <c r="B27" s="0" t="s">
        <v>312</v>
      </c>
      <c r="D27" s="46" t="n">
        <v>0.17</v>
      </c>
      <c r="E27" s="6" t="n">
        <f aca="false">D27*(E29/D29)</f>
        <v>0.228048780487805</v>
      </c>
      <c r="F27" s="0" t="s">
        <v>41</v>
      </c>
    </row>
    <row r="28" customFormat="false" ht="12.75" hidden="false" customHeight="false" outlineLevel="0" collapsed="false">
      <c r="B28" s="0" t="s">
        <v>313</v>
      </c>
      <c r="D28" s="46" t="n">
        <v>1.156</v>
      </c>
      <c r="E28" s="46" t="n">
        <v>1.2</v>
      </c>
      <c r="F28" s="0" t="s">
        <v>54</v>
      </c>
    </row>
    <row r="29" customFormat="false" ht="12.75" hidden="false" customHeight="false" outlineLevel="0" collapsed="false">
      <c r="B29" s="0" t="s">
        <v>314</v>
      </c>
      <c r="D29" s="46" t="n">
        <v>5740</v>
      </c>
      <c r="E29" s="46" t="n">
        <v>7700</v>
      </c>
      <c r="F29" s="0" t="s">
        <v>315</v>
      </c>
    </row>
    <row r="37" customFormat="false" ht="12.75" hidden="false" customHeight="false" outlineLevel="0" collapsed="false">
      <c r="A37" s="0" t="s">
        <v>316</v>
      </c>
      <c r="L37" s="0" t="s">
        <v>298</v>
      </c>
      <c r="M37" s="0" t="s">
        <v>317</v>
      </c>
    </row>
    <row r="38" customFormat="false" ht="12.75" hidden="false" customHeight="false" outlineLevel="0" collapsed="false">
      <c r="D38" s="0" t="s">
        <v>318</v>
      </c>
      <c r="E38" s="0" t="s">
        <v>319</v>
      </c>
      <c r="F38" s="0" t="s">
        <v>291</v>
      </c>
      <c r="G38" s="0" t="s">
        <v>320</v>
      </c>
      <c r="M38" s="0" t="s">
        <v>321</v>
      </c>
    </row>
    <row r="39" customFormat="false" ht="12.75" hidden="false" customHeight="false" outlineLevel="0" collapsed="false">
      <c r="B39" s="0" t="s">
        <v>60</v>
      </c>
      <c r="D39" s="0" t="n">
        <v>1.973291</v>
      </c>
      <c r="E39" s="0" t="n">
        <v>0.413113</v>
      </c>
      <c r="F39" s="0" t="n">
        <v>1.4504</v>
      </c>
      <c r="G39" s="0" t="n">
        <v>508</v>
      </c>
      <c r="M39" s="0" t="s">
        <v>322</v>
      </c>
    </row>
    <row r="40" customFormat="false" ht="12.75" hidden="false" customHeight="false" outlineLevel="0" collapsed="false">
      <c r="B40" s="0" t="s">
        <v>64</v>
      </c>
      <c r="D40" s="0" t="n">
        <v>-150.09</v>
      </c>
      <c r="E40" s="0" t="n">
        <v>-30.8449</v>
      </c>
      <c r="F40" s="0" t="n">
        <v>-4.7441</v>
      </c>
      <c r="G40" s="0" t="n">
        <v>116000</v>
      </c>
      <c r="M40" s="0" t="s">
        <v>323</v>
      </c>
    </row>
    <row r="41" customFormat="false" ht="12.75" hidden="false" customHeight="false" outlineLevel="0" collapsed="false">
      <c r="B41" s="0" t="s">
        <v>68</v>
      </c>
      <c r="D41" s="6" t="n">
        <v>6199.207</v>
      </c>
      <c r="E41" s="0" t="n">
        <v>1574.595</v>
      </c>
      <c r="F41" s="0" t="n">
        <v>-0.4226</v>
      </c>
      <c r="G41" s="0" t="n">
        <v>-586000000</v>
      </c>
      <c r="M41" s="0" t="s">
        <v>324</v>
      </c>
    </row>
    <row r="42" customFormat="false" ht="12.75" hidden="false" customHeight="false" outlineLevel="0" collapsed="false">
      <c r="B42" s="0" t="s">
        <v>70</v>
      </c>
      <c r="D42" s="6" t="n">
        <v>-73321.1</v>
      </c>
      <c r="E42" s="0" t="n">
        <v>-30072.2</v>
      </c>
      <c r="F42" s="0" t="n">
        <v>397.04</v>
      </c>
      <c r="G42" s="0" t="n">
        <v>-4760000000000</v>
      </c>
    </row>
    <row r="43" customFormat="false" ht="12.75" hidden="false" customHeight="false" outlineLevel="0" collapsed="false">
      <c r="B43" s="0" t="s">
        <v>71</v>
      </c>
      <c r="D43" s="6" t="n">
        <v>0</v>
      </c>
      <c r="E43" s="0" t="n">
        <v>242099.8</v>
      </c>
      <c r="F43" s="0" t="n">
        <v>-2505.4</v>
      </c>
      <c r="G43" s="0" t="n">
        <v>28200000000000000</v>
      </c>
    </row>
    <row r="44" customFormat="false" ht="12.75" hidden="false" customHeight="false" outlineLevel="0" collapsed="false">
      <c r="B44" s="0" t="s">
        <v>90</v>
      </c>
      <c r="D44" s="6" t="n">
        <v>0</v>
      </c>
      <c r="E44" s="0" t="n">
        <v>-745590</v>
      </c>
      <c r="F44" s="0" t="n">
        <v>3832.6</v>
      </c>
      <c r="G44" s="0" t="n">
        <v>-4.28E+019</v>
      </c>
    </row>
    <row r="45" customFormat="false" ht="12.75" hidden="false" customHeight="false" outlineLevel="0" collapsed="false">
      <c r="B45" s="0" t="s">
        <v>325</v>
      </c>
      <c r="D45" s="0" t="n">
        <v>0.0427646571690779</v>
      </c>
      <c r="E45" s="0" t="n">
        <v>0.0559198027397203</v>
      </c>
      <c r="F45" s="0" t="n">
        <v>0.170069431746592</v>
      </c>
      <c r="G45" s="0" t="n">
        <v>0.000378700218578583</v>
      </c>
    </row>
    <row r="46" customFormat="false" ht="12.75" hidden="false" customHeight="false" outlineLevel="0" collapsed="false">
      <c r="B46" s="0" t="s">
        <v>326</v>
      </c>
      <c r="D46" s="0" t="n">
        <v>1.15760513009161</v>
      </c>
      <c r="E46" s="0" t="n">
        <v>0.313198205728574</v>
      </c>
      <c r="F46" s="0" t="n">
        <v>1.03372984868615</v>
      </c>
      <c r="G46" s="0" t="n">
        <v>456.00729037902</v>
      </c>
    </row>
    <row r="47" customFormat="false" ht="12.75" hidden="false" customHeight="false" outlineLevel="0" collapsed="false">
      <c r="B47" s="0" t="s">
        <v>75</v>
      </c>
      <c r="D47" s="0" t="n">
        <v>5.08</v>
      </c>
      <c r="E47" s="0" t="n">
        <v>3.16</v>
      </c>
      <c r="F47" s="0" t="n">
        <v>1.52</v>
      </c>
      <c r="G47" s="0" t="n">
        <v>0.39</v>
      </c>
    </row>
    <row r="49" customFormat="false" ht="12.75" hidden="false" customHeight="false" outlineLevel="0" collapsed="false">
      <c r="B49" s="0" t="s">
        <v>18</v>
      </c>
      <c r="F49" s="0" t="s">
        <v>327</v>
      </c>
      <c r="H49" s="0" t="s">
        <v>328</v>
      </c>
      <c r="J49" s="0" t="s">
        <v>4</v>
      </c>
      <c r="N49" s="0" t="s">
        <v>327</v>
      </c>
      <c r="P49" s="0" t="s">
        <v>328</v>
      </c>
      <c r="R49" s="0" t="s">
        <v>329</v>
      </c>
    </row>
    <row r="50" customFormat="false" ht="12.75" hidden="false" customHeight="false" outlineLevel="0" collapsed="false">
      <c r="A50" s="0" t="s">
        <v>17</v>
      </c>
      <c r="B50" s="0" t="s">
        <v>318</v>
      </c>
      <c r="C50" s="0" t="s">
        <v>319</v>
      </c>
      <c r="D50" s="0" t="s">
        <v>291</v>
      </c>
      <c r="E50" s="0" t="s">
        <v>320</v>
      </c>
      <c r="F50" s="0" t="s">
        <v>330</v>
      </c>
      <c r="G50" s="0" t="s">
        <v>331</v>
      </c>
      <c r="H50" s="0" t="s">
        <v>330</v>
      </c>
      <c r="I50" s="0" t="s">
        <v>331</v>
      </c>
      <c r="J50" s="0" t="s">
        <v>318</v>
      </c>
      <c r="K50" s="0" t="s">
        <v>319</v>
      </c>
      <c r="L50" s="0" t="s">
        <v>291</v>
      </c>
      <c r="M50" s="0" t="s">
        <v>320</v>
      </c>
      <c r="N50" s="0" t="s">
        <v>330</v>
      </c>
      <c r="O50" s="0" t="s">
        <v>331</v>
      </c>
      <c r="P50" s="0" t="s">
        <v>330</v>
      </c>
      <c r="Q50" s="0" t="s">
        <v>331</v>
      </c>
      <c r="R50" s="0" t="s">
        <v>332</v>
      </c>
      <c r="S50" s="0" t="s">
        <v>333</v>
      </c>
      <c r="T50" s="0" t="s">
        <v>334</v>
      </c>
      <c r="U50" s="0" t="s">
        <v>335</v>
      </c>
      <c r="V50" s="0" t="s">
        <v>330</v>
      </c>
      <c r="W50" s="0" t="s">
        <v>331</v>
      </c>
    </row>
    <row r="51" customFormat="false" ht="12.75" hidden="false" customHeight="false" outlineLevel="0" collapsed="false">
      <c r="A51" s="0" t="n">
        <v>0</v>
      </c>
      <c r="B51" s="0" t="n">
        <f aca="false">$A51*D$45</f>
        <v>0</v>
      </c>
      <c r="C51" s="0" t="n">
        <f aca="false">$A51*E$45</f>
        <v>0</v>
      </c>
      <c r="D51" s="0" t="n">
        <f aca="false">$A51*F$45</f>
        <v>0</v>
      </c>
      <c r="E51" s="0" t="n">
        <f aca="false">$A51*G$45</f>
        <v>0</v>
      </c>
      <c r="F51" s="0" t="n">
        <f aca="false">$A51*D$10</f>
        <v>0</v>
      </c>
      <c r="G51" s="0" t="n">
        <f aca="false">$A51*E$10</f>
        <v>0</v>
      </c>
      <c r="H51" s="0" t="n">
        <f aca="false">$A51*D$27</f>
        <v>0</v>
      </c>
      <c r="I51" s="0" t="n">
        <f aca="false">$A51*E$27</f>
        <v>0</v>
      </c>
      <c r="J51" s="0" t="n">
        <f aca="false">D$39+D$40*B51+D$41*B51^2+D$42*B51^3+D$43*B51^4+D$44*B51^5</f>
        <v>1.973291</v>
      </c>
      <c r="K51" s="0" t="n">
        <f aca="false">E$39+E$40*C51+E$41*C51^2+E$42*C51^3+E$43*C51^4+E$44*C51^5</f>
        <v>0.413113</v>
      </c>
      <c r="L51" s="0" t="n">
        <f aca="false">F$39+F$40*D51+F$41*D51^2+F$42*D51^3+F$43*D51^4+F$44*D51^5</f>
        <v>1.4504</v>
      </c>
      <c r="M51" s="0" t="n">
        <f aca="false">G$39+G$40*E51+G$41*E51^2+G$42*E51^3+G$43*E51^4+G$44*E51^5</f>
        <v>508</v>
      </c>
      <c r="N51" s="0" t="n">
        <f aca="false">MAX(0,D$4+D$5*F51+D$6*F51^2+D$7*F51^3+D$8*F51^4+D$9*F51^5)</f>
        <v>1.4504</v>
      </c>
      <c r="O51" s="0" t="n">
        <f aca="false">MAX(0,E$4+E$5*G51+E$6*G51^2+E$7*G51^3+E$8*G51^4+E$9*G51^5)</f>
        <v>3.50681513702269</v>
      </c>
      <c r="P51" s="0" t="n">
        <f aca="false">MAX(0,D$21+D$22*H51+D$23*H51^2+D$24*H51^3+D$25*H51^4+D$26*H51^5)</f>
        <v>1.4504</v>
      </c>
      <c r="Q51" s="0" t="n">
        <f aca="false">MAX(0,E$21+E$22*I51+E$23*I51^2+E$24*I51^3+E$25*I51^4+E$26*I51^5)</f>
        <v>2.70937343688569</v>
      </c>
      <c r="R51" s="0" t="n">
        <f aca="false">J51/D$46</f>
        <v>1.7046322175886</v>
      </c>
      <c r="S51" s="0" t="n">
        <f aca="false">K51/E$46</f>
        <v>1.31901458068382</v>
      </c>
      <c r="T51" s="0" t="n">
        <f aca="false">L51/F$46</f>
        <v>1.40307450911226</v>
      </c>
      <c r="U51" s="0" t="n">
        <f aca="false">M51/G$46</f>
        <v>1.11401727717503</v>
      </c>
      <c r="V51" s="0" t="n">
        <f aca="false">IF(N51&gt;0,N51/D$11,"")</f>
        <v>1.40272605480907</v>
      </c>
      <c r="W51" s="0" t="n">
        <f aca="false">IF(O51&gt;0,O51/E$11,"")</f>
        <v>1.40272605480907</v>
      </c>
    </row>
    <row r="52" customFormat="false" ht="12.75" hidden="false" customHeight="false" outlineLevel="0" collapsed="false">
      <c r="A52" s="0" t="n">
        <f aca="false">A51+0.05</f>
        <v>0.05</v>
      </c>
      <c r="B52" s="0" t="n">
        <f aca="false">$A52*D$45</f>
        <v>0.00213823285845389</v>
      </c>
      <c r="C52" s="0" t="n">
        <f aca="false">$A52*E$45</f>
        <v>0.00279599013698601</v>
      </c>
      <c r="D52" s="0" t="n">
        <f aca="false">$A52*F$45</f>
        <v>0.00850347158732958</v>
      </c>
      <c r="E52" s="0" t="n">
        <f aca="false">$A52*G$45</f>
        <v>1.89350109289291E-005</v>
      </c>
      <c r="F52" s="0" t="n">
        <f aca="false">$A52*D$10</f>
        <v>0.0085</v>
      </c>
      <c r="G52" s="0" t="n">
        <f aca="false">$A52*E$10</f>
        <v>0.02</v>
      </c>
      <c r="H52" s="0" t="n">
        <f aca="false">$A52*D$27</f>
        <v>0.0085</v>
      </c>
      <c r="I52" s="0" t="n">
        <f aca="false">$A52*E$27</f>
        <v>0.0114024390243902</v>
      </c>
      <c r="J52" s="0" t="n">
        <f aca="false">D$39+D$40*B52+D$41*B52^2+D$42*B52^3+D$43*B52^4+D$44*B52^5</f>
        <v>1.67998985778764</v>
      </c>
      <c r="K52" s="0" t="n">
        <f aca="false">E$39+E$40*C52+E$41*C52^2+E$42*C52^3+E$43*C52^4+E$44*C52^5</f>
        <v>0.338537811565678</v>
      </c>
      <c r="L52" s="0" t="n">
        <f aca="false">F$39+F$40*D52+F$41*D52^2+F$42*D52^3+F$43*D52^4+F$44*D52^5</f>
        <v>1.41025932439667</v>
      </c>
      <c r="M52" s="0" t="n">
        <f aca="false">G$39+G$40*E52+G$41*E52^2+G$42*E52^3+G$43*E52^4+G$44*E52^5</f>
        <v>509.957565859526</v>
      </c>
      <c r="N52" s="0" t="n">
        <f aca="false">MAX(0,D$4+D$5*F52+D$6*F52^2+D$7*F52^3+D$8*F52^4+D$9*F52^5)</f>
        <v>1.41027554104991</v>
      </c>
      <c r="O52" s="0" t="n">
        <f aca="false">MAX(0,E$4+E$5*G52+E$6*G52^2+E$7*G52^3+E$8*G52^4+E$9*G52^5)</f>
        <v>3.40980116845469</v>
      </c>
      <c r="P52" s="0" t="n">
        <f aca="false">MAX(0,D$21+D$22*H52+D$23*H52^2+D$24*H52^3+D$25*H52^4+D$26*H52^5)</f>
        <v>1.41027554104991</v>
      </c>
      <c r="Q52" s="0" t="n">
        <f aca="false">MAX(0,E$21+E$22*I52+E$23*I52^2+E$24*I52^3+E$25*I52^4+E$26*I52^5)</f>
        <v>2.63442022173898</v>
      </c>
      <c r="R52" s="0" t="n">
        <f aca="false">J52/D$46</f>
        <v>1.45126331433474</v>
      </c>
      <c r="S52" s="0" t="n">
        <f aca="false">K52/E$46</f>
        <v>1.08090597383263</v>
      </c>
      <c r="T52" s="0" t="n">
        <f aca="false">L52/F$46</f>
        <v>1.36424359438695</v>
      </c>
      <c r="U52" s="0" t="n">
        <f aca="false">M52/G$46</f>
        <v>1.11831011612921</v>
      </c>
      <c r="V52" s="0" t="n">
        <f aca="false">IF(N52&gt;0,N52/D$11,"")</f>
        <v>1.36392046738188</v>
      </c>
      <c r="W52" s="0" t="n">
        <f aca="false">IF(O52&gt;0,O52/E$11,"")</f>
        <v>1.36392046738188</v>
      </c>
    </row>
    <row r="53" customFormat="false" ht="12.75" hidden="false" customHeight="false" outlineLevel="0" collapsed="false">
      <c r="A53" s="0" t="n">
        <f aca="false">A52+0.05</f>
        <v>0.1</v>
      </c>
      <c r="B53" s="0" t="n">
        <f aca="false">$A53*D$45</f>
        <v>0.00427646571690779</v>
      </c>
      <c r="C53" s="0" t="n">
        <f aca="false">$A53*E$45</f>
        <v>0.00559198027397203</v>
      </c>
      <c r="D53" s="0" t="n">
        <f aca="false">$A53*F$45</f>
        <v>0.0170069431746592</v>
      </c>
      <c r="E53" s="0" t="n">
        <f aca="false">$A53*G$45</f>
        <v>3.78700218578583E-005</v>
      </c>
      <c r="F53" s="0" t="n">
        <f aca="false">$A53*D$10</f>
        <v>0.017</v>
      </c>
      <c r="G53" s="0" t="n">
        <f aca="false">$A53*E$10</f>
        <v>0.04</v>
      </c>
      <c r="H53" s="0" t="n">
        <f aca="false">$A53*D$27</f>
        <v>0.017</v>
      </c>
      <c r="I53" s="0" t="n">
        <f aca="false">$A53*E$27</f>
        <v>0.0228048780487805</v>
      </c>
      <c r="J53" s="0" t="n">
        <f aca="false">D$39+D$40*B53+D$41*B53^2+D$42*B53^3+D$43*B53^4+D$44*B53^5</f>
        <v>1.43907399719042</v>
      </c>
      <c r="K53" s="0" t="n">
        <f aca="false">E$39+E$40*C53+E$41*C53^2+E$42*C53^3+E$43*C53^4+E$44*C53^5</f>
        <v>0.28484104903553</v>
      </c>
      <c r="L53" s="0" t="n">
        <f aca="false">F$39+F$40*D53+F$41*D53^2+F$42*D53^3+F$43*D53^4+F$44*D53^5</f>
        <v>1.37134403556106</v>
      </c>
      <c r="M53" s="0" t="n">
        <f aca="false">G$39+G$40*E53+G$41*E53^2+G$42*E53^3+G$43*E53^4+G$44*E53^5</f>
        <v>511.348664439691</v>
      </c>
      <c r="N53" s="0" t="n">
        <f aca="false">MAX(0,D$4+D$5*F53+D$6*F53^2+D$7*F53^3+D$8*F53^4+D$9*F53^5)</f>
        <v>1.37137501435054</v>
      </c>
      <c r="O53" s="0" t="n">
        <f aca="false">MAX(0,E$4+E$5*G53+E$6*G53^2+E$7*G53^3+E$8*G53^4+E$9*G53^5)</f>
        <v>3.31574645536346</v>
      </c>
      <c r="P53" s="0" t="n">
        <f aca="false">MAX(0,D$21+D$22*H53+D$23*H53^2+D$24*H53^3+D$25*H53^4+D$26*H53^5)</f>
        <v>1.37137501435054</v>
      </c>
      <c r="Q53" s="0" t="n">
        <f aca="false">MAX(0,E$21+E$22*I53+E$23*I53^2+E$24*I53^3+E$25*I53^4+E$26*I53^5)</f>
        <v>2.56175333417683</v>
      </c>
      <c r="R53" s="0" t="n">
        <f aca="false">J53/D$46</f>
        <v>1.24314756369172</v>
      </c>
      <c r="S53" s="0" t="n">
        <f aca="false">K53/E$46</f>
        <v>0.909459389695165</v>
      </c>
      <c r="T53" s="0" t="n">
        <f aca="false">L53/F$46</f>
        <v>1.32659808295563</v>
      </c>
      <c r="U53" s="0" t="n">
        <f aca="false">M53/G$46</f>
        <v>1.12136072213818</v>
      </c>
      <c r="V53" s="0" t="n">
        <f aca="false">IF(N53&gt;0,N53/D$11,"")</f>
        <v>1.32629858214539</v>
      </c>
      <c r="W53" s="0" t="n">
        <f aca="false">IF(O53&gt;0,O53/E$11,"")</f>
        <v>1.32629858214539</v>
      </c>
    </row>
    <row r="54" customFormat="false" ht="12.75" hidden="false" customHeight="false" outlineLevel="0" collapsed="false">
      <c r="A54" s="0" t="n">
        <f aca="false">A53+0.05</f>
        <v>0.15</v>
      </c>
      <c r="B54" s="0" t="n">
        <f aca="false">$A54*D$45</f>
        <v>0.00641469857536169</v>
      </c>
      <c r="C54" s="0" t="n">
        <f aca="false">$A54*E$45</f>
        <v>0.00838797041095804</v>
      </c>
      <c r="D54" s="0" t="n">
        <f aca="false">$A54*F$45</f>
        <v>0.0255104147619887</v>
      </c>
      <c r="E54" s="0" t="n">
        <f aca="false">$A54*G$45</f>
        <v>5.68050327867874E-005</v>
      </c>
      <c r="F54" s="0" t="n">
        <f aca="false">$A54*D$10</f>
        <v>0.0255</v>
      </c>
      <c r="G54" s="0" t="n">
        <f aca="false">$A54*E$10</f>
        <v>0.06</v>
      </c>
      <c r="H54" s="0" t="n">
        <f aca="false">$A54*D$27</f>
        <v>0.0255</v>
      </c>
      <c r="I54" s="0" t="n">
        <f aca="false">$A54*E$27</f>
        <v>0.0342073170731707</v>
      </c>
      <c r="J54" s="0" t="n">
        <f aca="false">D$39+D$40*B54+D$41*B54^2+D$42*B54^3+D$43*B54^4+D$44*B54^5</f>
        <v>1.24624265809208</v>
      </c>
      <c r="K54" s="0" t="n">
        <f aca="false">E$39+E$40*C54+E$41*C54^2+E$42*C54^3+E$43*C54^4+E$44*C54^5</f>
        <v>0.248592372052011</v>
      </c>
      <c r="L54" s="0" t="n">
        <f aca="false">F$39+F$40*D54+F$41*D54^2+F$42*D54^3+F$43*D54^4+F$44*D54^5</f>
        <v>1.33467289017886</v>
      </c>
      <c r="M54" s="0" t="n">
        <f aca="false">G$39+G$40*E54+G$41*E54^2+G$42*E54^3+G$43*E54^4+G$44*E54^5</f>
        <v>512.094280438824</v>
      </c>
      <c r="N54" s="0" t="n">
        <f aca="false">MAX(0,D$4+D$5*F54+D$6*F54^2+D$7*F54^3+D$8*F54^4+D$9*F54^5)</f>
        <v>1.33471610081144</v>
      </c>
      <c r="O54" s="0" t="n">
        <f aca="false">MAX(0,E$4+E$5*G54+E$6*G54^2+E$7*G54^3+E$8*G54^4+E$9*G54^5)</f>
        <v>3.22711157332699</v>
      </c>
      <c r="P54" s="0" t="n">
        <f aca="false">MAX(0,D$21+D$22*H54+D$23*H54^2+D$24*H54^3+D$25*H54^4+D$26*H54^5)</f>
        <v>1.33471610081144</v>
      </c>
      <c r="Q54" s="0" t="n">
        <f aca="false">MAX(0,E$21+E$22*I54+E$23*I54^2+E$24*I54^3+E$25*I54^4+E$26*I54^5)</f>
        <v>2.49327382054755</v>
      </c>
      <c r="R54" s="0" t="n">
        <f aca="false">J54/D$46</f>
        <v>1.0765697435994</v>
      </c>
      <c r="S54" s="0" t="n">
        <f aca="false">K54/E$46</f>
        <v>0.793722210105659</v>
      </c>
      <c r="T54" s="0" t="n">
        <f aca="false">L54/F$46</f>
        <v>1.29112349021866</v>
      </c>
      <c r="U54" s="0" t="n">
        <f aca="false">M54/G$46</f>
        <v>1.1229958188019</v>
      </c>
      <c r="V54" s="0" t="n">
        <f aca="false">IF(N54&gt;0,N54/D$11,"")</f>
        <v>1.2908446293308</v>
      </c>
      <c r="W54" s="0" t="n">
        <f aca="false">IF(O54&gt;0,O54/E$11,"")</f>
        <v>1.2908446293308</v>
      </c>
    </row>
    <row r="55" customFormat="false" ht="12.75" hidden="false" customHeight="false" outlineLevel="0" collapsed="false">
      <c r="A55" s="0" t="n">
        <f aca="false">A54+0.05</f>
        <v>0.2</v>
      </c>
      <c r="B55" s="0" t="n">
        <f aca="false">$A55*D$45</f>
        <v>0.00855293143381558</v>
      </c>
      <c r="C55" s="0" t="n">
        <f aca="false">$A55*E$45</f>
        <v>0.0111839605479441</v>
      </c>
      <c r="D55" s="0" t="n">
        <f aca="false">$A55*F$45</f>
        <v>0.0340138863493183</v>
      </c>
      <c r="E55" s="0" t="n">
        <f aca="false">$A55*G$45</f>
        <v>7.57400437157166E-005</v>
      </c>
      <c r="F55" s="0" t="n">
        <f aca="false">$A55*D$10</f>
        <v>0.034</v>
      </c>
      <c r="G55" s="0" t="n">
        <f aca="false">$A55*E$10</f>
        <v>0.08</v>
      </c>
      <c r="H55" s="0" t="n">
        <f aca="false">$A55*D$27</f>
        <v>0.034</v>
      </c>
      <c r="I55" s="0" t="n">
        <f aca="false">$A55*E$27</f>
        <v>0.045609756097561</v>
      </c>
      <c r="J55" s="0" t="n">
        <f aca="false">D$39+D$40*B55+D$41*B55^2+D$42*B55^3+D$43*B55^4+D$44*B55^5</f>
        <v>1.09719508037635</v>
      </c>
      <c r="K55" s="0" t="n">
        <f aca="false">E$39+E$40*C55+E$41*C55^2+E$42*C55^3+E$43*C55^4+E$44*C55^5</f>
        <v>0.226685961625382</v>
      </c>
      <c r="L55" s="0" t="n">
        <f aca="false">F$39+F$40*D55+F$41*D55^2+F$42*D55^3+F$43*D55^4+F$44*D55^5</f>
        <v>1.30099114806143</v>
      </c>
      <c r="M55" s="0" t="n">
        <f aca="false">G$39+G$40*E55+G$41*E55^2+G$42*E55^3+G$43*E55^4+G$44*E55^5</f>
        <v>512.177396759882</v>
      </c>
      <c r="N55" s="0" t="n">
        <f aca="false">MAX(0,D$4+D$5*F55+D$6*F55^2+D$7*F55^3+D$8*F55^4+D$9*F55^5)</f>
        <v>1.30104341415162</v>
      </c>
      <c r="O55" s="0" t="n">
        <f aca="false">MAX(0,E$4+E$5*G55+E$6*G55^2+E$7*G55^3+E$8*G55^4+E$9*G55^5)</f>
        <v>3.14569686891243</v>
      </c>
      <c r="P55" s="0" t="n">
        <f aca="false">MAX(0,D$21+D$22*H55+D$23*H55^2+D$24*H55^3+D$25*H55^4+D$26*H55^5)</f>
        <v>1.30104341415162</v>
      </c>
      <c r="Q55" s="0" t="n">
        <f aca="false">MAX(0,E$21+E$22*I55+E$23*I55^2+E$24*I55^3+E$25*I55^4+E$26*I55^5)</f>
        <v>2.43037263274784</v>
      </c>
      <c r="R55" s="0" t="n">
        <f aca="false">J55/D$46</f>
        <v>0.947814631997631</v>
      </c>
      <c r="S55" s="0" t="n">
        <f aca="false">K55/E$46</f>
        <v>0.723777970241101</v>
      </c>
      <c r="T55" s="0" t="n">
        <f aca="false">L55/F$46</f>
        <v>1.25854075870497</v>
      </c>
      <c r="U55" s="0" t="n">
        <f aca="false">M55/G$46</f>
        <v>1.12317808852173</v>
      </c>
      <c r="V55" s="0" t="n">
        <f aca="false">IF(N55&gt;0,N55/D$11,"")</f>
        <v>1.25827874756497</v>
      </c>
      <c r="W55" s="0" t="n">
        <f aca="false">IF(O55&gt;0,O55/E$11,"")</f>
        <v>1.25827874756497</v>
      </c>
    </row>
    <row r="56" customFormat="false" ht="12.75" hidden="false" customHeight="false" outlineLevel="0" collapsed="false">
      <c r="A56" s="0" t="n">
        <f aca="false">A55+0.05</f>
        <v>0.25</v>
      </c>
      <c r="B56" s="0" t="n">
        <f aca="false">$A56*D$45</f>
        <v>0.0106911642922695</v>
      </c>
      <c r="C56" s="0" t="n">
        <f aca="false">$A56*E$45</f>
        <v>0.0139799506849301</v>
      </c>
      <c r="D56" s="0" t="n">
        <f aca="false">$A56*F$45</f>
        <v>0.0425173579366479</v>
      </c>
      <c r="E56" s="0" t="n">
        <f aca="false">$A56*G$45</f>
        <v>9.46750546446457E-005</v>
      </c>
      <c r="F56" s="0" t="n">
        <f aca="false">$A56*D$10</f>
        <v>0.0425</v>
      </c>
      <c r="G56" s="0" t="n">
        <f aca="false">$A56*E$10</f>
        <v>0.1</v>
      </c>
      <c r="H56" s="0" t="n">
        <f aca="false">$A56*D$27</f>
        <v>0.0425</v>
      </c>
      <c r="I56" s="0" t="n">
        <f aca="false">$A56*E$27</f>
        <v>0.0570121951219512</v>
      </c>
      <c r="J56" s="0" t="n">
        <f aca="false">D$39+D$40*B56+D$41*B56^2+D$42*B56^3+D$43*B56^4+D$44*B56^5</f>
        <v>0.987630503926975</v>
      </c>
      <c r="K56" s="0" t="n">
        <f aca="false">E$39+E$40*C56+E$41*C56^2+E$42*C56^3+E$43*C56^4+E$44*C56^5</f>
        <v>0.21632523182316</v>
      </c>
      <c r="L56" s="0" t="n">
        <f aca="false">F$39+F$40*D56+F$41*D56^2+F$42*D56^3+F$43*D56^4+F$44*D56^5</f>
        <v>1.27079102039197</v>
      </c>
      <c r="M56" s="0" t="n">
        <f aca="false">G$39+G$40*E56+G$41*E56^2+G$42*E56^3+G$43*E56^4+G$44*E56^5</f>
        <v>511.630493278428</v>
      </c>
      <c r="N56" s="0" t="n">
        <f aca="false">MAX(0,D$4+D$5*F56+D$6*F56^2+D$7*F56^3+D$8*F56^4+D$9*F56^5)</f>
        <v>1.27084890743928</v>
      </c>
      <c r="O56" s="0" t="n">
        <f aca="false">MAX(0,E$4+E$5*G56+E$6*G56^2+E$7*G56^3+E$8*G56^4+E$9*G56^5)</f>
        <v>3.07269179914286</v>
      </c>
      <c r="P56" s="0" t="n">
        <f aca="false">MAX(0,D$21+D$22*H56+D$23*H56^2+D$24*H56^3+D$25*H56^4+D$26*H56^5)</f>
        <v>1.27084890743928</v>
      </c>
      <c r="Q56" s="0" t="n">
        <f aca="false">MAX(0,E$21+E$22*I56+E$23*I56^2+E$24*I56^3+E$25*I56^4+E$26*I56^5)</f>
        <v>2.37396874800826</v>
      </c>
      <c r="R56" s="0" t="n">
        <f aca="false">J56/D$46</f>
        <v>0.853167006826253</v>
      </c>
      <c r="S56" s="0" t="n">
        <f aca="false">K56/E$46</f>
        <v>0.690697545089493</v>
      </c>
      <c r="T56" s="0" t="n">
        <f aca="false">L56/F$46</f>
        <v>1.22932603910695</v>
      </c>
      <c r="U56" s="0" t="n">
        <f aca="false">M56/G$46</f>
        <v>1.12197875795621</v>
      </c>
      <c r="V56" s="0" t="n">
        <f aca="false">IF(N56&gt;0,N56/D$11,"")</f>
        <v>1.22907671965714</v>
      </c>
      <c r="W56" s="0" t="n">
        <f aca="false">IF(O56&gt;0,O56/E$11,"")</f>
        <v>1.22907671965714</v>
      </c>
    </row>
    <row r="57" customFormat="false" ht="12.75" hidden="false" customHeight="false" outlineLevel="0" collapsed="false">
      <c r="A57" s="0" t="n">
        <f aca="false">A56+0.05</f>
        <v>0.3</v>
      </c>
      <c r="B57" s="0" t="n">
        <f aca="false">$A57*D$45</f>
        <v>0.0128293971507234</v>
      </c>
      <c r="C57" s="0" t="n">
        <f aca="false">$A57*E$45</f>
        <v>0.0167759408219161</v>
      </c>
      <c r="D57" s="0" t="n">
        <f aca="false">$A57*F$45</f>
        <v>0.0510208295239775</v>
      </c>
      <c r="E57" s="0" t="n">
        <f aca="false">$A57*G$45</f>
        <v>0.000113610065573575</v>
      </c>
      <c r="F57" s="0" t="n">
        <f aca="false">$A57*D$10</f>
        <v>0.051</v>
      </c>
      <c r="G57" s="0" t="n">
        <f aca="false">$A57*E$10</f>
        <v>0.12</v>
      </c>
      <c r="H57" s="0" t="n">
        <f aca="false">$A57*D$27</f>
        <v>0.051</v>
      </c>
      <c r="I57" s="0" t="n">
        <f aca="false">$A57*E$27</f>
        <v>0.0684146341463415</v>
      </c>
      <c r="J57" s="0" t="n">
        <f aca="false">D$39+D$40*B57+D$41*B57^2+D$42*B57^3+D$43*B57^4+D$44*B57^5</f>
        <v>0.913248168627694</v>
      </c>
      <c r="K57" s="0" t="n">
        <f aca="false">E$39+E$40*C57+E$41*C57^2+E$42*C57^3+E$43*C57^4+E$44*C57^5</f>
        <v>0.215007541459563</v>
      </c>
      <c r="L57" s="0" t="n">
        <f aca="false">F$39+F$40*D57+F$41*D57^2+F$42*D57^3+F$43*D57^4+F$44*D57^5</f>
        <v>1.24433211797176</v>
      </c>
      <c r="M57" s="0" t="n">
        <f aca="false">G$39+G$40*E57+G$41*E57^2+G$42*E57^3+G$43*E57^4+G$44*E57^5</f>
        <v>510.523045610613</v>
      </c>
      <c r="N57" s="0" t="n">
        <f aca="false">MAX(0,D$4+D$5*F57+D$6*F57^2+D$7*F57^3+D$8*F57^4+D$9*F57^5)</f>
        <v>1.24439227963158</v>
      </c>
      <c r="O57" s="0" t="n">
        <f aca="false">MAX(0,E$4+E$5*G57+E$6*G57^2+E$7*G57^3+E$8*G57^4+E$9*G57^5)</f>
        <v>3.00872427096401</v>
      </c>
      <c r="P57" s="0" t="n">
        <f aca="false">MAX(0,D$21+D$22*H57+D$23*H57^2+D$24*H57^3+D$25*H57^4+D$26*H57^5)</f>
        <v>1.24439227963158</v>
      </c>
      <c r="Q57" s="0" t="n">
        <f aca="false">MAX(0,E$21+E$22*I57+E$23*I57^2+E$24*I57^3+E$25*I57^4+E$26*I57^5)</f>
        <v>2.3245472886786</v>
      </c>
      <c r="R57" s="0" t="n">
        <f aca="false">J57/D$46</f>
        <v>0.788911646025118</v>
      </c>
      <c r="S57" s="0" t="n">
        <f aca="false">K57/E$46</f>
        <v>0.686490335918126</v>
      </c>
      <c r="T57" s="0" t="n">
        <f aca="false">L57/F$46</f>
        <v>1.20373047131539</v>
      </c>
      <c r="U57" s="0" t="n">
        <f aca="false">M57/G$46</f>
        <v>1.11955018347685</v>
      </c>
      <c r="V57" s="0" t="n">
        <f aca="false">IF(N57&gt;0,N57/D$11,"")</f>
        <v>1.2034897083856</v>
      </c>
      <c r="W57" s="0" t="n">
        <f aca="false">IF(O57&gt;0,O57/E$11,"")</f>
        <v>1.2034897083856</v>
      </c>
    </row>
    <row r="58" customFormat="false" ht="12.75" hidden="false" customHeight="false" outlineLevel="0" collapsed="false">
      <c r="A58" s="0" t="n">
        <f aca="false">A57+0.05</f>
        <v>0.35</v>
      </c>
      <c r="B58" s="0" t="n">
        <f aca="false">$A58*D$45</f>
        <v>0.0149676300091773</v>
      </c>
      <c r="C58" s="0" t="n">
        <f aca="false">$A58*E$45</f>
        <v>0.0195719309589021</v>
      </c>
      <c r="D58" s="0" t="n">
        <f aca="false">$A58*F$45</f>
        <v>0.059524301111307</v>
      </c>
      <c r="E58" s="0" t="n">
        <f aca="false">$A58*G$45</f>
        <v>0.000132545076502504</v>
      </c>
      <c r="F58" s="0" t="n">
        <f aca="false">$A58*D$10</f>
        <v>0.0595</v>
      </c>
      <c r="G58" s="0" t="n">
        <f aca="false">$A58*E$10</f>
        <v>0.14</v>
      </c>
      <c r="H58" s="0" t="n">
        <f aca="false">$A58*D$27</f>
        <v>0.0595</v>
      </c>
      <c r="I58" s="0" t="n">
        <f aca="false">$A58*E$27</f>
        <v>0.0798170731707317</v>
      </c>
      <c r="J58" s="0" t="n">
        <f aca="false">D$39+D$40*B58+D$41*B58^2+D$42*B58^3+D$43*B58^4+D$44*B58^5</f>
        <v>0.869747314362246</v>
      </c>
      <c r="K58" s="0" t="n">
        <f aca="false">E$39+E$40*C58+E$41*C58^2+E$42*C58^3+E$43*C58^4+E$44*C58^5</f>
        <v>0.22050890578496</v>
      </c>
      <c r="L58" s="0" t="n">
        <f aca="false">F$39+F$40*D58+F$41*D58^2+F$42*D58^3+F$43*D58^4+F$44*D58^5</f>
        <v>1.22166189946641</v>
      </c>
      <c r="M58" s="0" t="n">
        <f aca="false">G$39+G$40*E58+G$41*E58^2+G$42*E58^3+G$43*E58^4+G$44*E58^5</f>
        <v>508.94902388115</v>
      </c>
      <c r="N58" s="0" t="n">
        <f aca="false">MAX(0,D$4+D$5*F58+D$6*F58^2+D$7*F58^3+D$8*F58^4+D$9*F58^5)</f>
        <v>1.22172138211445</v>
      </c>
      <c r="O58" s="0" t="n">
        <f aca="false">MAX(0,E$4+E$5*G58+E$6*G58^2+E$7*G58^3+E$8*G58^4+E$9*G58^5)</f>
        <v>2.95390998071101</v>
      </c>
      <c r="P58" s="0" t="n">
        <f aca="false">MAX(0,D$21+D$22*H58+D$23*H58^2+D$24*H58^3+D$25*H58^4+D$26*H58^5)</f>
        <v>1.22172138211445</v>
      </c>
      <c r="Q58" s="0" t="n">
        <f aca="false">MAX(0,E$21+E$22*I58+E$23*I58^2+E$24*I58^3+E$25*I58^4+E$26*I58^5)</f>
        <v>2.28219764201336</v>
      </c>
      <c r="R58" s="0" t="n">
        <f aca="false">J58/D$46</f>
        <v>0.751333327534075</v>
      </c>
      <c r="S58" s="0" t="n">
        <f aca="false">K58/E$46</f>
        <v>0.704055456741853</v>
      </c>
      <c r="T58" s="0" t="n">
        <f aca="false">L58/F$46</f>
        <v>1.18179996545434</v>
      </c>
      <c r="U58" s="0" t="n">
        <f aca="false">M58/G$46</f>
        <v>1.11609843662395</v>
      </c>
      <c r="V58" s="0" t="n">
        <f aca="false">IF(N58&gt;0,N58/D$11,"")</f>
        <v>1.1815639922844</v>
      </c>
      <c r="W58" s="0" t="n">
        <f aca="false">IF(O58&gt;0,O58/E$11,"")</f>
        <v>1.1815639922844</v>
      </c>
    </row>
    <row r="59" customFormat="false" ht="12.75" hidden="false" customHeight="false" outlineLevel="0" collapsed="false">
      <c r="A59" s="0" t="n">
        <f aca="false">A58+0.05</f>
        <v>0.4</v>
      </c>
      <c r="B59" s="0" t="n">
        <f aca="false">$A59*D$45</f>
        <v>0.0171058628676312</v>
      </c>
      <c r="C59" s="0" t="n">
        <f aca="false">$A59*E$45</f>
        <v>0.0223679210958881</v>
      </c>
      <c r="D59" s="0" t="n">
        <f aca="false">$A59*F$45</f>
        <v>0.0680277726986366</v>
      </c>
      <c r="E59" s="0" t="n">
        <f aca="false">$A59*G$45</f>
        <v>0.000151480087431433</v>
      </c>
      <c r="F59" s="0" t="n">
        <f aca="false">$A59*D$10</f>
        <v>0.068</v>
      </c>
      <c r="G59" s="0" t="n">
        <f aca="false">$A59*E$10</f>
        <v>0.16</v>
      </c>
      <c r="H59" s="0" t="n">
        <f aca="false">$A59*D$27</f>
        <v>0.068</v>
      </c>
      <c r="I59" s="0" t="n">
        <f aca="false">$A59*E$27</f>
        <v>0.091219512195122</v>
      </c>
      <c r="J59" s="0" t="n">
        <f aca="false">D$39+D$40*B59+D$41*B59^2+D$42*B59^3+D$43*B59^4+D$44*B59^5</f>
        <v>0.85282718101437</v>
      </c>
      <c r="K59" s="0" t="n">
        <f aca="false">E$39+E$40*C59+E$41*C59^2+E$42*C59^3+E$43*C59^4+E$44*C59^5</f>
        <v>0.230868708175318</v>
      </c>
      <c r="L59" s="0" t="n">
        <f aca="false">F$39+F$40*D59+F$41*D59^2+F$42*D59^3+F$43*D59^4+F$44*D59^5</f>
        <v>1.20263611965206</v>
      </c>
      <c r="M59" s="0" t="n">
        <f aca="false">G$39+G$40*E59+G$41*E59^2+G$42*E59^3+G$43*E59^4+G$44*E59^5</f>
        <v>507.014391491299</v>
      </c>
      <c r="N59" s="0" t="n">
        <f aca="false">MAX(0,D$4+D$5*F59+D$6*F59^2+D$7*F59^3+D$8*F59^4+D$9*F59^5)</f>
        <v>1.20269262524232</v>
      </c>
      <c r="O59" s="0" t="n">
        <f aca="false">MAX(0,E$4+E$5*G59+E$6*G59^2+E$7*G59^3+E$8*G59^4+E$9*G59^5)</f>
        <v>2.90790175357509</v>
      </c>
      <c r="P59" s="0" t="n">
        <f aca="false">MAX(0,D$21+D$22*H59+D$23*H59^2+D$24*H59^3+D$25*H59^4+D$26*H59^5)</f>
        <v>1.20269262524232</v>
      </c>
      <c r="Q59" s="0" t="n">
        <f aca="false">MAX(0,E$21+E$22*I59+E$23*I59^2+E$24*I59^3+E$25*I59^4+E$26*I59^5)</f>
        <v>2.24665157995715</v>
      </c>
      <c r="R59" s="0" t="n">
        <f aca="false">J59/D$46</f>
        <v>0.736716829292972</v>
      </c>
      <c r="S59" s="0" t="n">
        <f aca="false">K59/E$46</f>
        <v>0.737132920791362</v>
      </c>
      <c r="T59" s="0" t="n">
        <f aca="false">L59/F$46</f>
        <v>1.16339498291608</v>
      </c>
      <c r="U59" s="0" t="n">
        <f aca="false">M59/G$46</f>
        <v>1.11185588956239</v>
      </c>
      <c r="V59" s="0" t="n">
        <f aca="false">IF(N59&gt;0,N59/D$11,"")</f>
        <v>1.16316070143004</v>
      </c>
      <c r="W59" s="0" t="n">
        <f aca="false">IF(O59&gt;0,O59/E$11,"")</f>
        <v>1.16316070143004</v>
      </c>
    </row>
    <row r="60" customFormat="false" ht="12.75" hidden="false" customHeight="false" outlineLevel="0" collapsed="false">
      <c r="A60" s="0" t="n">
        <f aca="false">A59+0.05</f>
        <v>0.45</v>
      </c>
      <c r="B60" s="0" t="n">
        <f aca="false">$A60*D$45</f>
        <v>0.0192440957260851</v>
      </c>
      <c r="C60" s="0" t="n">
        <f aca="false">$A60*E$45</f>
        <v>0.0251639112328741</v>
      </c>
      <c r="D60" s="0" t="n">
        <f aca="false">$A60*F$45</f>
        <v>0.0765312442859662</v>
      </c>
      <c r="E60" s="0" t="n">
        <f aca="false">$A60*G$45</f>
        <v>0.000170415098360362</v>
      </c>
      <c r="F60" s="0" t="n">
        <f aca="false">$A60*D$10</f>
        <v>0.0765</v>
      </c>
      <c r="G60" s="0" t="n">
        <f aca="false">$A60*E$10</f>
        <v>0.18</v>
      </c>
      <c r="H60" s="0" t="n">
        <f aca="false">$A60*D$27</f>
        <v>0.0765</v>
      </c>
      <c r="I60" s="0" t="n">
        <f aca="false">$A60*E$27</f>
        <v>0.102621951219512</v>
      </c>
      <c r="J60" s="0" t="n">
        <f aca="false">D$39+D$40*B60+D$41*B60^2+D$42*B60^3+D$43*B60^4+D$44*B60^5</f>
        <v>0.858187008467806</v>
      </c>
      <c r="K60" s="0" t="n">
        <f aca="false">E$39+E$40*C60+E$41*C60^2+E$42*C60^3+E$43*C60^4+E$44*C60^5</f>
        <v>0.24437441182165</v>
      </c>
      <c r="L60" s="0" t="n">
        <f aca="false">F$39+F$40*D60+F$41*D60^2+F$42*D60^3+F$43*D60^4+F$44*D60^5</f>
        <v>1.18693927766162</v>
      </c>
      <c r="M60" s="0" t="n">
        <f aca="false">G$39+G$40*E60+G$41*E60^2+G$42*E60^3+G$43*E60^4+G$44*E60^5</f>
        <v>504.824603886844</v>
      </c>
      <c r="N60" s="0" t="n">
        <f aca="false">MAX(0,D$4+D$5*F60+D$6*F60^2+D$7*F60^3+D$8*F60^4+D$9*F60^5)</f>
        <v>1.18699138487787</v>
      </c>
      <c r="O60" s="0" t="n">
        <f aca="false">MAX(0,E$4+E$5*G60+E$6*G60^2+E$7*G60^3+E$8*G60^4+E$9*G60^5)</f>
        <v>2.86993888307036</v>
      </c>
      <c r="P60" s="0" t="n">
        <f aca="false">MAX(0,D$21+D$22*H60+D$23*H60^2+D$24*H60^3+D$25*H60^4+D$26*H60^5)</f>
        <v>1.18699138487787</v>
      </c>
      <c r="Q60" s="0" t="n">
        <f aca="false">MAX(0,E$21+E$22*I60+E$23*I60^2+E$24*I60^3+E$25*I60^4+E$26*I60^5)</f>
        <v>2.21732137893014</v>
      </c>
      <c r="R60" s="0" t="n">
        <f aca="false">J60/D$46</f>
        <v>0.741346929241658</v>
      </c>
      <c r="S60" s="0" t="n">
        <f aca="false">K60/E$46</f>
        <v>0.780254826981452</v>
      </c>
      <c r="T60" s="0" t="n">
        <f aca="false">L60/F$46</f>
        <v>1.14821031739598</v>
      </c>
      <c r="U60" s="0" t="n">
        <f aca="false">M60/G$46</f>
        <v>1.10705380053737</v>
      </c>
      <c r="V60" s="0" t="n">
        <f aca="false">IF(N60&gt;0,N60/D$11,"")</f>
        <v>1.14797555322814</v>
      </c>
      <c r="W60" s="0" t="n">
        <f aca="false">IF(O60&gt;0,O60/E$11,"")</f>
        <v>1.14797555322814</v>
      </c>
    </row>
    <row r="61" customFormat="false" ht="12.75" hidden="false" customHeight="false" outlineLevel="0" collapsed="false">
      <c r="A61" s="0" t="n">
        <f aca="false">A60+0.05</f>
        <v>0.5</v>
      </c>
      <c r="B61" s="0" t="n">
        <f aca="false">$A61*D$45</f>
        <v>0.0213823285845389</v>
      </c>
      <c r="C61" s="0" t="n">
        <f aca="false">$A61*E$45</f>
        <v>0.0279599013698601</v>
      </c>
      <c r="D61" s="0" t="n">
        <f aca="false">$A61*F$45</f>
        <v>0.0850347158732957</v>
      </c>
      <c r="E61" s="0" t="n">
        <f aca="false">$A61*G$45</f>
        <v>0.000189350109289291</v>
      </c>
      <c r="F61" s="0" t="n">
        <f aca="false">$A61*D$10</f>
        <v>0.085</v>
      </c>
      <c r="G61" s="0" t="n">
        <f aca="false">$A61*E$10</f>
        <v>0.2</v>
      </c>
      <c r="H61" s="0" t="n">
        <f aca="false">$A61*D$27</f>
        <v>0.085</v>
      </c>
      <c r="I61" s="0" t="n">
        <f aca="false">$A61*E$27</f>
        <v>0.114024390243902</v>
      </c>
      <c r="J61" s="0" t="n">
        <f aca="false">D$39+D$40*B61+D$41*B61^2+D$42*B61^3+D$43*B61^4+D$44*B61^5</f>
        <v>0.881526036606293</v>
      </c>
      <c r="K61" s="0" t="n">
        <f aca="false">E$39+E$40*C61+E$41*C61^2+E$42*C61^3+E$43*C61^4+E$44*C61^5</f>
        <v>0.259546271419463</v>
      </c>
      <c r="L61" s="0" t="n">
        <f aca="false">F$39+F$40*D61+F$41*D61^2+F$42*D61^3+F$43*D61^4+F$44*D61^5</f>
        <v>1.17410506523096</v>
      </c>
      <c r="M61" s="0" t="n">
        <f aca="false">G$39+G$40*E61+G$41*E61^2+G$42*E61^3+G$43*E61^4+G$44*E61^5</f>
        <v>502.472107326072</v>
      </c>
      <c r="N61" s="0" t="n">
        <f aca="false">MAX(0,D$4+D$5*F61+D$6*F61^2+D$7*F61^3+D$8*F61^4+D$9*F61^5)</f>
        <v>1.17415240893188</v>
      </c>
      <c r="O61" s="0" t="n">
        <f aca="false">MAX(0,E$4+E$5*G61+E$6*G61^2+E$7*G61^3+E$8*G61^4+E$9*G61^5)</f>
        <v>2.83889647050052</v>
      </c>
      <c r="P61" s="0" t="n">
        <f aca="false">MAX(0,D$21+D$22*H61+D$23*H61^2+D$24*H61^3+D$25*H61^4+D$26*H61^5)</f>
        <v>1.17415240893188</v>
      </c>
      <c r="Q61" s="0" t="n">
        <f aca="false">MAX(0,E$21+E$22*I61+E$23*I61^2+E$24*I61^3+E$25*I61^4+E$26*I61^5)</f>
        <v>2.19333793961346</v>
      </c>
      <c r="R61" s="0" t="n">
        <f aca="false">J61/D$46</f>
        <v>0.761508405319982</v>
      </c>
      <c r="S61" s="0" t="n">
        <f aca="false">K61/E$46</f>
        <v>0.8286965463793</v>
      </c>
      <c r="T61" s="0" t="n">
        <f aca="false">L61/F$46</f>
        <v>1.13579487592743</v>
      </c>
      <c r="U61" s="0" t="n">
        <f aca="false">M61/G$46</f>
        <v>1.1018948993303</v>
      </c>
      <c r="V61" s="0" t="n">
        <f aca="false">IF(N61&gt;0,N61/D$11,"")</f>
        <v>1.13555858820021</v>
      </c>
      <c r="W61" s="0" t="n">
        <f aca="false">IF(O61&gt;0,O61/E$11,"")</f>
        <v>1.13555858820021</v>
      </c>
    </row>
    <row r="62" customFormat="false" ht="12.75" hidden="false" customHeight="false" outlineLevel="0" collapsed="false">
      <c r="A62" s="0" t="n">
        <f aca="false">A61+0.05</f>
        <v>0.55</v>
      </c>
      <c r="B62" s="0" t="n">
        <f aca="false">$A62*D$45</f>
        <v>0.0235205614429928</v>
      </c>
      <c r="C62" s="0" t="n">
        <f aca="false">$A62*E$45</f>
        <v>0.0307558915068462</v>
      </c>
      <c r="D62" s="0" t="n">
        <f aca="false">$A62*F$45</f>
        <v>0.0935381874606253</v>
      </c>
      <c r="E62" s="0" t="n">
        <f aca="false">$A62*G$45</f>
        <v>0.000208285120218221</v>
      </c>
      <c r="F62" s="0" t="n">
        <f aca="false">$A62*D$10</f>
        <v>0.0935</v>
      </c>
      <c r="G62" s="0" t="n">
        <f aca="false">$A62*E$10</f>
        <v>0.22</v>
      </c>
      <c r="H62" s="0" t="n">
        <f aca="false">$A62*D$27</f>
        <v>0.0935</v>
      </c>
      <c r="I62" s="0" t="n">
        <f aca="false">$A62*E$27</f>
        <v>0.125426829268293</v>
      </c>
      <c r="J62" s="0" t="n">
        <f aca="false">D$39+D$40*B62+D$41*B62^2+D$42*B62^3+D$43*B62^4+D$44*B62^5</f>
        <v>0.91854350531357</v>
      </c>
      <c r="K62" s="0" t="n">
        <f aca="false">E$39+E$40*C62+E$41*C62^2+E$42*C62^3+E$43*C62^4+E$44*C62^5</f>
        <v>0.275122044858207</v>
      </c>
      <c r="L62" s="0" t="n">
        <f aca="false">F$39+F$40*D62+F$41*D62^2+F$42*D62^3+F$43*D62^4+F$44*D62^5</f>
        <v>1.1635368149452</v>
      </c>
      <c r="M62" s="0" t="n">
        <f aca="false">G$39+G$40*E62+G$41*E62^2+G$42*E62^3+G$43*E62^4+G$44*E62^5</f>
        <v>500.023837647754</v>
      </c>
      <c r="N62" s="0" t="n">
        <f aca="false">MAX(0,D$4+D$5*F62+D$6*F62^2+D$7*F62^3+D$8*F62^4+D$9*F62^5)</f>
        <v>1.16358022390288</v>
      </c>
      <c r="O62" s="0" t="n">
        <f aca="false">MAX(0,E$4+E$5*G62+E$6*G62^2+E$7*G62^3+E$8*G62^4+E$9*G62^5)</f>
        <v>2.81333476442559</v>
      </c>
      <c r="P62" s="0" t="n">
        <f aca="false">MAX(0,D$21+D$22*H62+D$23*H62^2+D$24*H62^3+D$25*H62^4+D$26*H62^5)</f>
        <v>1.16358022390288</v>
      </c>
      <c r="Q62" s="0" t="n">
        <f aca="false">MAX(0,E$21+E$22*I62+E$23*I62^2+E$24*I62^3+E$25*I62^4+E$26*I62^5)</f>
        <v>2.17358890673468</v>
      </c>
      <c r="R62" s="0" t="n">
        <f aca="false">J62/D$46</f>
        <v>0.793486035467792</v>
      </c>
      <c r="S62" s="0" t="n">
        <f aca="false">K62/E$46</f>
        <v>0.878427908672742</v>
      </c>
      <c r="T62" s="0" t="n">
        <f aca="false">L62/F$46</f>
        <v>1.12557145991676</v>
      </c>
      <c r="U62" s="0" t="n">
        <f aca="false">M62/G$46</f>
        <v>1.09652597271449</v>
      </c>
      <c r="V62" s="0" t="n">
        <f aca="false">IF(N62&gt;0,N62/D$11,"")</f>
        <v>1.12533390577024</v>
      </c>
      <c r="W62" s="0" t="n">
        <f aca="false">IF(O62&gt;0,O62/E$11,"")</f>
        <v>1.12533390577024</v>
      </c>
    </row>
    <row r="63" customFormat="false" ht="12.75" hidden="false" customHeight="false" outlineLevel="0" collapsed="false">
      <c r="A63" s="0" t="n">
        <f aca="false">A62+0.05</f>
        <v>0.6</v>
      </c>
      <c r="B63" s="0" t="n">
        <f aca="false">$A63*D$45</f>
        <v>0.0256587943014467</v>
      </c>
      <c r="C63" s="0" t="n">
        <f aca="false">$A63*E$45</f>
        <v>0.0335518816438322</v>
      </c>
      <c r="D63" s="0" t="n">
        <f aca="false">$A63*F$45</f>
        <v>0.102041659047955</v>
      </c>
      <c r="E63" s="0" t="n">
        <f aca="false">$A63*G$45</f>
        <v>0.00022722013114715</v>
      </c>
      <c r="F63" s="0" t="n">
        <f aca="false">$A63*D$10</f>
        <v>0.102</v>
      </c>
      <c r="G63" s="0" t="n">
        <f aca="false">$A63*E$10</f>
        <v>0.24</v>
      </c>
      <c r="H63" s="0" t="n">
        <f aca="false">$A63*D$27</f>
        <v>0.102</v>
      </c>
      <c r="I63" s="0" t="n">
        <f aca="false">$A63*E$27</f>
        <v>0.136829268292683</v>
      </c>
      <c r="J63" s="0" t="n">
        <f aca="false">D$39+D$40*B63+D$41*B63^2+D$42*B63^3+D$43*B63^4+D$44*B63^5</f>
        <v>0.964938654473376</v>
      </c>
      <c r="K63" s="0" t="n">
        <f aca="false">E$39+E$40*C63+E$41*C63^2+E$42*C63^3+E$43*C63^4+E$44*C63^5</f>
        <v>0.29004170491072</v>
      </c>
      <c r="L63" s="0" t="n">
        <f aca="false">F$39+F$40*D63+F$41*D63^2+F$42*D63^3+F$43*D63^4+F$44*D63^5</f>
        <v>1.15452794848486</v>
      </c>
      <c r="M63" s="0" t="n">
        <f aca="false">G$39+G$40*E63+G$41*E63^2+G$42*E63^3+G$43*E63^4+G$44*E63^5</f>
        <v>497.508719039122</v>
      </c>
      <c r="N63" s="0" t="n">
        <f aca="false">MAX(0,D$4+D$5*F63+D$6*F63^2+D$7*F63^3+D$8*F63^4+D$9*F63^5)</f>
        <v>1.15456954141704</v>
      </c>
      <c r="O63" s="0" t="n">
        <f aca="false">MAX(0,E$4+E$5*G63+E$6*G63^2+E$7*G63^3+E$8*G63^4+E$9*G63^5)</f>
        <v>2.79154850012867</v>
      </c>
      <c r="P63" s="0" t="n">
        <f aca="false">MAX(0,D$21+D$22*H63+D$23*H63^2+D$24*H63^3+D$25*H63^4+D$26*H63^5)</f>
        <v>1.15456954141704</v>
      </c>
      <c r="Q63" s="0" t="n">
        <f aca="false">MAX(0,E$21+E$22*I63+E$23*I63^2+E$24*I63^3+E$25*I63^4+E$26*I63^5)</f>
        <v>2.15675678885316</v>
      </c>
      <c r="R63" s="0" t="n">
        <f aca="false">J63/D$46</f>
        <v>0.833564597624937</v>
      </c>
      <c r="S63" s="0" t="n">
        <f aca="false">K63/E$46</f>
        <v>0.92606438863854</v>
      </c>
      <c r="T63" s="0" t="n">
        <f aca="false">L63/F$46</f>
        <v>1.11685654617814</v>
      </c>
      <c r="U63" s="0" t="n">
        <f aca="false">M63/G$46</f>
        <v>1.09101044991103</v>
      </c>
      <c r="V63" s="0" t="n">
        <f aca="false">IF(N63&gt;0,N63/D$11,"")</f>
        <v>1.11661940005147</v>
      </c>
      <c r="W63" s="0" t="n">
        <f aca="false">IF(O63&gt;0,O63/E$11,"")</f>
        <v>1.11661940005147</v>
      </c>
    </row>
    <row r="64" customFormat="false" ht="12.75" hidden="false" customHeight="false" outlineLevel="0" collapsed="false">
      <c r="A64" s="0" t="n">
        <f aca="false">A63+0.05</f>
        <v>0.65</v>
      </c>
      <c r="B64" s="0" t="n">
        <f aca="false">$A64*D$45</f>
        <v>0.0277970271599006</v>
      </c>
      <c r="C64" s="0" t="n">
        <f aca="false">$A64*E$45</f>
        <v>0.0363478717808182</v>
      </c>
      <c r="D64" s="0" t="n">
        <f aca="false">$A64*F$45</f>
        <v>0.110545130635284</v>
      </c>
      <c r="E64" s="0" t="n">
        <f aca="false">$A64*G$45</f>
        <v>0.000246155142076079</v>
      </c>
      <c r="F64" s="0" t="n">
        <f aca="false">$A64*D$10</f>
        <v>0.1105</v>
      </c>
      <c r="G64" s="0" t="n">
        <f aca="false">$A64*E$10</f>
        <v>0.26</v>
      </c>
      <c r="H64" s="0" t="n">
        <f aca="false">$A64*D$27</f>
        <v>0.1105</v>
      </c>
      <c r="I64" s="0" t="n">
        <f aca="false">$A64*E$27</f>
        <v>0.148231707317073</v>
      </c>
      <c r="J64" s="0" t="n">
        <f aca="false">D$39+D$40*B64+D$41*B64^2+D$42*B64^3+D$43*B64^4+D$44*B64^5</f>
        <v>1.01641072396945</v>
      </c>
      <c r="K64" s="0" t="n">
        <f aca="false">E$39+E$40*C64+E$41*C64^2+E$42*C64^3+E$43*C64^4+E$44*C64^5</f>
        <v>0.303432150922679</v>
      </c>
      <c r="L64" s="0" t="n">
        <f aca="false">F$39+F$40*D64+F$41*D64^2+F$42*D64^3+F$43*D64^4+F$44*D64^5</f>
        <v>1.14628242487215</v>
      </c>
      <c r="M64" s="0" t="n">
        <f aca="false">G$39+G$40*E64+G$41*E64^2+G$42*E64^3+G$43*E64^4+G$44*E64^5</f>
        <v>494.905162803851</v>
      </c>
      <c r="N64" s="0" t="n">
        <f aca="false">MAX(0,D$4+D$5*F64+D$6*F64^2+D$7*F64^3+D$8*F64^4+D$9*F64^5)</f>
        <v>1.14632566476785</v>
      </c>
      <c r="O64" s="0" t="n">
        <f aca="false">MAX(0,E$4+E$5*G64+E$6*G64^2+E$7*G64^3+E$8*G64^4+E$9*G64^5)</f>
        <v>2.77161623908267</v>
      </c>
      <c r="P64" s="0" t="n">
        <f aca="false">MAX(0,D$21+D$22*H64+D$23*H64^2+D$24*H64^3+D$25*H64^4+D$26*H64^5)</f>
        <v>1.14632566476785</v>
      </c>
      <c r="Q64" s="0" t="n">
        <f aca="false">MAX(0,E$21+E$22*I64+E$23*I64^2+E$24*I64^3+E$25*I64^4+E$26*I64^5)</f>
        <v>2.14135707814558</v>
      </c>
      <c r="R64" s="0" t="n">
        <f aca="false">J64/D$46</f>
        <v>0.878028869731266</v>
      </c>
      <c r="S64" s="0" t="n">
        <f aca="false">K64/E$46</f>
        <v>0.968818292610658</v>
      </c>
      <c r="T64" s="0" t="n">
        <f aca="false">L64/F$46</f>
        <v>1.10888006796849</v>
      </c>
      <c r="U64" s="0" t="n">
        <f aca="false">M64/G$46</f>
        <v>1.08530098804451</v>
      </c>
      <c r="V64" s="0" t="n">
        <f aca="false">IF(N64&gt;0,N64/D$11,"")</f>
        <v>1.10864649563307</v>
      </c>
      <c r="W64" s="0" t="n">
        <f aca="false">IF(O64&gt;0,O64/E$11,"")</f>
        <v>1.10864649563307</v>
      </c>
    </row>
    <row r="65" customFormat="false" ht="12.75" hidden="false" customHeight="false" outlineLevel="0" collapsed="false">
      <c r="A65" s="0" t="n">
        <f aca="false">A64+0.05</f>
        <v>0.7</v>
      </c>
      <c r="B65" s="0" t="n">
        <f aca="false">$A65*D$45</f>
        <v>0.0299352600183545</v>
      </c>
      <c r="C65" s="0" t="n">
        <f aca="false">$A65*E$45</f>
        <v>0.0391438619178042</v>
      </c>
      <c r="D65" s="0" t="n">
        <f aca="false">$A65*F$45</f>
        <v>0.119048602222614</v>
      </c>
      <c r="E65" s="0" t="n">
        <f aca="false">$A65*G$45</f>
        <v>0.000265090153005008</v>
      </c>
      <c r="F65" s="0" t="n">
        <f aca="false">$A65*D$10</f>
        <v>0.119</v>
      </c>
      <c r="G65" s="0" t="n">
        <f aca="false">$A65*E$10</f>
        <v>0.28</v>
      </c>
      <c r="H65" s="0" t="n">
        <f aca="false">$A65*D$27</f>
        <v>0.119</v>
      </c>
      <c r="I65" s="0" t="n">
        <f aca="false">$A65*E$27</f>
        <v>0.159634146341463</v>
      </c>
      <c r="J65" s="0" t="n">
        <f aca="false">D$39+D$40*B65+D$41*B65^2+D$42*B65^3+D$43*B65^4+D$44*B65^5</f>
        <v>1.06865895368554</v>
      </c>
      <c r="K65" s="0" t="n">
        <f aca="false">E$39+E$40*C65+E$41*C65^2+E$42*C65^3+E$43*C65^4+E$44*C65^5</f>
        <v>0.314591920502047</v>
      </c>
      <c r="L65" s="0" t="n">
        <f aca="false">F$39+F$40*D65+F$41*D65^2+F$42*D65^3+F$43*D65^4+F$44*D65^5</f>
        <v>1.13793518871715</v>
      </c>
      <c r="M65" s="0" t="n">
        <f aca="false">G$39+G$40*E65+G$41*E65^2+G$42*E65^3+G$43*E65^4+G$44*E65^5</f>
        <v>492.128566130037</v>
      </c>
      <c r="N65" s="0" t="n">
        <f aca="false">MAX(0,D$4+D$5*F65+D$6*F65^2+D$7*F65^3+D$8*F65^4+D$9*F65^5)</f>
        <v>1.13798489545593</v>
      </c>
      <c r="O65" s="0" t="n">
        <f aca="false">MAX(0,E$4+E$5*G65+E$6*G65^2+E$7*G65^3+E$8*G65^4+E$9*G65^5)</f>
        <v>2.751449708417</v>
      </c>
      <c r="P65" s="0" t="n">
        <f aca="false">MAX(0,D$21+D$22*H65+D$23*H65^2+D$24*H65^3+D$25*H65^4+D$26*H65^5)</f>
        <v>1.13798489545593</v>
      </c>
      <c r="Q65" s="0" t="n">
        <f aca="false">MAX(0,E$21+E$22*I65+E$23*I65^2+E$24*I65^3+E$25*I65^4+E$26*I65^5)</f>
        <v>2.12577637019128</v>
      </c>
      <c r="R65" s="0" t="n">
        <f aca="false">J65/D$46</f>
        <v>0.923163629726627</v>
      </c>
      <c r="S65" s="0" t="n">
        <f aca="false">K65/E$46</f>
        <v>1.00444994494854</v>
      </c>
      <c r="T65" s="0" t="n">
        <f aca="false">L65/F$46</f>
        <v>1.10080519602239</v>
      </c>
      <c r="U65" s="0" t="n">
        <f aca="false">M65/G$46</f>
        <v>1.07921205759889</v>
      </c>
      <c r="V65" s="0" t="n">
        <f aca="false">IF(N65&gt;0,N65/D$11,"")</f>
        <v>1.1005798833668</v>
      </c>
      <c r="W65" s="0" t="n">
        <f aca="false">IF(O65&gt;0,O65/E$11,"")</f>
        <v>1.1005798833668</v>
      </c>
    </row>
    <row r="66" customFormat="false" ht="12.75" hidden="false" customHeight="false" outlineLevel="0" collapsed="false">
      <c r="A66" s="0" t="n">
        <f aca="false">A65+0.05</f>
        <v>0.75</v>
      </c>
      <c r="B66" s="0" t="n">
        <f aca="false">$A66*D$45</f>
        <v>0.0320734928768084</v>
      </c>
      <c r="C66" s="0" t="n">
        <f aca="false">$A66*E$45</f>
        <v>0.0419398520547902</v>
      </c>
      <c r="D66" s="0" t="n">
        <f aca="false">$A66*F$45</f>
        <v>0.127552073809944</v>
      </c>
      <c r="E66" s="0" t="n">
        <f aca="false">$A66*G$45</f>
        <v>0.000284025163933937</v>
      </c>
      <c r="F66" s="0" t="n">
        <f aca="false">$A66*D$10</f>
        <v>0.1275</v>
      </c>
      <c r="G66" s="0" t="n">
        <f aca="false">$A66*E$10</f>
        <v>0.3</v>
      </c>
      <c r="H66" s="0" t="n">
        <f aca="false">$A66*D$27</f>
        <v>0.1275</v>
      </c>
      <c r="I66" s="0" t="n">
        <f aca="false">$A66*E$27</f>
        <v>0.171036585365854</v>
      </c>
      <c r="J66" s="0" t="n">
        <f aca="false">D$39+D$40*B66+D$41*B66^2+D$42*B66^3+D$43*B66^4+D$44*B66^5</f>
        <v>1.11738258350537</v>
      </c>
      <c r="K66" s="0" t="n">
        <f aca="false">E$39+E$40*C66+E$41*C66^2+E$42*C66^3+E$43*C66^4+E$44*C66^5</f>
        <v>0.322975901208518</v>
      </c>
      <c r="L66" s="0" t="n">
        <f aca="false">F$39+F$40*D66+F$41*D66^2+F$42*D66^3+F$43*D66^4+F$44*D66^5</f>
        <v>1.12857261846406</v>
      </c>
      <c r="M66" s="0" t="n">
        <f aca="false">G$39+G$40*E66+G$41*E66^2+G$42*E66^3+G$43*E66^4+G$44*E66^5</f>
        <v>489.018810858177</v>
      </c>
      <c r="N66" s="0" t="n">
        <f aca="false">MAX(0,D$4+D$5*F66+D$6*F66^2+D$7*F66^3+D$8*F66^4+D$9*F66^5)</f>
        <v>1.12863493972877</v>
      </c>
      <c r="O66" s="0" t="n">
        <f aca="false">MAX(0,E$4+E$5*G66+E$6*G66^2+E$7*G66^3+E$8*G66^4+E$9*G66^5)</f>
        <v>2.7288431403844</v>
      </c>
      <c r="P66" s="0" t="n">
        <f aca="false">MAX(0,D$21+D$22*H66+D$23*H66^2+D$24*H66^3+D$25*H66^4+D$26*H66^5)</f>
        <v>1.12863493972877</v>
      </c>
      <c r="Q66" s="0" t="n">
        <f aca="false">MAX(0,E$21+E$22*I66+E$23*I66^2+E$24*I66^3+E$25*I66^4+E$26*I66^5)</f>
        <v>2.10831048375773</v>
      </c>
      <c r="R66" s="0" t="n">
        <f aca="false">J66/D$46</f>
        <v>0.96525365555087</v>
      </c>
      <c r="S66" s="0" t="n">
        <f aca="false">K66/E$46</f>
        <v>1.03121887450536</v>
      </c>
      <c r="T66" s="0" t="n">
        <f aca="false">L66/F$46</f>
        <v>1.091748119587</v>
      </c>
      <c r="U66" s="0" t="n">
        <f aca="false">M66/G$46</f>
        <v>1.07239252787323</v>
      </c>
      <c r="V66" s="0" t="n">
        <f aca="false">IF(N66&gt;0,N66/D$11,"")</f>
        <v>1.09153725615376</v>
      </c>
      <c r="W66" s="0" t="n">
        <f aca="false">IF(O66&gt;0,O66/E$11,"")</f>
        <v>1.09153725615376</v>
      </c>
    </row>
    <row r="67" customFormat="false" ht="12.75" hidden="false" customHeight="false" outlineLevel="0" collapsed="false">
      <c r="A67" s="0" t="n">
        <f aca="false">A66+0.05</f>
        <v>0.8</v>
      </c>
      <c r="B67" s="0" t="n">
        <f aca="false">$A67*D$45</f>
        <v>0.0342117257352623</v>
      </c>
      <c r="C67" s="0" t="n">
        <f aca="false">$A67*E$45</f>
        <v>0.0447358421917762</v>
      </c>
      <c r="D67" s="0" t="n">
        <f aca="false">$A67*F$45</f>
        <v>0.136055545397273</v>
      </c>
      <c r="E67" s="0" t="n">
        <f aca="false">$A67*G$45</f>
        <v>0.000302960174862866</v>
      </c>
      <c r="F67" s="0" t="n">
        <f aca="false">$A67*D$10</f>
        <v>0.136</v>
      </c>
      <c r="G67" s="0" t="n">
        <f aca="false">$A67*E$10</f>
        <v>0.32</v>
      </c>
      <c r="H67" s="0" t="n">
        <f aca="false">$A67*D$27</f>
        <v>0.136</v>
      </c>
      <c r="I67" s="0" t="n">
        <f aca="false">$A67*E$27</f>
        <v>0.182439024390244</v>
      </c>
      <c r="J67" s="0" t="n">
        <f aca="false">D$39+D$40*B67+D$41*B67^2+D$42*B67^3+D$43*B67^4+D$44*B67^5</f>
        <v>1.15828085331269</v>
      </c>
      <c r="K67" s="0" t="n">
        <f aca="false">E$39+E$40*C67+E$41*C67^2+E$42*C67^3+E$43*C67^4+E$44*C67^5</f>
        <v>0.328180042242971</v>
      </c>
      <c r="L67" s="0" t="n">
        <f aca="false">F$39+F$40*D67+F$41*D67^2+F$42*D67^3+F$43*D67^4+F$44*D67^5</f>
        <v>1.1172529746374</v>
      </c>
      <c r="M67" s="0" t="n">
        <f aca="false">G$39+G$40*E67+G$41*E67^2+G$42*E67^3+G$43*E67^4+G$44*E67^5</f>
        <v>485.327762249147</v>
      </c>
      <c r="N67" s="0" t="n">
        <f aca="false">MAX(0,D$4+D$5*F67+D$6*F67^2+D$7*F67^3+D$8*F67^4+D$9*F67^5)</f>
        <v>1.11733531512054</v>
      </c>
      <c r="O67" s="0" t="n">
        <f aca="false">MAX(0,E$4+E$5*G67+E$6*G67^2+E$7*G67^3+E$8*G67^4+E$9*G67^5)</f>
        <v>2.70152261182757</v>
      </c>
      <c r="P67" s="0" t="n">
        <f aca="false">MAX(0,D$21+D$22*H67+D$23*H67^2+D$24*H67^3+D$25*H67^4+D$26*H67^5)</f>
        <v>1.11733531512054</v>
      </c>
      <c r="Q67" s="0" t="n">
        <f aca="false">MAX(0,E$21+E$22*I67+E$23*I67^2+E$24*I67^3+E$25*I67^4+E$26*I67^5)</f>
        <v>2.08720258058597</v>
      </c>
      <c r="R67" s="0" t="n">
        <f aca="false">J67/D$46</f>
        <v>1.00058372514384</v>
      </c>
      <c r="S67" s="0" t="n">
        <f aca="false">K67/E$46</f>
        <v>1.04783500109634</v>
      </c>
      <c r="T67" s="0" t="n">
        <f aca="false">L67/F$46</f>
        <v>1.08079782745696</v>
      </c>
      <c r="U67" s="0" t="n">
        <f aca="false">M67/G$46</f>
        <v>1.06429825243749</v>
      </c>
      <c r="V67" s="0" t="n">
        <f aca="false">IF(N67&gt;0,N67/D$11,"")</f>
        <v>1.08060904473103</v>
      </c>
      <c r="W67" s="0" t="n">
        <f aca="false">IF(O67&gt;0,O67/E$11,"")</f>
        <v>1.08060904473103</v>
      </c>
    </row>
    <row r="68" customFormat="false" ht="12.75" hidden="false" customHeight="false" outlineLevel="0" collapsed="false">
      <c r="A68" s="0" t="n">
        <f aca="false">A67+0.05</f>
        <v>0.85</v>
      </c>
      <c r="B68" s="0" t="n">
        <f aca="false">$A68*D$45</f>
        <v>0.0363499585937162</v>
      </c>
      <c r="C68" s="0" t="n">
        <f aca="false">$A68*E$45</f>
        <v>0.0475318323287623</v>
      </c>
      <c r="D68" s="0" t="n">
        <f aca="false">$A68*F$45</f>
        <v>0.144559016984603</v>
      </c>
      <c r="E68" s="0" t="n">
        <f aca="false">$A68*G$45</f>
        <v>0.000321895185791795</v>
      </c>
      <c r="F68" s="0" t="n">
        <f aca="false">$A68*D$10</f>
        <v>0.1445</v>
      </c>
      <c r="G68" s="0" t="n">
        <f aca="false">$A68*E$10</f>
        <v>0.34</v>
      </c>
      <c r="H68" s="0" t="n">
        <f aca="false">$A68*D$27</f>
        <v>0.1445</v>
      </c>
      <c r="I68" s="0" t="n">
        <f aca="false">$A68*E$27</f>
        <v>0.193841463414634</v>
      </c>
      <c r="J68" s="0" t="n">
        <f aca="false">D$39+D$40*B68+D$41*B68^2+D$42*B68^3+D$43*B68^4+D$44*B68^5</f>
        <v>1.18705300299123</v>
      </c>
      <c r="K68" s="0" t="n">
        <f aca="false">E$39+E$40*C68+E$41*C68^2+E$42*C68^3+E$43*C68^4+E$44*C68^5</f>
        <v>0.329926066136913</v>
      </c>
      <c r="L68" s="0" t="n">
        <f aca="false">F$39+F$40*D68+F$41*D68^2+F$42*D68^3+F$43*D68^4+F$44*D68^5</f>
        <v>1.10302684808827</v>
      </c>
      <c r="M68" s="0" t="n">
        <f aca="false">G$39+G$40*E68+G$41*E68^2+G$42*E68^3+G$43*E68^4+G$44*E68^5</f>
        <v>480.706767752184</v>
      </c>
      <c r="N68" s="0" t="n">
        <f aca="false">MAX(0,D$4+D$5*F68+D$6*F68^2+D$7*F68^3+D$8*F68^4+D$9*F68^5)</f>
        <v>1.10313775699181</v>
      </c>
      <c r="O68" s="0" t="n">
        <f aca="false">MAX(0,E$4+E$5*G68+E$6*G68^2+E$7*G68^3+E$8*G68^4+E$9*G68^5)</f>
        <v>2.66719538364599</v>
      </c>
      <c r="P68" s="0" t="n">
        <f aca="false">MAX(0,D$21+D$22*H68+D$23*H68^2+D$24*H68^3+D$25*H68^4+D$26*H68^5)</f>
        <v>1.10313775699181</v>
      </c>
      <c r="Q68" s="0" t="n">
        <f aca="false">MAX(0,E$21+E$22*I68+E$23*I68^2+E$24*I68^3+E$25*I68^4+E$26*I68^5)</f>
        <v>2.06068128517601</v>
      </c>
      <c r="R68" s="0" t="n">
        <f aca="false">J68/D$46</f>
        <v>1.02543861644539</v>
      </c>
      <c r="S68" s="0" t="n">
        <f aca="false">K68/E$46</f>
        <v>1.05340982196697</v>
      </c>
      <c r="T68" s="0" t="n">
        <f aca="false">L68/F$46</f>
        <v>1.0670358890093</v>
      </c>
      <c r="U68" s="0" t="n">
        <f aca="false">M68/G$46</f>
        <v>1.05416465458838</v>
      </c>
      <c r="V68" s="0" t="n">
        <f aca="false">IF(N68&gt;0,N68/D$11,"")</f>
        <v>1.0668781534584</v>
      </c>
      <c r="W68" s="0" t="n">
        <f aca="false">IF(O68&gt;0,O68/E$11,"")</f>
        <v>1.0668781534584</v>
      </c>
    </row>
    <row r="69" customFormat="false" ht="12.75" hidden="false" customHeight="false" outlineLevel="0" collapsed="false">
      <c r="A69" s="0" t="n">
        <f aca="false">A68+0.05</f>
        <v>0.9</v>
      </c>
      <c r="B69" s="0" t="n">
        <f aca="false">$A69*D$45</f>
        <v>0.0384881914521701</v>
      </c>
      <c r="C69" s="0" t="n">
        <f aca="false">$A69*E$45</f>
        <v>0.0503278224657483</v>
      </c>
      <c r="D69" s="0" t="n">
        <f aca="false">$A69*F$45</f>
        <v>0.153062488571932</v>
      </c>
      <c r="E69" s="0" t="n">
        <f aca="false">$A69*G$45</f>
        <v>0.000340830196720725</v>
      </c>
      <c r="F69" s="0" t="n">
        <f aca="false">$A69*D$10</f>
        <v>0.153</v>
      </c>
      <c r="G69" s="0" t="n">
        <f aca="false">$A69*E$10</f>
        <v>0.36</v>
      </c>
      <c r="H69" s="0" t="n">
        <f aca="false">$A69*D$27</f>
        <v>0.153</v>
      </c>
      <c r="I69" s="0" t="n">
        <f aca="false">$A69*E$27</f>
        <v>0.205243902439024</v>
      </c>
      <c r="J69" s="0" t="n">
        <f aca="false">D$39+D$40*B69+D$41*B69^2+D$42*B69^3+D$43*B69^4+D$44*B69^5</f>
        <v>1.19939827242474</v>
      </c>
      <c r="K69" s="0" t="n">
        <f aca="false">E$39+E$40*C69+E$41*C69^2+E$42*C69^3+E$43*C69^4+E$44*C69^5</f>
        <v>0.328046180441925</v>
      </c>
      <c r="L69" s="0" t="n">
        <f aca="false">F$39+F$40*D69+F$41*D69^2+F$42*D69^3+F$43*D69^4+F$44*D69^5</f>
        <v>1.08495760824056</v>
      </c>
      <c r="M69" s="0" t="n">
        <f aca="false">G$39+G$40*E69+G$41*E69^2+G$42*E69^3+G$43*E69^4+G$44*E69^5</f>
        <v>474.694155772863</v>
      </c>
      <c r="N69" s="0" t="n">
        <f aca="false">MAX(0,D$4+D$5*F69+D$6*F69^2+D$7*F69^3+D$8*F69^4+D$9*F69^5)</f>
        <v>1.08510662506937</v>
      </c>
      <c r="O69" s="0" t="n">
        <f aca="false">MAX(0,E$4+E$5*G69+E$6*G69^2+E$7*G69^3+E$8*G69^4+E$9*G69^5)</f>
        <v>2.6235992402626</v>
      </c>
      <c r="P69" s="0" t="n">
        <f aca="false">MAX(0,D$21+D$22*H69+D$23*H69^2+D$24*H69^3+D$25*H69^4+D$26*H69^5)</f>
        <v>1.08510662506937</v>
      </c>
      <c r="Q69" s="0" t="n">
        <f aca="false">MAX(0,E$21+E$22*I69+E$23*I69^2+E$24*I69^3+E$25*I69^4+E$26*I69^5)</f>
        <v>2.02699880457228</v>
      </c>
      <c r="R69" s="0" t="n">
        <f aca="false">J69/D$46</f>
        <v>1.03610310739537</v>
      </c>
      <c r="S69" s="0" t="n">
        <f aca="false">K69/E$46</f>
        <v>1.04740759826134</v>
      </c>
      <c r="T69" s="0" t="n">
        <f aca="false">L69/F$46</f>
        <v>1.04955623523837</v>
      </c>
      <c r="U69" s="0" t="n">
        <f aca="false">M69/G$46</f>
        <v>1.04097931280509</v>
      </c>
      <c r="V69" s="0" t="n">
        <f aca="false">IF(N69&gt;0,N69/D$11,"")</f>
        <v>1.04943969610504</v>
      </c>
      <c r="W69" s="0" t="n">
        <f aca="false">IF(O69&gt;0,O69/E$11,"")</f>
        <v>1.04943969610504</v>
      </c>
    </row>
    <row r="70" customFormat="false" ht="12.75" hidden="false" customHeight="false" outlineLevel="0" collapsed="false">
      <c r="A70" s="0" t="n">
        <f aca="false">A69+0.05</f>
        <v>0.95</v>
      </c>
      <c r="B70" s="0" t="n">
        <f aca="false">$A70*D$45</f>
        <v>0.040626424310624</v>
      </c>
      <c r="C70" s="0" t="n">
        <f aca="false">$A70*E$45</f>
        <v>0.0531238126027343</v>
      </c>
      <c r="D70" s="0" t="n">
        <f aca="false">$A70*F$45</f>
        <v>0.161565960159262</v>
      </c>
      <c r="E70" s="0" t="n">
        <f aca="false">$A70*G$45</f>
        <v>0.000359765207649654</v>
      </c>
      <c r="F70" s="0" t="n">
        <f aca="false">$A70*D$10</f>
        <v>0.1615</v>
      </c>
      <c r="G70" s="0" t="n">
        <f aca="false">$A70*E$10</f>
        <v>0.38</v>
      </c>
      <c r="H70" s="0" t="n">
        <f aca="false">$A70*D$27</f>
        <v>0.1615</v>
      </c>
      <c r="I70" s="0" t="n">
        <f aca="false">$A70*E$27</f>
        <v>0.216646341463415</v>
      </c>
      <c r="J70" s="0" t="n">
        <f aca="false">D$39+D$40*B70+D$41*B70^2+D$42*B70^3+D$43*B70^4+D$44*B70^5</f>
        <v>1.19101590149695</v>
      </c>
      <c r="K70" s="0" t="n">
        <f aca="false">E$39+E$40*C70+E$41*C70^2+E$42*C70^3+E$43*C70^4+E$44*C70^5</f>
        <v>0.322467789419118</v>
      </c>
      <c r="L70" s="0" t="n">
        <f aca="false">F$39+F$40*D70+F$41*D70^2+F$42*D70^3+F$43*D70^4+F$44*D70^5</f>
        <v>1.06214185133714</v>
      </c>
      <c r="M70" s="0" t="n">
        <f aca="false">G$39+G$40*E70+G$41*E70^2+G$42*E70^3+G$43*E70^4+G$44*E70^5</f>
        <v>466.702734441078</v>
      </c>
      <c r="N70" s="0" t="n">
        <f aca="false">MAX(0,D$4+D$5*F70+D$6*F70^2+D$7*F70^3+D$8*F70^4+D$9*F70^5)</f>
        <v>1.06233930998595</v>
      </c>
      <c r="O70" s="0" t="n">
        <f aca="false">MAX(0,E$4+E$5*G70+E$6*G70^2+E$7*G70^3+E$8*G70^4+E$9*G70^5)</f>
        <v>2.56855182909056</v>
      </c>
      <c r="P70" s="0" t="n">
        <f aca="false">MAX(0,D$21+D$22*H70+D$23*H70^2+D$24*H70^3+D$25*H70^4+D$26*H70^5)</f>
        <v>1.06233930998595</v>
      </c>
      <c r="Q70" s="0" t="n">
        <f aca="false">MAX(0,E$21+E$22*I70+E$23*I70^2+E$24*I70^3+E$25*I70^4+E$26*I70^5)</f>
        <v>1.98446904814906</v>
      </c>
      <c r="R70" s="0" t="n">
        <f aca="false">J70/D$46</f>
        <v>1.02886197593362</v>
      </c>
      <c r="S70" s="0" t="n">
        <f aca="false">K70/E$46</f>
        <v>1.02959654149033</v>
      </c>
      <c r="T70" s="0" t="n">
        <f aca="false">L70/F$46</f>
        <v>1.02748493979071</v>
      </c>
      <c r="U70" s="0" t="n">
        <f aca="false">M70/G$46</f>
        <v>1.0234545462051</v>
      </c>
      <c r="V70" s="0" t="n">
        <f aca="false">IF(N70&gt;0,N70/D$11,"")</f>
        <v>1.02742073163622</v>
      </c>
      <c r="W70" s="0" t="n">
        <f aca="false">IF(O70&gt;0,O70/E$11,"")</f>
        <v>1.02742073163623</v>
      </c>
    </row>
    <row r="71" customFormat="false" ht="12.75" hidden="false" customHeight="false" outlineLevel="0" collapsed="false">
      <c r="A71" s="0" t="n">
        <f aca="false">A70+0.05</f>
        <v>1</v>
      </c>
      <c r="B71" s="0" t="n">
        <f aca="false">$A71*D$45</f>
        <v>0.0427646571690779</v>
      </c>
      <c r="C71" s="0" t="n">
        <f aca="false">$A71*E$45</f>
        <v>0.0559198027397203</v>
      </c>
      <c r="D71" s="0" t="n">
        <f aca="false">$A71*F$45</f>
        <v>0.170069431746592</v>
      </c>
      <c r="E71" s="0" t="n">
        <f aca="false">$A71*G$45</f>
        <v>0.000378700218578583</v>
      </c>
      <c r="F71" s="0" t="n">
        <f aca="false">$A71*D$10</f>
        <v>0.17</v>
      </c>
      <c r="G71" s="0" t="n">
        <f aca="false">$A71*E$10</f>
        <v>0.4</v>
      </c>
      <c r="H71" s="0" t="n">
        <f aca="false">$A71*D$27</f>
        <v>0.17</v>
      </c>
      <c r="I71" s="0" t="n">
        <f aca="false">$A71*E$27</f>
        <v>0.228048780487805</v>
      </c>
      <c r="J71" s="0" t="n">
        <f aca="false">D$39+D$40*B71+D$41*B71^2+D$42*B71^3+D$43*B71^4+D$44*B71^5</f>
        <v>1.15760513009161</v>
      </c>
      <c r="K71" s="0" t="n">
        <f aca="false">E$39+E$40*C71+E$41*C71^2+E$42*C71^3+E$43*C71^4+E$44*C71^5</f>
        <v>0.313198205728574</v>
      </c>
      <c r="L71" s="0" t="n">
        <f aca="false">F$39+F$40*D71+F$41*D71^2+F$42*D71^3+F$43*D71^4+F$44*D71^5</f>
        <v>1.03372984868615</v>
      </c>
      <c r="M71" s="0" t="n">
        <f aca="false">G$39+G$40*E71+G$41*E71^2+G$42*E71^3+G$43*E71^4+G$44*E71^5</f>
        <v>456.00729037902</v>
      </c>
      <c r="N71" s="0" t="n">
        <f aca="false">MAX(0,D$4+D$5*F71+D$6*F71^2+D$7*F71^3+D$8*F71^4+D$9*F71^5)</f>
        <v>1.03398663982</v>
      </c>
      <c r="O71" s="0" t="n">
        <f aca="false">MAX(0,E$4+E$5*G71+E$6*G71^2+E$7*G71^3+E$8*G71^4+E$9*G71^5)</f>
        <v>2.5</v>
      </c>
      <c r="P71" s="0" t="n">
        <f aca="false">MAX(0,D$21+D$22*H71+D$23*H71^2+D$24*H71^3+D$25*H71^4+D$26*H71^5)</f>
        <v>1.03398663982</v>
      </c>
      <c r="Q71" s="0" t="n">
        <f aca="false">MAX(0,E$21+E$22*I71+E$23*I71^2+E$24*I71^3+E$25*I71^4+E$26*I71^5)</f>
        <v>1.93150574739589</v>
      </c>
      <c r="R71" s="0" t="n">
        <f aca="false">J71/D$46</f>
        <v>1</v>
      </c>
      <c r="S71" s="0" t="n">
        <f aca="false">K71/E$46</f>
        <v>0.999999999999999</v>
      </c>
      <c r="T71" s="0" t="n">
        <f aca="false">L71/F$46</f>
        <v>1</v>
      </c>
      <c r="U71" s="0" t="n">
        <f aca="false">M71/G$46</f>
        <v>1</v>
      </c>
      <c r="V71" s="0" t="n">
        <f aca="false">IF(N71&gt;0,N71/D$11,"")</f>
        <v>1</v>
      </c>
      <c r="W71" s="0" t="n">
        <f aca="false">IF(O71&gt;0,O71/E$11,"")</f>
        <v>1</v>
      </c>
    </row>
    <row r="72" customFormat="false" ht="12.75" hidden="false" customHeight="false" outlineLevel="0" collapsed="false">
      <c r="A72" s="0" t="n">
        <f aca="false">A71+0.05</f>
        <v>1.05</v>
      </c>
      <c r="B72" s="0" t="n">
        <f aca="false">$A72*D$45</f>
        <v>0.0449028900275318</v>
      </c>
      <c r="C72" s="0" t="n">
        <f aca="false">$A72*E$45</f>
        <v>0.0587157928767063</v>
      </c>
      <c r="D72" s="0" t="n">
        <f aca="false">$A72*F$45</f>
        <v>0.178572903333921</v>
      </c>
      <c r="E72" s="0" t="n">
        <f aca="false">$A72*G$45</f>
        <v>0.000397635229507512</v>
      </c>
      <c r="F72" s="0" t="n">
        <f aca="false">$A72*D$10</f>
        <v>0.1785</v>
      </c>
      <c r="G72" s="0" t="n">
        <f aca="false">$A72*E$10</f>
        <v>0.42</v>
      </c>
      <c r="H72" s="0" t="n">
        <f aca="false">$A72*D$27</f>
        <v>0.1785</v>
      </c>
      <c r="I72" s="0" t="n">
        <f aca="false">$A72*E$27</f>
        <v>0.239451219512195</v>
      </c>
      <c r="J72" s="0" t="n">
        <f aca="false">D$39+D$40*B72+D$41*B72^2+D$42*B72^3+D$43*B72^4+D$44*B72^5</f>
        <v>1.09486519809245</v>
      </c>
      <c r="K72" s="0" t="n">
        <f aca="false">E$39+E$40*C72+E$41*C72^2+E$42*C72^3+E$43*C72^4+E$44*C72^5</f>
        <v>0.300309362118795</v>
      </c>
      <c r="L72" s="0" t="n">
        <f aca="false">F$39+F$40*D72+F$41*D72^2+F$42*D72^3+F$43*D72^4+F$44*D72^5</f>
        <v>0.99894599490716</v>
      </c>
      <c r="M72" s="0" t="n">
        <f aca="false">G$39+G$40*E72+G$41*E72^2+G$42*E72^3+G$43*E72^4+G$44*E72^5</f>
        <v>441.732087469157</v>
      </c>
      <c r="N72" s="0" t="n">
        <f aca="false">MAX(0,D$4+D$5*F72+D$6*F72^2+D$7*F72^3+D$8*F72^4+D$9*F72^5)</f>
        <v>0.999273286635492</v>
      </c>
      <c r="O72" s="0" t="n">
        <f aca="false">MAX(0,E$4+E$5*G72+E$6*G72^2+E$7*G72^3+E$8*G72^4+E$9*G72^5)</f>
        <v>2.41606914478472</v>
      </c>
      <c r="P72" s="0" t="n">
        <f aca="false">MAX(0,D$21+D$22*H72+D$23*H72^2+D$24*H72^3+D$25*H72^4+D$26*H72^5)</f>
        <v>0.999273286635492</v>
      </c>
      <c r="Q72" s="0" t="n">
        <f aca="false">MAX(0,E$21+E$22*I72+E$23*I72^2+E$24*I72^3+E$25*I72^4+E$26*I72^5)</f>
        <v>1.86666057570302</v>
      </c>
      <c r="R72" s="0" t="n">
        <f aca="false">J72/D$46</f>
        <v>0.94580195753435</v>
      </c>
      <c r="S72" s="0" t="n">
        <f aca="false">K72/E$46</f>
        <v>0.95884764543974</v>
      </c>
      <c r="T72" s="0" t="n">
        <f aca="false">L72/F$46</f>
        <v>0.966351117921965</v>
      </c>
      <c r="U72" s="0" t="n">
        <f aca="false">M72/G$46</f>
        <v>0.968695230951247</v>
      </c>
      <c r="V72" s="0" t="n">
        <f aca="false">IF(N72&gt;0,N72/D$11,"")</f>
        <v>0.966427657913887</v>
      </c>
      <c r="W72" s="0" t="n">
        <f aca="false">IF(O72&gt;0,O72/E$11,"")</f>
        <v>0.966427657913887</v>
      </c>
    </row>
    <row r="73" customFormat="false" ht="12.75" hidden="false" customHeight="false" outlineLevel="0" collapsed="false">
      <c r="A73" s="0" t="n">
        <f aca="false">A72+0.05</f>
        <v>1.1</v>
      </c>
      <c r="B73" s="0" t="n">
        <f aca="false">$A73*D$45</f>
        <v>0.0470411228859857</v>
      </c>
      <c r="C73" s="0" t="n">
        <f aca="false">$A73*E$45</f>
        <v>0.0615117830136923</v>
      </c>
      <c r="D73" s="0" t="n">
        <f aca="false">$A73*F$45</f>
        <v>0.187076374921251</v>
      </c>
      <c r="E73" s="0" t="n">
        <f aca="false">$A73*G$45</f>
        <v>0.000416570240436441</v>
      </c>
      <c r="F73" s="0" t="n">
        <f aca="false">$A73*D$10</f>
        <v>0.187</v>
      </c>
      <c r="G73" s="0" t="n">
        <f aca="false">$A73*E$10</f>
        <v>0.44</v>
      </c>
      <c r="H73" s="0" t="n">
        <f aca="false">$A73*D$27</f>
        <v>0.187</v>
      </c>
      <c r="I73" s="0" t="n">
        <f aca="false">$A73*E$27</f>
        <v>0.250853658536585</v>
      </c>
      <c r="J73" s="0" t="n">
        <f aca="false">D$39+D$40*B73+D$41*B73^2+D$42*B73^3+D$43*B73^4+D$44*B73^5</f>
        <v>0.998495345383215</v>
      </c>
      <c r="K73" s="0" t="n">
        <f aca="false">E$39+E$40*C73+E$41*C73^2+E$42*C73^3+E$43*C73^4+E$44*C73^5</f>
        <v>0.283922523116149</v>
      </c>
      <c r="L73" s="0" t="n">
        <f aca="false">F$39+F$40*D73+F$41*D73^2+F$42*D73^3+F$43*D73^4+F$44*D73^5</f>
        <v>0.957109256177455</v>
      </c>
      <c r="M73" s="0" t="n">
        <f aca="false">G$39+G$40*E73+G$41*E73^2+G$42*E73^3+G$43*E73^4+G$44*E73^5</f>
        <v>422.838365622215</v>
      </c>
      <c r="N73" s="0" t="n">
        <f aca="false">MAX(0,D$4+D$5*F73+D$6*F73^2+D$7*F73^3+D$8*F73^4+D$9*F73^5)</f>
        <v>0.957518173021648</v>
      </c>
      <c r="O73" s="0" t="n">
        <f aca="false">MAX(0,E$4+E$5*G73+E$6*G73^2+E$7*G73^3+E$8*G73^4+E$9*G73^5)</f>
        <v>2.31511253662895</v>
      </c>
      <c r="P73" s="0" t="n">
        <f aca="false">MAX(0,D$21+D$22*H73+D$23*H73^2+D$24*H73^3+D$25*H73^4+D$26*H73^5)</f>
        <v>0.957518173021648</v>
      </c>
      <c r="Q73" s="0" t="n">
        <f aca="false">MAX(0,E$21+E$22*I73+E$23*I73^2+E$24*I73^3+E$25*I73^4+E$26*I73^5)</f>
        <v>1.78866126814683</v>
      </c>
      <c r="R73" s="0" t="n">
        <f aca="false">J73/D$46</f>
        <v>0.862552626476522</v>
      </c>
      <c r="S73" s="0" t="n">
        <f aca="false">K73/E$46</f>
        <v>0.906526659230621</v>
      </c>
      <c r="T73" s="0" t="n">
        <f aca="false">L73/F$46</f>
        <v>0.925879481369263</v>
      </c>
      <c r="U73" s="0" t="n">
        <f aca="false">M73/G$46</f>
        <v>0.927262292825985</v>
      </c>
      <c r="V73" s="0" t="n">
        <f aca="false">IF(N73&gt;0,N73/D$11,"")</f>
        <v>0.926045014651578</v>
      </c>
      <c r="W73" s="0" t="n">
        <f aca="false">IF(O73&gt;0,O73/E$11,"")</f>
        <v>0.926045014651578</v>
      </c>
    </row>
    <row r="74" customFormat="false" ht="12.75" hidden="false" customHeight="false" outlineLevel="0" collapsed="false">
      <c r="A74" s="0" t="n">
        <f aca="false">A73+0.05</f>
        <v>1.15</v>
      </c>
      <c r="B74" s="0" t="n">
        <f aca="false">$A74*D$45</f>
        <v>0.0491793557444396</v>
      </c>
      <c r="C74" s="0" t="n">
        <f aca="false">$A74*E$45</f>
        <v>0.0643077731506783</v>
      </c>
      <c r="D74" s="0" t="n">
        <f aca="false">$A74*F$45</f>
        <v>0.19557984650858</v>
      </c>
      <c r="E74" s="0" t="n">
        <f aca="false">$A74*G$45</f>
        <v>0.00043550525136537</v>
      </c>
      <c r="F74" s="0" t="n">
        <f aca="false">$A74*D$10</f>
        <v>0.1955</v>
      </c>
      <c r="G74" s="0" t="n">
        <f aca="false">$A74*E$10</f>
        <v>0.46</v>
      </c>
      <c r="H74" s="0" t="n">
        <f aca="false">$A74*D$27</f>
        <v>0.1955</v>
      </c>
      <c r="I74" s="0" t="n">
        <f aca="false">$A74*E$27</f>
        <v>0.262256097560976</v>
      </c>
      <c r="J74" s="0" t="n">
        <f aca="false">D$39+D$40*B74+D$41*B74^2+D$42*B74^3+D$43*B74^4+D$44*B74^5</f>
        <v>0.864194811847643</v>
      </c>
      <c r="K74" s="0" t="n">
        <f aca="false">E$39+E$40*C74+E$41*C74^2+E$42*C74^3+E$43*C74^4+E$44*C74^5</f>
        <v>0.264192996714328</v>
      </c>
      <c r="L74" s="0" t="n">
        <f aca="false">F$39+F$40*D74+F$41*D74^2+F$42*D74^3+F$43*D74^4+F$44*D74^5</f>
        <v>0.907653618478211</v>
      </c>
      <c r="M74" s="0" t="n">
        <f aca="false">G$39+G$40*E74+G$41*E74^2+G$42*E74^3+G$43*E74^4+G$44*E74^5</f>
        <v>398.111839545154</v>
      </c>
      <c r="N74" s="0" t="n">
        <f aca="false">MAX(0,D$4+D$5*F74+D$6*F74^2+D$7*F74^3+D$8*F74^4+D$9*F74^5)</f>
        <v>0.908154878632725</v>
      </c>
      <c r="O74" s="0" t="n">
        <f aca="false">MAX(0,E$4+E$5*G74+E$6*G74^2+E$7*G74^3+E$8*G74^4+E$9*G74^5)</f>
        <v>2.19576066957408</v>
      </c>
      <c r="P74" s="0" t="n">
        <f aca="false">MAX(0,D$21+D$22*H74+D$23*H74^2+D$24*H74^3+D$25*H74^4+D$26*H74^5)</f>
        <v>0.908154878632725</v>
      </c>
      <c r="Q74" s="0" t="n">
        <f aca="false">MAX(0,E$21+E$22*I74+E$23*I74^2+E$24*I74^3+E$25*I74^4+E$26*I74^5)</f>
        <v>1.69644974127527</v>
      </c>
      <c r="R74" s="0" t="n">
        <f aca="false">J74/D$46</f>
        <v>0.746536784766367</v>
      </c>
      <c r="S74" s="0" t="n">
        <f aca="false">K74/E$46</f>
        <v>0.843532919033657</v>
      </c>
      <c r="T74" s="0" t="n">
        <f aca="false">L74/F$46</f>
        <v>0.878037544946414</v>
      </c>
      <c r="U74" s="0" t="n">
        <f aca="false">M74/G$46</f>
        <v>0.873038321852827</v>
      </c>
      <c r="V74" s="0" t="n">
        <f aca="false">IF(N74&gt;0,N74/D$11,"")</f>
        <v>0.87830426782963</v>
      </c>
      <c r="W74" s="0" t="n">
        <f aca="false">IF(O74&gt;0,O74/E$11,"")</f>
        <v>0.87830426782963</v>
      </c>
    </row>
    <row r="75" customFormat="false" ht="12.75" hidden="false" customHeight="false" outlineLevel="0" collapsed="false">
      <c r="A75" s="0" t="n">
        <f aca="false">A74+0.05</f>
        <v>1.2</v>
      </c>
      <c r="B75" s="0" t="n">
        <f aca="false">$A75*D$45</f>
        <v>0.0513175886028935</v>
      </c>
      <c r="C75" s="0" t="n">
        <f aca="false">$A75*E$45</f>
        <v>0.0671037632876644</v>
      </c>
      <c r="D75" s="0" t="n">
        <f aca="false">$A75*F$45</f>
        <v>0.20408331809591</v>
      </c>
      <c r="E75" s="0" t="n">
        <f aca="false">$A75*G$45</f>
        <v>0.0004544402622943</v>
      </c>
      <c r="F75" s="0" t="n">
        <f aca="false">$A75*D$10</f>
        <v>0.204</v>
      </c>
      <c r="G75" s="0" t="n">
        <f aca="false">$A75*E$10</f>
        <v>0.48</v>
      </c>
      <c r="H75" s="0" t="n">
        <f aca="false">$A75*D$27</f>
        <v>0.204</v>
      </c>
      <c r="I75" s="0" t="n">
        <f aca="false">$A75*E$27</f>
        <v>0.273658536585366</v>
      </c>
      <c r="J75" s="0" t="n">
        <f aca="false">D$39+D$40*B75+D$41*B75^2+D$42*B75^3+D$43*B75^4+D$44*B75^5</f>
        <v>0.687662837369471</v>
      </c>
      <c r="K75" s="0" t="n">
        <f aca="false">E$39+E$40*C75+E$41*C75^2+E$42*C75^3+E$43*C75^4+E$44*C75^5</f>
        <v>0.241294846063785</v>
      </c>
      <c r="L75" s="0" t="n">
        <f aca="false">F$39+F$40*D75+F$41*D75^2+F$42*D75^3+F$43*D75^4+F$44*D75^5</f>
        <v>0.850148535840746</v>
      </c>
      <c r="M75" s="0" t="n">
        <f aca="false">G$39+G$40*E75+G$41*E75^2+G$42*E75^3+G$43*E75^4+G$44*E75^5</f>
        <v>366.150197509152</v>
      </c>
      <c r="N75" s="0" t="n">
        <f aca="false">MAX(0,D$4+D$5*F75+D$6*F75^2+D$7*F75^3+D$8*F75^4+D$9*F75^5)</f>
        <v>0.850752046727782</v>
      </c>
      <c r="O75" s="0" t="n">
        <f aca="false">MAX(0,E$4+E$5*G75+E$6*G75^2+E$7*G75^3+E$8*G75^4+E$9*G75^5)</f>
        <v>2.0569705979854</v>
      </c>
      <c r="P75" s="0" t="n">
        <f aca="false">MAX(0,D$21+D$22*H75+D$23*H75^2+D$24*H75^3+D$25*H75^4+D$26*H75^5)</f>
        <v>0.850752046727782</v>
      </c>
      <c r="Q75" s="0" t="n">
        <f aca="false">MAX(0,E$21+E$22*I75+E$23*I75^2+E$24*I75^3+E$25*I75^4+E$26*I75^5)</f>
        <v>1.58922021289326</v>
      </c>
      <c r="R75" s="0" t="n">
        <f aca="false">J75/D$46</f>
        <v>0.59403921034373</v>
      </c>
      <c r="S75" s="0" t="n">
        <f aca="false">K75/E$46</f>
        <v>0.770422185218066</v>
      </c>
      <c r="T75" s="0" t="n">
        <f aca="false">L75/F$46</f>
        <v>0.822408811084706</v>
      </c>
      <c r="U75" s="0" t="n">
        <f aca="false">M75/G$46</f>
        <v>0.80294812217765</v>
      </c>
      <c r="V75" s="0" t="n">
        <f aca="false">IF(N75&gt;0,N75/D$11,"")</f>
        <v>0.822788239194158</v>
      </c>
      <c r="W75" s="0" t="n">
        <f aca="false">IF(O75&gt;0,O75/E$11,"")</f>
        <v>0.822788239194158</v>
      </c>
    </row>
    <row r="76" customFormat="false" ht="12.75" hidden="false" customHeight="false" outlineLevel="0" collapsed="false">
      <c r="A76" s="0" t="n">
        <f aca="false">A75+0.05</f>
        <v>1.25</v>
      </c>
      <c r="B76" s="0" t="n">
        <f aca="false">$A76*D$45</f>
        <v>0.0534558214613474</v>
      </c>
      <c r="C76" s="0" t="n">
        <f aca="false">$A76*E$45</f>
        <v>0.0698997534246504</v>
      </c>
      <c r="D76" s="0" t="n">
        <f aca="false">$A76*F$45</f>
        <v>0.212586789683239</v>
      </c>
      <c r="E76" s="0" t="n">
        <f aca="false">$A76*G$45</f>
        <v>0.000473375273223229</v>
      </c>
      <c r="F76" s="0" t="n">
        <f aca="false">$A76*D$10</f>
        <v>0.2125</v>
      </c>
      <c r="G76" s="0" t="n">
        <f aca="false">$A76*E$10</f>
        <v>0.5</v>
      </c>
      <c r="H76" s="0" t="n">
        <f aca="false">$A76*D$27</f>
        <v>0.2125</v>
      </c>
      <c r="I76" s="0" t="n">
        <f aca="false">$A76*E$27</f>
        <v>0.285060975609756</v>
      </c>
      <c r="J76" s="0" t="n">
        <f aca="false">D$39+D$40*B76+D$41*B76^2+D$42*B76^3+D$43*B76^4+D$44*B76^5</f>
        <v>0.464598661832435</v>
      </c>
      <c r="K76" s="0" t="n">
        <f aca="false">E$39+E$40*C76+E$41*C76^2+E$42*C76^3+E$43*C76^4+E$44*C76^5</f>
        <v>0.21540560116118</v>
      </c>
      <c r="L76" s="0" t="n">
        <f aca="false">F$39+F$40*D76+F$41*D76^2+F$42*D76^3+F$43*D76^4+F$44*D76^5</f>
        <v>0.784319378592734</v>
      </c>
      <c r="M76" s="0" t="n">
        <f aca="false">G$39+G$40*E76+G$41*E76^2+G$42*E76^3+G$43*E76^4+G$44*E76^5</f>
        <v>325.35060011758</v>
      </c>
      <c r="N76" s="0" t="n">
        <f aca="false">MAX(0,D$4+D$5*F76+D$6*F76^2+D$7*F76^3+D$8*F76^4+D$9*F76^5)</f>
        <v>0.785033790710448</v>
      </c>
      <c r="O76" s="0" t="n">
        <f aca="false">MAX(0,E$4+E$5*G76+E$6*G76^2+E$7*G76^3+E$8*G76^4+E$9*G76^5)</f>
        <v>1.89807527601883</v>
      </c>
      <c r="P76" s="0" t="n">
        <f aca="false">MAX(0,D$21+D$22*H76+D$23*H76^2+D$24*H76^3+D$25*H76^4+D$26*H76^5)</f>
        <v>0.785033790710448</v>
      </c>
      <c r="Q76" s="0" t="n">
        <f aca="false">MAX(0,E$21+E$22*I76+E$23*I76^2+E$24*I76^3+E$25*I76^4+E$26*I76^5)</f>
        <v>1.46645732184816</v>
      </c>
      <c r="R76" s="0" t="n">
        <f aca="false">J76/D$46</f>
        <v>0.401344681148456</v>
      </c>
      <c r="S76" s="0" t="n">
        <f aca="false">K76/E$46</f>
        <v>0.68776128732952</v>
      </c>
      <c r="T76" s="0" t="n">
        <f aca="false">L76/F$46</f>
        <v>0.758727611077102</v>
      </c>
      <c r="U76" s="0" t="n">
        <f aca="false">M76/G$46</f>
        <v>0.713476751319389</v>
      </c>
      <c r="V76" s="0" t="n">
        <f aca="false">IF(N76&gt;0,N76/D$11,"")</f>
        <v>0.759230110407528</v>
      </c>
      <c r="W76" s="0" t="n">
        <f aca="false">IF(O76&gt;0,O76/E$11,"")</f>
        <v>0.75923011040753</v>
      </c>
    </row>
    <row r="77" customFormat="false" ht="12.75" hidden="false" customHeight="false" outlineLevel="0" collapsed="false">
      <c r="A77" s="0" t="n">
        <f aca="false">A76+0.05</f>
        <v>1.3</v>
      </c>
      <c r="B77" s="0" t="n">
        <f aca="false">$A77*D$45</f>
        <v>0.0555940543198013</v>
      </c>
      <c r="C77" s="0" t="n">
        <f aca="false">$A77*E$45</f>
        <v>0.0726957435616364</v>
      </c>
      <c r="D77" s="0" t="n">
        <f aca="false">$A77*F$45</f>
        <v>0.221090261270569</v>
      </c>
      <c r="E77" s="0" t="n">
        <f aca="false">$A77*G$45</f>
        <v>0.000492310284152158</v>
      </c>
      <c r="F77" s="0" t="n">
        <f aca="false">$A77*D$10</f>
        <v>0.221</v>
      </c>
      <c r="G77" s="0" t="n">
        <f aca="false">$A77*E$10</f>
        <v>0.52</v>
      </c>
      <c r="H77" s="0" t="n">
        <f aca="false">$A77*D$27</f>
        <v>0.221</v>
      </c>
      <c r="I77" s="0" t="n">
        <f aca="false">$A77*E$27</f>
        <v>0.296463414634146</v>
      </c>
      <c r="J77" s="0" t="n">
        <f aca="false">D$39+D$40*B77+D$41*B77^2+D$42*B77^3+D$43*B77^4+D$44*B77^5</f>
        <v>0.190701525120282</v>
      </c>
      <c r="K77" s="0" t="n">
        <f aca="false">E$39+E$40*C77+E$41*C77^2+E$42*C77^3+E$43*C77^4+E$44*C77^5</f>
        <v>0.186690970538844</v>
      </c>
      <c r="L77" s="0" t="n">
        <f aca="false">F$39+F$40*D77+F$41*D77^2+F$42*D77^3+F$43*D77^4+F$44*D77^5</f>
        <v>0.710067881604438</v>
      </c>
      <c r="M77" s="0" t="n">
        <f aca="false">G$39+G$40*E77+G$41*E77^2+G$42*E77^3+G$43*E77^4+G$44*E77^5</f>
        <v>273.897179073984</v>
      </c>
      <c r="N77" s="0" t="n">
        <f aca="false">MAX(0,D$4+D$5*F77+D$6*F77^2+D$7*F77^3+D$8*F77^4+D$9*F77^5)</f>
        <v>0.710900100668691</v>
      </c>
      <c r="O77" s="0" t="n">
        <f aca="false">MAX(0,E$4+E$5*G77+E$6*G77^2+E$7*G77^3+E$8*G77^4+E$9*G77^5)</f>
        <v>1.71883289708765</v>
      </c>
      <c r="P77" s="0" t="n">
        <f aca="false">MAX(0,D$21+D$22*H77+D$23*H77^2+D$24*H77^3+D$25*H77^4+D$26*H77^5)</f>
        <v>0.710900100668691</v>
      </c>
      <c r="Q77" s="0" t="n">
        <f aca="false">MAX(0,E$21+E$22*I77+E$23*I77^2+E$24*I77^3+E$25*I77^4+E$26*I77^5)</f>
        <v>1.32797424781517</v>
      </c>
      <c r="R77" s="0" t="n">
        <f aca="false">J77/D$46</f>
        <v>0.164737975120403</v>
      </c>
      <c r="S77" s="0" t="n">
        <f aca="false">K77/E$46</f>
        <v>0.596079310558488</v>
      </c>
      <c r="T77" s="0" t="n">
        <f aca="false">L77/F$46</f>
        <v>0.686898886113159</v>
      </c>
      <c r="U77" s="0" t="n">
        <f aca="false">M77/G$46</f>
        <v>0.60064210562583</v>
      </c>
      <c r="V77" s="0" t="n">
        <f aca="false">IF(N77&gt;0,N77/D$11,"")</f>
        <v>0.687533158835057</v>
      </c>
      <c r="W77" s="0" t="n">
        <f aca="false">IF(O77&gt;0,O77/E$11,"")</f>
        <v>0.687533158835059</v>
      </c>
    </row>
    <row r="78" customFormat="false" ht="12.75" hidden="false" customHeight="false" outlineLevel="0" collapsed="false">
      <c r="A78" s="0" t="n">
        <f aca="false">A77+0.05</f>
        <v>1.35</v>
      </c>
      <c r="B78" s="0" t="n">
        <f aca="false">$A78*D$45</f>
        <v>0.0577322871782552</v>
      </c>
      <c r="C78" s="0" t="n">
        <f aca="false">$A78*E$45</f>
        <v>0.0754917336986224</v>
      </c>
      <c r="D78" s="0" t="n">
        <f aca="false">$A78*F$45</f>
        <v>0.229593732857899</v>
      </c>
      <c r="E78" s="0" t="n">
        <f aca="false">$A78*G$45</f>
        <v>0.000511245295081087</v>
      </c>
      <c r="F78" s="0" t="n">
        <f aca="false">$A78*D$10</f>
        <v>0.2295</v>
      </c>
      <c r="G78" s="0" t="n">
        <f aca="false">$A78*E$10</f>
        <v>0.54</v>
      </c>
      <c r="H78" s="0" t="n">
        <f aca="false">$A78*D$27</f>
        <v>0.2295</v>
      </c>
      <c r="I78" s="0" t="n">
        <f aca="false">$A78*E$27</f>
        <v>0.307865853658537</v>
      </c>
      <c r="J78" s="0" t="n">
        <f aca="false">D$39+D$40*B78+D$41*B78^2+D$42*B78^3+D$43*B78^4+D$44*B78^5</f>
        <v>-0.13832933288325</v>
      </c>
      <c r="K78" s="0" t="n">
        <f aca="false">E$39+E$40*C78+E$41*C78^2+E$42*C78^3+E$43*C78^4+E$44*C78^5</f>
        <v>0.15528955295421</v>
      </c>
      <c r="L78" s="0" t="n">
        <f aca="false">F$39+F$40*D78+F$41*D78^2+F$42*D78^3+F$43*D78^4+F$44*D78^5</f>
        <v>0.627492592534931</v>
      </c>
      <c r="M78" s="0" t="n">
        <f aca="false">G$39+G$40*E78+G$41*E78^2+G$42*E78^3+G$43*E78^4+G$44*E78^5</f>
        <v>209.748535950062</v>
      </c>
      <c r="N78" s="0" t="n">
        <f aca="false">MAX(0,D$4+D$5*F78+D$6*F78^2+D$7*F78^3+D$8*F78^4+D$9*F78^5)</f>
        <v>0.628447249914584</v>
      </c>
      <c r="O78" s="0" t="n">
        <f aca="false">MAX(0,E$4+E$5*G78+E$6*G78^2+E$7*G78^3+E$8*G78^4+E$9*G78^5)</f>
        <v>1.51947623332925</v>
      </c>
      <c r="P78" s="0" t="n">
        <f aca="false">MAX(0,D$21+D$22*H78+D$23*H78^2+D$24*H78^3+D$25*H78^4+D$26*H78^5)</f>
        <v>0.628447249914584</v>
      </c>
      <c r="Q78" s="0" t="n">
        <f aca="false">MAX(0,E$21+E$22*I78+E$23*I78^2+E$24*I78^3+E$25*I78^4+E$26*I78^5)</f>
        <v>1.17395083108276</v>
      </c>
      <c r="S78" s="0" t="n">
        <f aca="false">K78/E$46</f>
        <v>0.49581878220844</v>
      </c>
      <c r="T78" s="0" t="n">
        <f aca="false">L78/F$46</f>
        <v>0.607017968313931</v>
      </c>
      <c r="U78" s="0" t="n">
        <f aca="false">M78/G$46</f>
        <v>0.459967505729406</v>
      </c>
      <c r="V78" s="0" t="n">
        <f aca="false">IF(N78&gt;0,N78/D$11,"")</f>
        <v>0.607790493331699</v>
      </c>
      <c r="W78" s="0" t="n">
        <f aca="false">IF(O78&gt;0,O78/E$11,"")</f>
        <v>0.607790493331702</v>
      </c>
    </row>
    <row r="79" customFormat="false" ht="12.75" hidden="false" customHeight="false" outlineLevel="0" collapsed="false">
      <c r="A79" s="0" t="n">
        <f aca="false">A78+0.05</f>
        <v>1.4</v>
      </c>
      <c r="B79" s="0" t="n">
        <f aca="false">$A79*D$45</f>
        <v>0.0598705200367091</v>
      </c>
      <c r="C79" s="0" t="n">
        <f aca="false">$A79*E$45</f>
        <v>0.0782877238356084</v>
      </c>
      <c r="D79" s="0" t="n">
        <f aca="false">$A79*F$45</f>
        <v>0.238097204445228</v>
      </c>
      <c r="E79" s="0" t="n">
        <f aca="false">$A79*G$45</f>
        <v>0.000530180306010016</v>
      </c>
      <c r="F79" s="0" t="n">
        <f aca="false">$A79*D$10</f>
        <v>0.238</v>
      </c>
      <c r="G79" s="0" t="n">
        <f aca="false">$A79*E$10</f>
        <v>0.56</v>
      </c>
      <c r="H79" s="0" t="n">
        <f aca="false">$A79*D$27</f>
        <v>0.238</v>
      </c>
      <c r="I79" s="0" t="n">
        <f aca="false">$A79*E$27</f>
        <v>0.319268292682927</v>
      </c>
      <c r="J79" s="0" t="n">
        <f aca="false">D$39+D$40*B79+D$41*B79^2+D$42*B79^3+D$43*B79^4+D$44*B79^5</f>
        <v>-0.526794672294427</v>
      </c>
      <c r="K79" s="0" t="n">
        <f aca="false">E$39+E$40*C79+E$41*C79^2+E$42*C79^3+E$43*C79^4+E$44*C79^5</f>
        <v>0.121297549079265</v>
      </c>
      <c r="L79" s="0" t="n">
        <f aca="false">F$39+F$40*D79+F$41*D79^2+F$42*D79^3+F$43*D79^4+F$44*D79^5</f>
        <v>0.536909320078318</v>
      </c>
      <c r="M79" s="0" t="n">
        <f aca="false">G$39+G$40*E79+G$41*E79^2+G$42*E79^3+G$43*E79^4+G$44*E79^5</f>
        <v>130.625240953648</v>
      </c>
      <c r="N79" s="0" t="n">
        <f aca="false">MAX(0,D$4+D$5*F79+D$6*F79^2+D$7*F79^3+D$8*F79^4+D$9*F79^5)</f>
        <v>0.537988201524074</v>
      </c>
      <c r="O79" s="0" t="n">
        <f aca="false">MAX(0,E$4+E$5*G79+E$6*G79^2+E$7*G79^3+E$8*G79^4+E$9*G79^5)</f>
        <v>1.30076197507187</v>
      </c>
      <c r="P79" s="0" t="n">
        <f aca="false">MAX(0,D$21+D$22*H79+D$23*H79^2+D$24*H79^3+D$25*H79^4+D$26*H79^5)</f>
        <v>0.537988201524074</v>
      </c>
      <c r="Q79" s="0" t="n">
        <f aca="false">MAX(0,E$21+E$22*I79+E$23*I79^2+E$24*I79^3+E$25*I79^4+E$26*I79^5)</f>
        <v>1.00497169233814</v>
      </c>
      <c r="S79" s="0" t="n">
        <f aca="false">K79/E$46</f>
        <v>0.387286858164138</v>
      </c>
      <c r="T79" s="0" t="n">
        <f aca="false">L79/F$46</f>
        <v>0.519390361766879</v>
      </c>
      <c r="U79" s="0" t="n">
        <f aca="false">M79/G$46</f>
        <v>0.286454282002984</v>
      </c>
      <c r="V79" s="0" t="n">
        <f aca="false">IF(N79&gt;0,N79/D$11,"")</f>
        <v>0.520304790028746</v>
      </c>
      <c r="W79" s="0" t="n">
        <f aca="false">IF(O79&gt;0,O79/E$11,"")</f>
        <v>0.52030479002875</v>
      </c>
    </row>
    <row r="80" customFormat="false" ht="12.75" hidden="false" customHeight="false" outlineLevel="0" collapsed="false">
      <c r="A80" s="0" t="n">
        <f aca="false">A79+0.05</f>
        <v>1.45</v>
      </c>
      <c r="B80" s="0" t="n">
        <f aca="false">$A80*D$45</f>
        <v>0.062008752895163</v>
      </c>
      <c r="C80" s="0" t="n">
        <f aca="false">$A80*E$45</f>
        <v>0.0810837139725945</v>
      </c>
      <c r="D80" s="0" t="n">
        <f aca="false">$A80*F$45</f>
        <v>0.246600676032558</v>
      </c>
      <c r="E80" s="0" t="n">
        <f aca="false">$A80*G$45</f>
        <v>0.000549115316938945</v>
      </c>
      <c r="F80" s="0" t="n">
        <f aca="false">$A80*D$10</f>
        <v>0.2465</v>
      </c>
      <c r="G80" s="0" t="n">
        <f aca="false">$A80*E$10</f>
        <v>0.58</v>
      </c>
      <c r="H80" s="0" t="n">
        <f aca="false">$A80*D$27</f>
        <v>0.2465</v>
      </c>
      <c r="I80" s="0" t="n">
        <f aca="false">$A80*E$27</f>
        <v>0.330670731707317</v>
      </c>
      <c r="J80" s="0" t="n">
        <f aca="false">D$39+D$40*B80+D$41*B80^2+D$42*B80^3+D$43*B80^4+D$44*B80^5</f>
        <v>-0.978995253229503</v>
      </c>
      <c r="K80" s="0" t="n">
        <f aca="false">E$39+E$40*C80+E$41*C80^2+E$42*C80^3+E$43*C80^4+E$44*C80^5</f>
        <v>0.0847534731900015</v>
      </c>
      <c r="L80" s="0" t="n">
        <f aca="false">F$39+F$40*D80+F$41*D80^2+F$42*D80^3+F$43*D80^4+F$44*D80^5</f>
        <v>0.438871582209967</v>
      </c>
      <c r="M80" s="0" t="n">
        <f aca="false">G$39+G$40*E80+G$41*E80^2+G$42*E80^3+G$43*E80^4+G$44*E80^5</f>
        <v>33.9973316966862</v>
      </c>
      <c r="N80" s="0" t="n">
        <f aca="false">MAX(0,D$4+D$5*F80+D$6*F80^2+D$7*F80^3+D$8*F80^4+D$9*F80^5)</f>
        <v>0.440073014876754</v>
      </c>
      <c r="O80" s="0" t="n">
        <f aca="false">MAX(0,E$4+E$5*G80+E$6*G80^2+E$7*G80^3+E$8*G80^4+E$9*G80^5)</f>
        <v>1.06402007030131</v>
      </c>
      <c r="P80" s="0" t="n">
        <f aca="false">MAX(0,D$21+D$22*H80+D$23*H80^2+D$24*H80^3+D$25*H80^4+D$26*H80^5)</f>
        <v>0.440073014876754</v>
      </c>
      <c r="Q80" s="0" t="n">
        <f aca="false">MAX(0,E$21+E$22*I80+E$23*I80^2+E$24*I80^3+E$25*I80^4+E$26*I80^5)</f>
        <v>0.822064352452618</v>
      </c>
      <c r="S80" s="0" t="n">
        <f aca="false">K80/E$46</f>
        <v>0.270606509359926</v>
      </c>
      <c r="T80" s="0" t="n">
        <f aca="false">L80/F$46</f>
        <v>0.424551523560789</v>
      </c>
      <c r="U80" s="0" t="n">
        <f aca="false">M80/G$46</f>
        <v>0.0745543600156668</v>
      </c>
      <c r="V80" s="0" t="n">
        <f aca="false">IF(N80&gt;0,N80/D$11,"")</f>
        <v>0.425608028120522</v>
      </c>
      <c r="W80" s="0" t="n">
        <f aca="false">IF(O80&gt;0,O80/E$11,"")</f>
        <v>0.425608028120524</v>
      </c>
    </row>
    <row r="81" customFormat="false" ht="12.75" hidden="false" customHeight="false" outlineLevel="0" collapsed="false">
      <c r="A81" s="0" t="n">
        <f aca="false">A80+0.05</f>
        <v>1.5</v>
      </c>
      <c r="B81" s="0" t="n">
        <f aca="false">$A81*D$45</f>
        <v>0.0641469857536169</v>
      </c>
      <c r="C81" s="0" t="n">
        <f aca="false">$A81*E$45</f>
        <v>0.0838797041095805</v>
      </c>
      <c r="D81" s="0" t="n">
        <f aca="false">$A81*F$45</f>
        <v>0.255104147619887</v>
      </c>
      <c r="E81" s="0" t="n">
        <f aca="false">$A81*G$45</f>
        <v>0.000568050327867875</v>
      </c>
      <c r="F81" s="0" t="n">
        <f aca="false">$A81*D$10</f>
        <v>0.255</v>
      </c>
      <c r="G81" s="0" t="n">
        <f aca="false">$A81*E$10</f>
        <v>0.6</v>
      </c>
      <c r="H81" s="0" t="n">
        <f aca="false">$A81*D$27</f>
        <v>0.255</v>
      </c>
      <c r="I81" s="0" t="n">
        <f aca="false">$A81*E$27</f>
        <v>0.342073170731707</v>
      </c>
      <c r="J81" s="0" t="n">
        <f aca="false">D$39+D$40*B81+D$41*B81^2+D$42*B81^3+D$43*B81^4+D$44*B81^5</f>
        <v>-1.49923183580475</v>
      </c>
      <c r="K81" s="0" t="n">
        <f aca="false">E$39+E$40*C81+E$41*C81^2+E$42*C81^3+E$43*C81^4+E$44*C81^5</f>
        <v>0.0456228648558694</v>
      </c>
      <c r="L81" s="0" t="n">
        <f aca="false">F$39+F$40*D81+F$41*D81^2+F$42*D81^3+F$43*D81^4+F$44*D81^5</f>
        <v>0.334191054432724</v>
      </c>
      <c r="M81" s="0" t="n">
        <f aca="false">G$39+G$40*E81+G$41*E81^2+G$42*E81^3+G$43*E81^4+G$44*E81^5</f>
        <v>-82.9281880367862</v>
      </c>
      <c r="N81" s="0" t="n">
        <f aca="false">MAX(0,D$4+D$5*F81+D$6*F81^2+D$7*F81^3+D$8*F81^4+D$9*F81^5)</f>
        <v>0.335509252195624</v>
      </c>
      <c r="O81" s="0" t="n">
        <f aca="false">MAX(0,E$4+E$5*G81+E$6*G81^2+E$7*G81^3+E$8*G81^4+E$9*G81^5)</f>
        <v>0.811203064127673</v>
      </c>
      <c r="P81" s="0" t="n">
        <f aca="false">MAX(0,D$21+D$22*H81+D$23*H81^2+D$24*H81^3+D$25*H81^4+D$26*H81^5)</f>
        <v>0.335509252195624</v>
      </c>
      <c r="Q81" s="0" t="n">
        <f aca="false">MAX(0,E$21+E$22*I81+E$23*I81^2+E$24*I81^3+E$25*I81^4+E$26*I81^5)</f>
        <v>0.626737352267104</v>
      </c>
      <c r="S81" s="0" t="n">
        <f aca="false">K81/E$46</f>
        <v>0.145667708248003</v>
      </c>
      <c r="T81" s="0" t="n">
        <f aca="false">L81/F$46</f>
        <v>0.323286644820672</v>
      </c>
      <c r="V81" s="0" t="n">
        <f aca="false">IF(N81&gt;0,N81/D$11,"")</f>
        <v>0.324481225651069</v>
      </c>
      <c r="W81" s="0" t="n">
        <f aca="false">IF(O81&gt;0,O81/E$11,"")</f>
        <v>0.324481225651069</v>
      </c>
    </row>
    <row r="82" customFormat="false" ht="12.75" hidden="false" customHeight="false" outlineLevel="0" collapsed="false">
      <c r="A82" s="0" t="n">
        <f aca="false">A81+0.05</f>
        <v>1.55</v>
      </c>
      <c r="B82" s="0" t="n">
        <f aca="false">$A82*D$45</f>
        <v>0.0662852186120708</v>
      </c>
      <c r="C82" s="0" t="n">
        <f aca="false">$A82*E$45</f>
        <v>0.0866756942465665</v>
      </c>
      <c r="D82" s="0" t="n">
        <f aca="false">$A82*F$45</f>
        <v>0.263607619207217</v>
      </c>
      <c r="E82" s="0" t="n">
        <f aca="false">$A82*G$45</f>
        <v>0.000586985338796804</v>
      </c>
      <c r="F82" s="0" t="n">
        <f aca="false">$A82*D$10</f>
        <v>0.2635</v>
      </c>
      <c r="G82" s="0" t="n">
        <f aca="false">$A82*E$10</f>
        <v>0.62</v>
      </c>
      <c r="H82" s="0" t="n">
        <f aca="false">$A82*D$27</f>
        <v>0.2635</v>
      </c>
      <c r="I82" s="0" t="n">
        <f aca="false">$A82*E$27</f>
        <v>0.353475609756098</v>
      </c>
      <c r="J82" s="0" t="n">
        <f aca="false">D$39+D$40*B82+D$41*B82^2+D$42*B82^3+D$43*B82^4+D$44*B82^5</f>
        <v>-2.0918051801364</v>
      </c>
      <c r="K82" s="0" t="n">
        <f aca="false">E$39+E$40*C82+E$41*C82^2+E$42*C82^3+E$43*C82^4+E$44*C82^5</f>
        <v>0.00378300062921166</v>
      </c>
      <c r="L82" s="0" t="n">
        <f aca="false">F$39+F$40*D82+F$41*D82^2+F$42*D82^3+F$43*D82^4+F$44*D82^5</f>
        <v>0.223958018023154</v>
      </c>
      <c r="M82" s="0" t="n">
        <f aca="false">G$39+G$40*E82+G$41*E82^2+G$42*E82^3+G$43*E82^4+G$44*E82^5</f>
        <v>-223.219849522662</v>
      </c>
      <c r="N82" s="0" t="n">
        <f aca="false">MAX(0,D$4+D$5*F82+D$6*F82^2+D$7*F82^3+D$8*F82^4+D$9*F82^5)</f>
        <v>0.225382385086862</v>
      </c>
      <c r="O82" s="0" t="n">
        <f aca="false">MAX(0,E$4+E$5*G82+E$6*G82^2+E$7*G82^3+E$8*G82^4+E$9*G82^5)</f>
        <v>0.544935438252136</v>
      </c>
      <c r="P82" s="0" t="n">
        <f aca="false">MAX(0,D$21+D$22*H82+D$23*H82^2+D$24*H82^3+D$25*H82^4+D$26*H82^5)</f>
        <v>0.225382385086862</v>
      </c>
      <c r="Q82" s="0" t="n">
        <f aca="false">MAX(0,E$21+E$22*I82+E$23*I82^2+E$24*I82^3+E$25*I82^4+E$26*I82^5)</f>
        <v>0.421018372377473</v>
      </c>
      <c r="S82" s="0" t="n">
        <f aca="false">K82/E$46</f>
        <v>0.0120786152666855</v>
      </c>
      <c r="T82" s="0" t="n">
        <f aca="false">L82/F$46</f>
        <v>0.216650431742686</v>
      </c>
      <c r="V82" s="0" t="n">
        <f aca="false">IF(N82&gt;0,N82/D$11,"")</f>
        <v>0.21797417530085</v>
      </c>
      <c r="W82" s="0" t="n">
        <f aca="false">IF(O82&gt;0,O82/E$11,"")</f>
        <v>0.217974175300854</v>
      </c>
    </row>
    <row r="83" customFormat="false" ht="12.75" hidden="false" customHeight="false" outlineLevel="0" collapsed="false">
      <c r="A83" s="0" t="n">
        <f aca="false">A82+0.05</f>
        <v>1.6</v>
      </c>
      <c r="B83" s="0" t="n">
        <f aca="false">$A83*D$45</f>
        <v>0.0684234514705247</v>
      </c>
      <c r="C83" s="0" t="n">
        <f aca="false">$A83*E$45</f>
        <v>0.0894716843835525</v>
      </c>
      <c r="D83" s="0" t="n">
        <f aca="false">$A83*F$45</f>
        <v>0.272111090794547</v>
      </c>
      <c r="E83" s="0" t="n">
        <f aca="false">$A83*G$45</f>
        <v>0.000605920349725733</v>
      </c>
      <c r="F83" s="0" t="n">
        <f aca="false">$A83*D$10</f>
        <v>0.272</v>
      </c>
      <c r="G83" s="0" t="n">
        <f aca="false">$A83*E$10</f>
        <v>0.64</v>
      </c>
      <c r="H83" s="0" t="n">
        <f aca="false">$A83*D$27</f>
        <v>0.272</v>
      </c>
      <c r="I83" s="0" t="n">
        <f aca="false">$A83*E$27</f>
        <v>0.364878048780488</v>
      </c>
      <c r="J83" s="0" t="n">
        <f aca="false">D$39+D$40*B83+D$41*B83^2+D$42*B83^3+D$43*B83^4+D$44*B83^5</f>
        <v>-2.76101604634076</v>
      </c>
      <c r="K83" s="0" t="n">
        <f aca="false">E$39+E$40*C83+E$41*C83^2+E$42*C83^3+E$43*C83^4+E$44*C83^5</f>
        <v>-0.0409923942652783</v>
      </c>
      <c r="L83" s="0" t="n">
        <f aca="false">F$39+F$40*D83+F$41*D83^2+F$42*D83^3+F$43*D83^4+F$44*D83^5</f>
        <v>0.109561808277749</v>
      </c>
      <c r="M83" s="0" t="n">
        <f aca="false">G$39+G$40*E83+G$41*E83^2+G$42*E83^3+G$43*E83^4+G$44*E83^5</f>
        <v>-390.23422032878</v>
      </c>
      <c r="N83" s="0" t="n">
        <f aca="false">MAX(0,D$4+D$5*F83+D$6*F83^2+D$7*F83^3+D$8*F83^4+D$9*F83^5)</f>
        <v>0.111076201079602</v>
      </c>
      <c r="O83" s="0" t="n">
        <f aca="false">MAX(0,E$4+E$5*G83+E$6*G83^2+E$7*G83^3+E$8*G83^4+E$9*G83^5)</f>
        <v>0.268562950433621</v>
      </c>
      <c r="P83" s="0" t="n">
        <f aca="false">MAX(0,D$21+D$22*H83+D$23*H83^2+D$24*H83^3+D$25*H83^4+D$26*H83^5)</f>
        <v>0.111076201079602</v>
      </c>
      <c r="Q83" s="0" t="n">
        <f aca="false">MAX(0,E$21+E$22*I83+E$23*I83^2+E$24*I83^3+E$25*I83^4+E$26*I83^5)</f>
        <v>0.207492352920054</v>
      </c>
      <c r="T83" s="0" t="n">
        <f aca="false">L83/F$46</f>
        <v>0.105986886629036</v>
      </c>
      <c r="V83" s="0" t="n">
        <f aca="false">IF(N83&gt;0,N83/D$11,"")</f>
        <v>0.107425180173448</v>
      </c>
      <c r="W83" s="0" t="n">
        <f aca="false">IF(O83&gt;0,O83/E$11,"")</f>
        <v>0.107425180173448</v>
      </c>
    </row>
    <row r="84" customFormat="false" ht="12.75" hidden="false" customHeight="false" outlineLevel="0" collapsed="false">
      <c r="A84" s="0" t="n">
        <f aca="false">A83+0.05</f>
        <v>1.65</v>
      </c>
      <c r="B84" s="0" t="n">
        <f aca="false">$A84*D$45</f>
        <v>0.0705616843289786</v>
      </c>
      <c r="C84" s="0" t="n">
        <f aca="false">$A84*E$45</f>
        <v>0.0922676745205385</v>
      </c>
      <c r="D84" s="0" t="n">
        <f aca="false">$A84*F$45</f>
        <v>0.280614562381876</v>
      </c>
      <c r="E84" s="0" t="n">
        <f aca="false">$A84*G$45</f>
        <v>0.000624855360654662</v>
      </c>
      <c r="F84" s="0" t="n">
        <f aca="false">$A84*D$10</f>
        <v>0.2805</v>
      </c>
      <c r="G84" s="0" t="n">
        <f aca="false">$A84*E$10</f>
        <v>0.66</v>
      </c>
      <c r="H84" s="0" t="n">
        <f aca="false">$A84*D$27</f>
        <v>0.2805</v>
      </c>
      <c r="I84" s="0" t="n">
        <f aca="false">$A84*E$27</f>
        <v>0.376280487804878</v>
      </c>
      <c r="J84" s="0" t="n">
        <f aca="false">D$39+D$40*B84+D$41*B84^2+D$42*B84^3+D$43*B84^4+D$44*B84^5</f>
        <v>-3.51116519453405</v>
      </c>
      <c r="K84" s="0" t="n">
        <f aca="false">E$39+E$40*C84+E$41*C84^2+E$42*C84^3+E$43*C84^4+E$44*C84^5</f>
        <v>-0.0890484342411098</v>
      </c>
      <c r="L84" s="0" t="n">
        <f aca="false">F$39+F$40*D84+F$41*D84^2+F$42*D84^3+F$43*D84^4+F$44*D84^5</f>
        <v>-0.00728873724083545</v>
      </c>
      <c r="M84" s="0" t="n">
        <f aca="false">G$39+G$40*E84+G$41*E84^2+G$42*E84^3+G$43*E84^4+G$44*E84^5</f>
        <v>-587.628405546952</v>
      </c>
      <c r="N84" s="0" t="n">
        <f aca="false">MAX(0,D$4+D$5*F84+D$6*F84^2+D$7*F84^3+D$8*F84^4+D$9*F84^5)</f>
        <v>0</v>
      </c>
      <c r="O84" s="0" t="n">
        <f aca="false">MAX(0,E$4+E$5*G84+E$6*G84^2+E$7*G84^3+E$8*G84^4+E$9*G84^5)</f>
        <v>0</v>
      </c>
      <c r="P84" s="0" t="n">
        <f aca="false">MAX(0,D$21+D$22*H84+D$23*H84^2+D$24*H84^3+D$25*H84^4+D$26*H84^5)</f>
        <v>0</v>
      </c>
      <c r="Q84" s="0" t="n">
        <f aca="false">MAX(0,E$21+E$22*I84+E$23*I84^2+E$24*I84^3+E$25*I84^4+E$26*I84^5)</f>
        <v>0</v>
      </c>
      <c r="V84" s="0" t="str">
        <f aca="false">IF(N84&gt;0,N84/D$11,"")</f>
        <v/>
      </c>
      <c r="W84" s="0" t="str">
        <f aca="false">IF(O84&gt;0,O84/E$11,"")</f>
        <v/>
      </c>
    </row>
    <row r="85" customFormat="false" ht="12.75" hidden="false" customHeight="false" outlineLevel="0" collapsed="false">
      <c r="T85" s="0" t="str">
        <f aca="false">IF(N85&gt;0,N85/D$11,"")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LibreOffice/7.3.7.2$Windows_X86_64 LibreOffice_project/e114eadc50a9ff8d8c8a0567d6da8f454beeb84f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2014-03-07T19:39:37Z</dcterms:created>
  <dc:creator>jharvey</dc:creator>
  <dc:description/>
  <dc:language>en-GB</dc:language>
  <cp:lastModifiedBy/>
  <dcterms:modified xsi:type="dcterms:W3CDTF">2026-02-08T21:38:31Z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